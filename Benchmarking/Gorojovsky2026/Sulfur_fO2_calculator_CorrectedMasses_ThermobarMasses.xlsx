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PythonPackages_Outside_Box\PySulfSat\PySulfSat_Structure\Benchmarking\Gorojovsky2026\"/>
    </mc:Choice>
  </mc:AlternateContent>
  <xr:revisionPtr revIDLastSave="0" documentId="8_{FF795420-B923-4E35-8170-4811A1993ECC}" xr6:coauthVersionLast="47" xr6:coauthVersionMax="47" xr10:uidLastSave="{00000000-0000-0000-0000-000000000000}"/>
  <bookViews>
    <workbookView xWindow="28690" yWindow="-110" windowWidth="51820" windowHeight="21100" activeTab="1" xr2:uid="{32DF9F16-F33B-8948-9851-681D5E8C3787}"/>
  </bookViews>
  <sheets>
    <sheet name="Info" sheetId="1" r:id="rId1"/>
    <sheet name="Calculator"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K10" i="5" l="1"/>
  <c r="EK11" i="5"/>
  <c r="EK12" i="5"/>
  <c r="EK13" i="5"/>
  <c r="EK14" i="5"/>
  <c r="EK15" i="5"/>
  <c r="EK16" i="5"/>
  <c r="EK17" i="5"/>
  <c r="EK18" i="5"/>
  <c r="EK19" i="5"/>
  <c r="EK20" i="5"/>
  <c r="EK21" i="5"/>
  <c r="EK22" i="5"/>
  <c r="EK23" i="5"/>
  <c r="EK24" i="5"/>
  <c r="EK25" i="5"/>
  <c r="EK26" i="5"/>
  <c r="EK27" i="5"/>
  <c r="EK28" i="5"/>
  <c r="EK29" i="5"/>
  <c r="EK30" i="5"/>
  <c r="EK31" i="5"/>
  <c r="EK32" i="5"/>
  <c r="EK33" i="5"/>
  <c r="EK34" i="5"/>
  <c r="EK35" i="5"/>
  <c r="EK36" i="5"/>
  <c r="EK37" i="5"/>
  <c r="EK38" i="5"/>
  <c r="EK39" i="5"/>
  <c r="EK40" i="5"/>
  <c r="EK41" i="5"/>
  <c r="EK42" i="5"/>
  <c r="EK43" i="5"/>
  <c r="EK44" i="5"/>
  <c r="EK45" i="5"/>
  <c r="EK46" i="5"/>
  <c r="EK47" i="5"/>
  <c r="EK48" i="5"/>
  <c r="EK49" i="5"/>
  <c r="EK50" i="5"/>
  <c r="EK51" i="5"/>
  <c r="EK52" i="5"/>
  <c r="EK53" i="5"/>
  <c r="EK54" i="5"/>
  <c r="EK55" i="5"/>
  <c r="EK56" i="5"/>
  <c r="EK57" i="5"/>
  <c r="EK58" i="5"/>
  <c r="EK59" i="5"/>
  <c r="EK60" i="5"/>
  <c r="EK61" i="5"/>
  <c r="EK62" i="5"/>
  <c r="EK63" i="5"/>
  <c r="EK64" i="5"/>
  <c r="EK65" i="5"/>
  <c r="EK66" i="5"/>
  <c r="EK67" i="5"/>
  <c r="EK68" i="5"/>
  <c r="EK69" i="5"/>
  <c r="EK70" i="5"/>
  <c r="EK71" i="5"/>
  <c r="EK72" i="5"/>
  <c r="EK73" i="5"/>
  <c r="EK74" i="5"/>
  <c r="EK75" i="5"/>
  <c r="EK76" i="5"/>
  <c r="EK77" i="5"/>
  <c r="EK78" i="5"/>
  <c r="EK79" i="5"/>
  <c r="EK80" i="5"/>
  <c r="EK81" i="5"/>
  <c r="EK82" i="5"/>
  <c r="EK83" i="5"/>
  <c r="EK84" i="5"/>
  <c r="EK85" i="5"/>
  <c r="EK86" i="5"/>
  <c r="EK87" i="5"/>
  <c r="EK88" i="5"/>
  <c r="EK89" i="5"/>
  <c r="EK90" i="5"/>
  <c r="EK91" i="5"/>
  <c r="EK92" i="5"/>
  <c r="EK93" i="5"/>
  <c r="EK94" i="5"/>
  <c r="EK95" i="5"/>
  <c r="EK9" i="5"/>
  <c r="EL9" i="5" s="1"/>
  <c r="ED9" i="5"/>
  <c r="EF9" i="5"/>
  <c r="DK9" i="5"/>
  <c r="FL9" i="5"/>
  <c r="CG9" i="5"/>
  <c r="CE9" i="5"/>
  <c r="BQ9" i="5"/>
  <c r="CD9" i="5"/>
  <c r="BA9" i="5"/>
  <c r="AK10" i="5"/>
  <c r="AL10" i="5"/>
  <c r="AM10" i="5"/>
  <c r="AN10" i="5"/>
  <c r="AO10" i="5"/>
  <c r="AP10" i="5"/>
  <c r="AW10" i="5" s="1"/>
  <c r="AQ10" i="5"/>
  <c r="AR10" i="5"/>
  <c r="AS10" i="5"/>
  <c r="AT10" i="5"/>
  <c r="AU10" i="5"/>
  <c r="AV10" i="5"/>
  <c r="AK11" i="5"/>
  <c r="AW11" i="5" s="1"/>
  <c r="AL11" i="5"/>
  <c r="AM11" i="5"/>
  <c r="AN11" i="5"/>
  <c r="AO11" i="5"/>
  <c r="AP11" i="5"/>
  <c r="AQ11" i="5"/>
  <c r="AR11" i="5"/>
  <c r="AS11" i="5"/>
  <c r="AT11" i="5"/>
  <c r="AU11" i="5"/>
  <c r="AV11" i="5"/>
  <c r="AK12" i="5"/>
  <c r="AW12" i="5" s="1"/>
  <c r="AL12" i="5"/>
  <c r="AM12" i="5"/>
  <c r="AN12" i="5"/>
  <c r="AO12" i="5"/>
  <c r="AP12" i="5"/>
  <c r="AQ12" i="5"/>
  <c r="AR12" i="5"/>
  <c r="AS12" i="5"/>
  <c r="AT12" i="5"/>
  <c r="AU12" i="5"/>
  <c r="AV12" i="5"/>
  <c r="AK13" i="5"/>
  <c r="AW13" i="5" s="1"/>
  <c r="AL13" i="5"/>
  <c r="AM13" i="5"/>
  <c r="AN13" i="5"/>
  <c r="AO13" i="5"/>
  <c r="AP13" i="5"/>
  <c r="AQ13" i="5"/>
  <c r="AR13" i="5"/>
  <c r="AS13" i="5"/>
  <c r="AT13" i="5"/>
  <c r="AU13" i="5"/>
  <c r="AV13" i="5"/>
  <c r="AK14" i="5"/>
  <c r="AW14" i="5" s="1"/>
  <c r="AL14" i="5"/>
  <c r="AM14" i="5"/>
  <c r="AN14" i="5"/>
  <c r="AO14" i="5"/>
  <c r="AP14" i="5"/>
  <c r="AQ14" i="5"/>
  <c r="AR14" i="5"/>
  <c r="AS14" i="5"/>
  <c r="AT14" i="5"/>
  <c r="AU14" i="5"/>
  <c r="AV14" i="5"/>
  <c r="AK15" i="5"/>
  <c r="AL15" i="5"/>
  <c r="AM15" i="5"/>
  <c r="AW15" i="5" s="1"/>
  <c r="AN15" i="5"/>
  <c r="AO15" i="5"/>
  <c r="AP15" i="5"/>
  <c r="AQ15" i="5"/>
  <c r="AR15" i="5"/>
  <c r="AS15" i="5"/>
  <c r="AT15" i="5"/>
  <c r="AU15" i="5"/>
  <c r="AV15" i="5"/>
  <c r="AK16" i="5"/>
  <c r="AL16" i="5"/>
  <c r="AM16" i="5"/>
  <c r="AW16" i="5" s="1"/>
  <c r="AN16" i="5"/>
  <c r="AO16" i="5"/>
  <c r="AP16" i="5"/>
  <c r="AQ16" i="5"/>
  <c r="AR16" i="5"/>
  <c r="AS16" i="5"/>
  <c r="AT16" i="5"/>
  <c r="AU16" i="5"/>
  <c r="AV16" i="5"/>
  <c r="AK17" i="5"/>
  <c r="AL17" i="5"/>
  <c r="AM17" i="5"/>
  <c r="AN17" i="5"/>
  <c r="AO17" i="5"/>
  <c r="AW17" i="5" s="1"/>
  <c r="AP17" i="5"/>
  <c r="AQ17" i="5"/>
  <c r="AR17" i="5"/>
  <c r="AS17" i="5"/>
  <c r="AT17" i="5"/>
  <c r="AU17" i="5"/>
  <c r="AV17" i="5"/>
  <c r="AK18" i="5"/>
  <c r="AL18" i="5"/>
  <c r="AM18" i="5"/>
  <c r="AN18" i="5"/>
  <c r="AO18" i="5"/>
  <c r="AW18" i="5" s="1"/>
  <c r="AP18" i="5"/>
  <c r="AQ18" i="5"/>
  <c r="AR18" i="5"/>
  <c r="AS18" i="5"/>
  <c r="AT18" i="5"/>
  <c r="AU18" i="5"/>
  <c r="AV18" i="5"/>
  <c r="AK19" i="5"/>
  <c r="AW19" i="5" s="1"/>
  <c r="AL19" i="5"/>
  <c r="AM19" i="5"/>
  <c r="AN19" i="5"/>
  <c r="AO19" i="5"/>
  <c r="AP19" i="5"/>
  <c r="AQ19" i="5"/>
  <c r="AR19" i="5"/>
  <c r="AS19" i="5"/>
  <c r="AT19" i="5"/>
  <c r="AU19" i="5"/>
  <c r="AV19" i="5"/>
  <c r="AK20" i="5"/>
  <c r="AW20" i="5" s="1"/>
  <c r="AL20" i="5"/>
  <c r="AM20" i="5"/>
  <c r="AN20" i="5"/>
  <c r="AO20" i="5"/>
  <c r="AP20" i="5"/>
  <c r="AQ20" i="5"/>
  <c r="AR20" i="5"/>
  <c r="AS20" i="5"/>
  <c r="AT20" i="5"/>
  <c r="AU20" i="5"/>
  <c r="AV20" i="5"/>
  <c r="AK21" i="5"/>
  <c r="AW21" i="5" s="1"/>
  <c r="AL21" i="5"/>
  <c r="AM21" i="5"/>
  <c r="AN21" i="5"/>
  <c r="AO21" i="5"/>
  <c r="AP21" i="5"/>
  <c r="AQ21" i="5"/>
  <c r="AR21" i="5"/>
  <c r="AS21" i="5"/>
  <c r="AT21" i="5"/>
  <c r="AU21" i="5"/>
  <c r="AV21" i="5"/>
  <c r="AK22" i="5"/>
  <c r="AW22" i="5" s="1"/>
  <c r="AL22" i="5"/>
  <c r="AM22" i="5"/>
  <c r="AN22" i="5"/>
  <c r="AO22" i="5"/>
  <c r="AP22" i="5"/>
  <c r="AQ22" i="5"/>
  <c r="AR22" i="5"/>
  <c r="AS22" i="5"/>
  <c r="AT22" i="5"/>
  <c r="AU22" i="5"/>
  <c r="AV22" i="5"/>
  <c r="AK23" i="5"/>
  <c r="AL23" i="5"/>
  <c r="AM23" i="5"/>
  <c r="AW23" i="5" s="1"/>
  <c r="AN23" i="5"/>
  <c r="AO23" i="5"/>
  <c r="AP23" i="5"/>
  <c r="AQ23" i="5"/>
  <c r="AR23" i="5"/>
  <c r="AS23" i="5"/>
  <c r="AT23" i="5"/>
  <c r="AU23" i="5"/>
  <c r="AV23" i="5"/>
  <c r="AK24" i="5"/>
  <c r="AL24" i="5"/>
  <c r="AM24" i="5"/>
  <c r="AW24" i="5" s="1"/>
  <c r="AN24" i="5"/>
  <c r="AO24" i="5"/>
  <c r="AP24" i="5"/>
  <c r="AQ24" i="5"/>
  <c r="AR24" i="5"/>
  <c r="AS24" i="5"/>
  <c r="AT24" i="5"/>
  <c r="AU24" i="5"/>
  <c r="AV24" i="5"/>
  <c r="AK25" i="5"/>
  <c r="AL25" i="5"/>
  <c r="AM25" i="5"/>
  <c r="AN25" i="5"/>
  <c r="AO25" i="5"/>
  <c r="AP25" i="5"/>
  <c r="AQ25" i="5"/>
  <c r="AR25" i="5"/>
  <c r="AS25" i="5"/>
  <c r="AT25" i="5"/>
  <c r="AU25" i="5"/>
  <c r="AV25" i="5"/>
  <c r="AW25" i="5"/>
  <c r="AK26" i="5"/>
  <c r="AL26" i="5"/>
  <c r="AM26" i="5"/>
  <c r="AN26" i="5"/>
  <c r="AO26" i="5"/>
  <c r="AP26" i="5"/>
  <c r="AW26" i="5" s="1"/>
  <c r="AQ26" i="5"/>
  <c r="AR26" i="5"/>
  <c r="AS26" i="5"/>
  <c r="AT26" i="5"/>
  <c r="AU26" i="5"/>
  <c r="AV26" i="5"/>
  <c r="AK27" i="5"/>
  <c r="AW27" i="5" s="1"/>
  <c r="AL27" i="5"/>
  <c r="AM27" i="5"/>
  <c r="AN27" i="5"/>
  <c r="AO27" i="5"/>
  <c r="AP27" i="5"/>
  <c r="AQ27" i="5"/>
  <c r="AR27" i="5"/>
  <c r="AS27" i="5"/>
  <c r="AT27" i="5"/>
  <c r="AU27" i="5"/>
  <c r="AV27" i="5"/>
  <c r="AK28" i="5"/>
  <c r="AW28" i="5" s="1"/>
  <c r="AL28" i="5"/>
  <c r="AM28" i="5"/>
  <c r="AN28" i="5"/>
  <c r="AO28" i="5"/>
  <c r="AP28" i="5"/>
  <c r="AQ28" i="5"/>
  <c r="AR28" i="5"/>
  <c r="AS28" i="5"/>
  <c r="AT28" i="5"/>
  <c r="AU28" i="5"/>
  <c r="AV28" i="5"/>
  <c r="AK29" i="5"/>
  <c r="AW29" i="5" s="1"/>
  <c r="AL29" i="5"/>
  <c r="AM29" i="5"/>
  <c r="AN29" i="5"/>
  <c r="AO29" i="5"/>
  <c r="AP29" i="5"/>
  <c r="AQ29" i="5"/>
  <c r="AR29" i="5"/>
  <c r="AS29" i="5"/>
  <c r="AT29" i="5"/>
  <c r="AU29" i="5"/>
  <c r="AV29" i="5"/>
  <c r="AK30" i="5"/>
  <c r="AW30" i="5" s="1"/>
  <c r="AL30" i="5"/>
  <c r="AM30" i="5"/>
  <c r="AN30" i="5"/>
  <c r="AO30" i="5"/>
  <c r="AP30" i="5"/>
  <c r="AQ30" i="5"/>
  <c r="AR30" i="5"/>
  <c r="AS30" i="5"/>
  <c r="AT30" i="5"/>
  <c r="AU30" i="5"/>
  <c r="AV30" i="5"/>
  <c r="AK31" i="5"/>
  <c r="AL31" i="5"/>
  <c r="AM31" i="5"/>
  <c r="AW31" i="5" s="1"/>
  <c r="AN31" i="5"/>
  <c r="AO31" i="5"/>
  <c r="AP31" i="5"/>
  <c r="AQ31" i="5"/>
  <c r="AR31" i="5"/>
  <c r="AS31" i="5"/>
  <c r="AT31" i="5"/>
  <c r="AU31" i="5"/>
  <c r="AV31" i="5"/>
  <c r="AK32" i="5"/>
  <c r="AL32" i="5"/>
  <c r="AM32" i="5"/>
  <c r="AW32" i="5" s="1"/>
  <c r="AN32" i="5"/>
  <c r="AO32" i="5"/>
  <c r="AP32" i="5"/>
  <c r="AQ32" i="5"/>
  <c r="AR32" i="5"/>
  <c r="AS32" i="5"/>
  <c r="AT32" i="5"/>
  <c r="AU32" i="5"/>
  <c r="AV32" i="5"/>
  <c r="AK33" i="5"/>
  <c r="AL33" i="5"/>
  <c r="AM33" i="5"/>
  <c r="AN33" i="5"/>
  <c r="AO33" i="5"/>
  <c r="AW33" i="5" s="1"/>
  <c r="AP33" i="5"/>
  <c r="AQ33" i="5"/>
  <c r="AR33" i="5"/>
  <c r="AS33" i="5"/>
  <c r="AT33" i="5"/>
  <c r="AU33" i="5"/>
  <c r="AV33" i="5"/>
  <c r="AK34" i="5"/>
  <c r="AL34" i="5"/>
  <c r="AM34" i="5"/>
  <c r="AN34" i="5"/>
  <c r="AO34" i="5"/>
  <c r="AP34" i="5"/>
  <c r="AW34" i="5" s="1"/>
  <c r="AQ34" i="5"/>
  <c r="AR34" i="5"/>
  <c r="AS34" i="5"/>
  <c r="AT34" i="5"/>
  <c r="AU34" i="5"/>
  <c r="AV34" i="5"/>
  <c r="AK35" i="5"/>
  <c r="AW35" i="5" s="1"/>
  <c r="AL35" i="5"/>
  <c r="AM35" i="5"/>
  <c r="AN35" i="5"/>
  <c r="AO35" i="5"/>
  <c r="AP35" i="5"/>
  <c r="AQ35" i="5"/>
  <c r="AR35" i="5"/>
  <c r="AS35" i="5"/>
  <c r="AT35" i="5"/>
  <c r="AU35" i="5"/>
  <c r="AV35" i="5"/>
  <c r="AK36" i="5"/>
  <c r="AL36" i="5"/>
  <c r="AW36" i="5" s="1"/>
  <c r="AM36" i="5"/>
  <c r="AN36" i="5"/>
  <c r="AO36" i="5"/>
  <c r="AP36" i="5"/>
  <c r="AQ36" i="5"/>
  <c r="AR36" i="5"/>
  <c r="AS36" i="5"/>
  <c r="AT36" i="5"/>
  <c r="AU36" i="5"/>
  <c r="AV36" i="5"/>
  <c r="AK37" i="5"/>
  <c r="AW37" i="5" s="1"/>
  <c r="AL37" i="5"/>
  <c r="AM37" i="5"/>
  <c r="AN37" i="5"/>
  <c r="AO37" i="5"/>
  <c r="AP37" i="5"/>
  <c r="AQ37" i="5"/>
  <c r="AR37" i="5"/>
  <c r="AS37" i="5"/>
  <c r="AT37" i="5"/>
  <c r="AU37" i="5"/>
  <c r="AV37" i="5"/>
  <c r="AK38" i="5"/>
  <c r="AW38" i="5" s="1"/>
  <c r="AL38" i="5"/>
  <c r="AM38" i="5"/>
  <c r="AN38" i="5"/>
  <c r="AO38" i="5"/>
  <c r="AP38" i="5"/>
  <c r="AQ38" i="5"/>
  <c r="AR38" i="5"/>
  <c r="AS38" i="5"/>
  <c r="AT38" i="5"/>
  <c r="AU38" i="5"/>
  <c r="AV38" i="5"/>
  <c r="AK39" i="5"/>
  <c r="AL39" i="5"/>
  <c r="AM39" i="5"/>
  <c r="AW39" i="5" s="1"/>
  <c r="AN39" i="5"/>
  <c r="AO39" i="5"/>
  <c r="AP39" i="5"/>
  <c r="AQ39" i="5"/>
  <c r="AR39" i="5"/>
  <c r="AS39" i="5"/>
  <c r="AT39" i="5"/>
  <c r="AU39" i="5"/>
  <c r="AV39" i="5"/>
  <c r="AK40" i="5"/>
  <c r="AW40" i="5" s="1"/>
  <c r="AL40" i="5"/>
  <c r="AM40" i="5"/>
  <c r="AN40" i="5"/>
  <c r="AO40" i="5"/>
  <c r="AP40" i="5"/>
  <c r="AQ40" i="5"/>
  <c r="AR40" i="5"/>
  <c r="AS40" i="5"/>
  <c r="AT40" i="5"/>
  <c r="AU40" i="5"/>
  <c r="AV40" i="5"/>
  <c r="AK41" i="5"/>
  <c r="AL41" i="5"/>
  <c r="AM41" i="5"/>
  <c r="AN41" i="5"/>
  <c r="AO41" i="5"/>
  <c r="AP41" i="5"/>
  <c r="AQ41" i="5"/>
  <c r="AR41" i="5"/>
  <c r="AS41" i="5"/>
  <c r="AT41" i="5"/>
  <c r="AU41" i="5"/>
  <c r="AV41" i="5"/>
  <c r="AW41" i="5"/>
  <c r="AK42" i="5"/>
  <c r="AL42" i="5"/>
  <c r="AM42" i="5"/>
  <c r="AN42" i="5"/>
  <c r="AO42" i="5"/>
  <c r="AP42" i="5"/>
  <c r="AW42" i="5" s="1"/>
  <c r="AQ42" i="5"/>
  <c r="AR42" i="5"/>
  <c r="AS42" i="5"/>
  <c r="AT42" i="5"/>
  <c r="AU42" i="5"/>
  <c r="AV42" i="5"/>
  <c r="AK43" i="5"/>
  <c r="AW43" i="5" s="1"/>
  <c r="AL43" i="5"/>
  <c r="AM43" i="5"/>
  <c r="AN43" i="5"/>
  <c r="AO43" i="5"/>
  <c r="AP43" i="5"/>
  <c r="AQ43" i="5"/>
  <c r="AR43" i="5"/>
  <c r="AS43" i="5"/>
  <c r="AT43" i="5"/>
  <c r="AU43" i="5"/>
  <c r="AV43" i="5"/>
  <c r="AK44" i="5"/>
  <c r="AW44" i="5" s="1"/>
  <c r="AL44" i="5"/>
  <c r="AM44" i="5"/>
  <c r="AN44" i="5"/>
  <c r="AO44" i="5"/>
  <c r="AP44" i="5"/>
  <c r="AQ44" i="5"/>
  <c r="AR44" i="5"/>
  <c r="AS44" i="5"/>
  <c r="AT44" i="5"/>
  <c r="AU44" i="5"/>
  <c r="AV44" i="5"/>
  <c r="AK45" i="5"/>
  <c r="AW45" i="5" s="1"/>
  <c r="AL45" i="5"/>
  <c r="AM45" i="5"/>
  <c r="AN45" i="5"/>
  <c r="AO45" i="5"/>
  <c r="AP45" i="5"/>
  <c r="AQ45" i="5"/>
  <c r="AR45" i="5"/>
  <c r="AS45" i="5"/>
  <c r="AT45" i="5"/>
  <c r="AU45" i="5"/>
  <c r="AV45" i="5"/>
  <c r="AK46" i="5"/>
  <c r="AW46" i="5" s="1"/>
  <c r="AL46" i="5"/>
  <c r="AM46" i="5"/>
  <c r="AN46" i="5"/>
  <c r="AO46" i="5"/>
  <c r="AP46" i="5"/>
  <c r="AQ46" i="5"/>
  <c r="AR46" i="5"/>
  <c r="AS46" i="5"/>
  <c r="AT46" i="5"/>
  <c r="AU46" i="5"/>
  <c r="AV46" i="5"/>
  <c r="AK47" i="5"/>
  <c r="AL47" i="5"/>
  <c r="AM47" i="5"/>
  <c r="AW47" i="5" s="1"/>
  <c r="AN47" i="5"/>
  <c r="AO47" i="5"/>
  <c r="AP47" i="5"/>
  <c r="AQ47" i="5"/>
  <c r="AR47" i="5"/>
  <c r="AS47" i="5"/>
  <c r="AT47" i="5"/>
  <c r="AU47" i="5"/>
  <c r="AV47" i="5"/>
  <c r="AK48" i="5"/>
  <c r="AL48" i="5"/>
  <c r="AM48" i="5"/>
  <c r="AW48" i="5" s="1"/>
  <c r="AN48" i="5"/>
  <c r="AO48" i="5"/>
  <c r="AP48" i="5"/>
  <c r="AQ48" i="5"/>
  <c r="AR48" i="5"/>
  <c r="AS48" i="5"/>
  <c r="AT48" i="5"/>
  <c r="AU48" i="5"/>
  <c r="AV48" i="5"/>
  <c r="AK49" i="5"/>
  <c r="AL49" i="5"/>
  <c r="AM49" i="5"/>
  <c r="AN49" i="5"/>
  <c r="AO49" i="5"/>
  <c r="AP49" i="5"/>
  <c r="AQ49" i="5"/>
  <c r="AR49" i="5"/>
  <c r="AS49" i="5"/>
  <c r="AT49" i="5"/>
  <c r="AU49" i="5"/>
  <c r="AV49" i="5"/>
  <c r="AW49" i="5"/>
  <c r="AK50" i="5"/>
  <c r="AL50" i="5"/>
  <c r="AM50" i="5"/>
  <c r="AN50" i="5"/>
  <c r="AO50" i="5"/>
  <c r="AW50" i="5" s="1"/>
  <c r="AP50" i="5"/>
  <c r="AQ50" i="5"/>
  <c r="AR50" i="5"/>
  <c r="AS50" i="5"/>
  <c r="AT50" i="5"/>
  <c r="AU50" i="5"/>
  <c r="AV50" i="5"/>
  <c r="AK51" i="5"/>
  <c r="AW51" i="5" s="1"/>
  <c r="AL51" i="5"/>
  <c r="AM51" i="5"/>
  <c r="AN51" i="5"/>
  <c r="AO51" i="5"/>
  <c r="AP51" i="5"/>
  <c r="AQ51" i="5"/>
  <c r="AR51" i="5"/>
  <c r="AS51" i="5"/>
  <c r="AT51" i="5"/>
  <c r="AU51" i="5"/>
  <c r="AV51" i="5"/>
  <c r="AK52" i="5"/>
  <c r="AW52" i="5" s="1"/>
  <c r="AL52" i="5"/>
  <c r="AM52" i="5"/>
  <c r="AN52" i="5"/>
  <c r="AO52" i="5"/>
  <c r="AP52" i="5"/>
  <c r="AQ52" i="5"/>
  <c r="AR52" i="5"/>
  <c r="AS52" i="5"/>
  <c r="AT52" i="5"/>
  <c r="AU52" i="5"/>
  <c r="AV52" i="5"/>
  <c r="AK53" i="5"/>
  <c r="AW53" i="5" s="1"/>
  <c r="AL53" i="5"/>
  <c r="AM53" i="5"/>
  <c r="AN53" i="5"/>
  <c r="AO53" i="5"/>
  <c r="AP53" i="5"/>
  <c r="AQ53" i="5"/>
  <c r="AR53" i="5"/>
  <c r="AS53" i="5"/>
  <c r="AT53" i="5"/>
  <c r="AU53" i="5"/>
  <c r="AV53" i="5"/>
  <c r="AK54" i="5"/>
  <c r="AW54" i="5" s="1"/>
  <c r="AL54" i="5"/>
  <c r="AM54" i="5"/>
  <c r="AN54" i="5"/>
  <c r="AO54" i="5"/>
  <c r="AP54" i="5"/>
  <c r="AQ54" i="5"/>
  <c r="AR54" i="5"/>
  <c r="AS54" i="5"/>
  <c r="AT54" i="5"/>
  <c r="AU54" i="5"/>
  <c r="AV54" i="5"/>
  <c r="AK55" i="5"/>
  <c r="AL55" i="5"/>
  <c r="AM55" i="5"/>
  <c r="AW55" i="5" s="1"/>
  <c r="AN55" i="5"/>
  <c r="AO55" i="5"/>
  <c r="AP55" i="5"/>
  <c r="AQ55" i="5"/>
  <c r="AR55" i="5"/>
  <c r="AS55" i="5"/>
  <c r="AT55" i="5"/>
  <c r="AU55" i="5"/>
  <c r="AV55" i="5"/>
  <c r="AK56" i="5"/>
  <c r="AL56" i="5"/>
  <c r="AM56" i="5"/>
  <c r="AW56" i="5" s="1"/>
  <c r="AN56" i="5"/>
  <c r="AO56" i="5"/>
  <c r="AP56" i="5"/>
  <c r="AQ56" i="5"/>
  <c r="AR56" i="5"/>
  <c r="AS56" i="5"/>
  <c r="AT56" i="5"/>
  <c r="AU56" i="5"/>
  <c r="AV56" i="5"/>
  <c r="AK57" i="5"/>
  <c r="AL57" i="5"/>
  <c r="AM57" i="5"/>
  <c r="AN57" i="5"/>
  <c r="AO57" i="5"/>
  <c r="AP57" i="5"/>
  <c r="AQ57" i="5"/>
  <c r="AR57" i="5"/>
  <c r="AS57" i="5"/>
  <c r="AT57" i="5"/>
  <c r="AU57" i="5"/>
  <c r="AV57" i="5"/>
  <c r="AW57" i="5"/>
  <c r="AK58" i="5"/>
  <c r="AL58" i="5"/>
  <c r="AM58" i="5"/>
  <c r="AN58" i="5"/>
  <c r="AO58" i="5"/>
  <c r="AP58" i="5"/>
  <c r="AW58" i="5" s="1"/>
  <c r="AQ58" i="5"/>
  <c r="AR58" i="5"/>
  <c r="AS58" i="5"/>
  <c r="AT58" i="5"/>
  <c r="AU58" i="5"/>
  <c r="AV58" i="5"/>
  <c r="AK59" i="5"/>
  <c r="AW59" i="5" s="1"/>
  <c r="AL59" i="5"/>
  <c r="AM59" i="5"/>
  <c r="AN59" i="5"/>
  <c r="AO59" i="5"/>
  <c r="AP59" i="5"/>
  <c r="AQ59" i="5"/>
  <c r="AR59" i="5"/>
  <c r="AS59" i="5"/>
  <c r="AT59" i="5"/>
  <c r="AU59" i="5"/>
  <c r="AV59" i="5"/>
  <c r="AK60" i="5"/>
  <c r="AL60" i="5"/>
  <c r="AW60" i="5" s="1"/>
  <c r="AM60" i="5"/>
  <c r="AN60" i="5"/>
  <c r="AO60" i="5"/>
  <c r="AP60" i="5"/>
  <c r="AQ60" i="5"/>
  <c r="AR60" i="5"/>
  <c r="AS60" i="5"/>
  <c r="AT60" i="5"/>
  <c r="AU60" i="5"/>
  <c r="AV60" i="5"/>
  <c r="AK61" i="5"/>
  <c r="AW61" i="5" s="1"/>
  <c r="AL61" i="5"/>
  <c r="AM61" i="5"/>
  <c r="AN61" i="5"/>
  <c r="AO61" i="5"/>
  <c r="AP61" i="5"/>
  <c r="AQ61" i="5"/>
  <c r="AR61" i="5"/>
  <c r="AS61" i="5"/>
  <c r="AT61" i="5"/>
  <c r="AU61" i="5"/>
  <c r="AV61" i="5"/>
  <c r="AK62" i="5"/>
  <c r="AW62" i="5" s="1"/>
  <c r="AL62" i="5"/>
  <c r="AM62" i="5"/>
  <c r="AN62" i="5"/>
  <c r="AO62" i="5"/>
  <c r="AP62" i="5"/>
  <c r="AQ62" i="5"/>
  <c r="AR62" i="5"/>
  <c r="AS62" i="5"/>
  <c r="AT62" i="5"/>
  <c r="AU62" i="5"/>
  <c r="AV62" i="5"/>
  <c r="AK63" i="5"/>
  <c r="AL63" i="5"/>
  <c r="AM63" i="5"/>
  <c r="AW63" i="5" s="1"/>
  <c r="AN63" i="5"/>
  <c r="AO63" i="5"/>
  <c r="AP63" i="5"/>
  <c r="AQ63" i="5"/>
  <c r="AR63" i="5"/>
  <c r="AS63" i="5"/>
  <c r="AT63" i="5"/>
  <c r="AU63" i="5"/>
  <c r="AV63" i="5"/>
  <c r="AK64" i="5"/>
  <c r="AL64" i="5"/>
  <c r="AM64" i="5"/>
  <c r="AW64" i="5" s="1"/>
  <c r="AN64" i="5"/>
  <c r="AO64" i="5"/>
  <c r="AP64" i="5"/>
  <c r="AQ64" i="5"/>
  <c r="AR64" i="5"/>
  <c r="AS64" i="5"/>
  <c r="AT64" i="5"/>
  <c r="AU64" i="5"/>
  <c r="AV64" i="5"/>
  <c r="AK65" i="5"/>
  <c r="AL65" i="5"/>
  <c r="AM65" i="5"/>
  <c r="AN65" i="5"/>
  <c r="AO65" i="5"/>
  <c r="AP65" i="5"/>
  <c r="AQ65" i="5"/>
  <c r="AW65" i="5" s="1"/>
  <c r="AR65" i="5"/>
  <c r="AS65" i="5"/>
  <c r="AT65" i="5"/>
  <c r="AU65" i="5"/>
  <c r="AV65" i="5"/>
  <c r="AK66" i="5"/>
  <c r="AL66" i="5"/>
  <c r="AM66" i="5"/>
  <c r="AN66" i="5"/>
  <c r="AO66" i="5"/>
  <c r="AP66" i="5"/>
  <c r="AW66" i="5" s="1"/>
  <c r="AQ66" i="5"/>
  <c r="AR66" i="5"/>
  <c r="AS66" i="5"/>
  <c r="AT66" i="5"/>
  <c r="AU66" i="5"/>
  <c r="AV66" i="5"/>
  <c r="AK67" i="5"/>
  <c r="AW67" i="5" s="1"/>
  <c r="AL67" i="5"/>
  <c r="AM67" i="5"/>
  <c r="AN67" i="5"/>
  <c r="AO67" i="5"/>
  <c r="AP67" i="5"/>
  <c r="AQ67" i="5"/>
  <c r="AR67" i="5"/>
  <c r="AS67" i="5"/>
  <c r="AT67" i="5"/>
  <c r="AU67" i="5"/>
  <c r="AV67" i="5"/>
  <c r="AK68" i="5"/>
  <c r="AL68" i="5"/>
  <c r="AW68" i="5" s="1"/>
  <c r="AM68" i="5"/>
  <c r="AN68" i="5"/>
  <c r="AO68" i="5"/>
  <c r="AP68" i="5"/>
  <c r="AQ68" i="5"/>
  <c r="AR68" i="5"/>
  <c r="AS68" i="5"/>
  <c r="AT68" i="5"/>
  <c r="AU68" i="5"/>
  <c r="AV68" i="5"/>
  <c r="AK69" i="5"/>
  <c r="AW69" i="5" s="1"/>
  <c r="AL69" i="5"/>
  <c r="AM69" i="5"/>
  <c r="AN69" i="5"/>
  <c r="AO69" i="5"/>
  <c r="AP69" i="5"/>
  <c r="AQ69" i="5"/>
  <c r="AR69" i="5"/>
  <c r="AS69" i="5"/>
  <c r="AT69" i="5"/>
  <c r="AU69" i="5"/>
  <c r="AV69" i="5"/>
  <c r="AK70" i="5"/>
  <c r="AW70" i="5" s="1"/>
  <c r="AL70" i="5"/>
  <c r="AM70" i="5"/>
  <c r="AN70" i="5"/>
  <c r="AO70" i="5"/>
  <c r="AP70" i="5"/>
  <c r="AQ70" i="5"/>
  <c r="AR70" i="5"/>
  <c r="AS70" i="5"/>
  <c r="AT70" i="5"/>
  <c r="AU70" i="5"/>
  <c r="AV70" i="5"/>
  <c r="AK71" i="5"/>
  <c r="AL71" i="5"/>
  <c r="AM71" i="5"/>
  <c r="AN71" i="5"/>
  <c r="AO71" i="5"/>
  <c r="AP71" i="5"/>
  <c r="AQ71" i="5"/>
  <c r="AR71" i="5"/>
  <c r="AS71" i="5"/>
  <c r="AT71" i="5"/>
  <c r="AU71" i="5"/>
  <c r="AV71" i="5"/>
  <c r="AW71" i="5"/>
  <c r="AK72" i="5"/>
  <c r="AL72" i="5"/>
  <c r="AM72" i="5"/>
  <c r="AW72" i="5" s="1"/>
  <c r="AN72" i="5"/>
  <c r="AO72" i="5"/>
  <c r="AP72" i="5"/>
  <c r="AQ72" i="5"/>
  <c r="AR72" i="5"/>
  <c r="AS72" i="5"/>
  <c r="AT72" i="5"/>
  <c r="AU72" i="5"/>
  <c r="AV72" i="5"/>
  <c r="AK73" i="5"/>
  <c r="AL73" i="5"/>
  <c r="AM73" i="5"/>
  <c r="AN73" i="5"/>
  <c r="AO73" i="5"/>
  <c r="AP73" i="5"/>
  <c r="AQ73" i="5"/>
  <c r="AW73" i="5" s="1"/>
  <c r="AR73" i="5"/>
  <c r="AS73" i="5"/>
  <c r="AT73" i="5"/>
  <c r="AU73" i="5"/>
  <c r="AV73" i="5"/>
  <c r="AK74" i="5"/>
  <c r="AL74" i="5"/>
  <c r="AM74" i="5"/>
  <c r="AN74" i="5"/>
  <c r="AO74" i="5"/>
  <c r="AP74" i="5"/>
  <c r="AW74" i="5" s="1"/>
  <c r="AQ74" i="5"/>
  <c r="AR74" i="5"/>
  <c r="AS74" i="5"/>
  <c r="AT74" i="5"/>
  <c r="AU74" i="5"/>
  <c r="AV74" i="5"/>
  <c r="AK75" i="5"/>
  <c r="AW75" i="5" s="1"/>
  <c r="AL75" i="5"/>
  <c r="AM75" i="5"/>
  <c r="AN75" i="5"/>
  <c r="AO75" i="5"/>
  <c r="AP75" i="5"/>
  <c r="AQ75" i="5"/>
  <c r="AR75" i="5"/>
  <c r="AS75" i="5"/>
  <c r="AT75" i="5"/>
  <c r="AU75" i="5"/>
  <c r="AV75" i="5"/>
  <c r="AK76" i="5"/>
  <c r="AW76" i="5" s="1"/>
  <c r="AL76" i="5"/>
  <c r="AM76" i="5"/>
  <c r="AN76" i="5"/>
  <c r="AO76" i="5"/>
  <c r="AP76" i="5"/>
  <c r="AQ76" i="5"/>
  <c r="AR76" i="5"/>
  <c r="AS76" i="5"/>
  <c r="AT76" i="5"/>
  <c r="AU76" i="5"/>
  <c r="AV76" i="5"/>
  <c r="AK77" i="5"/>
  <c r="AW77" i="5" s="1"/>
  <c r="AL77" i="5"/>
  <c r="AM77" i="5"/>
  <c r="AN77" i="5"/>
  <c r="AO77" i="5"/>
  <c r="AP77" i="5"/>
  <c r="AQ77" i="5"/>
  <c r="AR77" i="5"/>
  <c r="AS77" i="5"/>
  <c r="AT77" i="5"/>
  <c r="AU77" i="5"/>
  <c r="AV77" i="5"/>
  <c r="AK78" i="5"/>
  <c r="AW78" i="5" s="1"/>
  <c r="AL78" i="5"/>
  <c r="AM78" i="5"/>
  <c r="AN78" i="5"/>
  <c r="AO78" i="5"/>
  <c r="AP78" i="5"/>
  <c r="AQ78" i="5"/>
  <c r="AR78" i="5"/>
  <c r="AS78" i="5"/>
  <c r="AT78" i="5"/>
  <c r="AU78" i="5"/>
  <c r="AV78" i="5"/>
  <c r="AK79" i="5"/>
  <c r="AL79" i="5"/>
  <c r="AM79" i="5"/>
  <c r="AN79" i="5"/>
  <c r="AO79" i="5"/>
  <c r="AP79" i="5"/>
  <c r="AQ79" i="5"/>
  <c r="AR79" i="5"/>
  <c r="AS79" i="5"/>
  <c r="AT79" i="5"/>
  <c r="AU79" i="5"/>
  <c r="AV79" i="5"/>
  <c r="AW79" i="5"/>
  <c r="AK80" i="5"/>
  <c r="AL80" i="5"/>
  <c r="AM80" i="5"/>
  <c r="AW80" i="5" s="1"/>
  <c r="AN80" i="5"/>
  <c r="AO80" i="5"/>
  <c r="AP80" i="5"/>
  <c r="AQ80" i="5"/>
  <c r="AR80" i="5"/>
  <c r="AS80" i="5"/>
  <c r="AT80" i="5"/>
  <c r="AU80" i="5"/>
  <c r="AV80" i="5"/>
  <c r="AK81" i="5"/>
  <c r="AL81" i="5"/>
  <c r="AM81" i="5"/>
  <c r="AN81" i="5"/>
  <c r="AO81" i="5"/>
  <c r="AW81" i="5" s="1"/>
  <c r="AP81" i="5"/>
  <c r="AQ81" i="5"/>
  <c r="AR81" i="5"/>
  <c r="AS81" i="5"/>
  <c r="AT81" i="5"/>
  <c r="AU81" i="5"/>
  <c r="AV81" i="5"/>
  <c r="AK82" i="5"/>
  <c r="AL82" i="5"/>
  <c r="AM82" i="5"/>
  <c r="AN82" i="5"/>
  <c r="AO82" i="5"/>
  <c r="AP82" i="5"/>
  <c r="AW82" i="5" s="1"/>
  <c r="AQ82" i="5"/>
  <c r="AR82" i="5"/>
  <c r="AS82" i="5"/>
  <c r="AT82" i="5"/>
  <c r="AU82" i="5"/>
  <c r="AV82" i="5"/>
  <c r="AK83" i="5"/>
  <c r="AW83" i="5" s="1"/>
  <c r="AL83" i="5"/>
  <c r="AM83" i="5"/>
  <c r="AN83" i="5"/>
  <c r="AO83" i="5"/>
  <c r="AP83" i="5"/>
  <c r="AQ83" i="5"/>
  <c r="AR83" i="5"/>
  <c r="AS83" i="5"/>
  <c r="AT83" i="5"/>
  <c r="AU83" i="5"/>
  <c r="AV83" i="5"/>
  <c r="AK84" i="5"/>
  <c r="AW84" i="5" s="1"/>
  <c r="AL84" i="5"/>
  <c r="AM84" i="5"/>
  <c r="AN84" i="5"/>
  <c r="AO84" i="5"/>
  <c r="AP84" i="5"/>
  <c r="AQ84" i="5"/>
  <c r="AR84" i="5"/>
  <c r="AS84" i="5"/>
  <c r="AT84" i="5"/>
  <c r="AU84" i="5"/>
  <c r="AV84" i="5"/>
  <c r="AK85" i="5"/>
  <c r="AW85" i="5" s="1"/>
  <c r="AL85" i="5"/>
  <c r="AM85" i="5"/>
  <c r="AN85" i="5"/>
  <c r="AO85" i="5"/>
  <c r="AP85" i="5"/>
  <c r="AQ85" i="5"/>
  <c r="AR85" i="5"/>
  <c r="AS85" i="5"/>
  <c r="AT85" i="5"/>
  <c r="AU85" i="5"/>
  <c r="AV85" i="5"/>
  <c r="AK86" i="5"/>
  <c r="AW86" i="5" s="1"/>
  <c r="AL86" i="5"/>
  <c r="AM86" i="5"/>
  <c r="AN86" i="5"/>
  <c r="AO86" i="5"/>
  <c r="AP86" i="5"/>
  <c r="AQ86" i="5"/>
  <c r="AR86" i="5"/>
  <c r="AS86" i="5"/>
  <c r="AT86" i="5"/>
  <c r="AU86" i="5"/>
  <c r="AV86" i="5"/>
  <c r="AK87" i="5"/>
  <c r="AL87" i="5"/>
  <c r="AM87" i="5"/>
  <c r="AN87" i="5"/>
  <c r="AO87" i="5"/>
  <c r="AW87" i="5" s="1"/>
  <c r="AP87" i="5"/>
  <c r="AQ87" i="5"/>
  <c r="AR87" i="5"/>
  <c r="AS87" i="5"/>
  <c r="AT87" i="5"/>
  <c r="AU87" i="5"/>
  <c r="AV87" i="5"/>
  <c r="AK88" i="5"/>
  <c r="AL88" i="5"/>
  <c r="AM88" i="5"/>
  <c r="AW88" i="5" s="1"/>
  <c r="AN88" i="5"/>
  <c r="AO88" i="5"/>
  <c r="AP88" i="5"/>
  <c r="AQ88" i="5"/>
  <c r="AR88" i="5"/>
  <c r="AS88" i="5"/>
  <c r="AT88" i="5"/>
  <c r="AU88" i="5"/>
  <c r="AV88" i="5"/>
  <c r="AK89" i="5"/>
  <c r="AL89" i="5"/>
  <c r="AM89" i="5"/>
  <c r="AN89" i="5"/>
  <c r="AO89" i="5"/>
  <c r="AP89" i="5"/>
  <c r="AQ89" i="5"/>
  <c r="AW89" i="5" s="1"/>
  <c r="AR89" i="5"/>
  <c r="AS89" i="5"/>
  <c r="AT89" i="5"/>
  <c r="AU89" i="5"/>
  <c r="AV89" i="5"/>
  <c r="AK90" i="5"/>
  <c r="AL90" i="5"/>
  <c r="AM90" i="5"/>
  <c r="AN90" i="5"/>
  <c r="AO90" i="5"/>
  <c r="AW90" i="5" s="1"/>
  <c r="AP90" i="5"/>
  <c r="AQ90" i="5"/>
  <c r="AR90" i="5"/>
  <c r="AS90" i="5"/>
  <c r="AT90" i="5"/>
  <c r="AU90" i="5"/>
  <c r="AV90" i="5"/>
  <c r="AK91" i="5"/>
  <c r="AW91" i="5" s="1"/>
  <c r="AL91" i="5"/>
  <c r="AM91" i="5"/>
  <c r="AN91" i="5"/>
  <c r="AO91" i="5"/>
  <c r="AP91" i="5"/>
  <c r="AQ91" i="5"/>
  <c r="AR91" i="5"/>
  <c r="AS91" i="5"/>
  <c r="AT91" i="5"/>
  <c r="AU91" i="5"/>
  <c r="AV91" i="5"/>
  <c r="AK92" i="5"/>
  <c r="AW92" i="5" s="1"/>
  <c r="AL92" i="5"/>
  <c r="AM92" i="5"/>
  <c r="AN92" i="5"/>
  <c r="AO92" i="5"/>
  <c r="AP92" i="5"/>
  <c r="AQ92" i="5"/>
  <c r="AR92" i="5"/>
  <c r="AS92" i="5"/>
  <c r="AT92" i="5"/>
  <c r="AU92" i="5"/>
  <c r="AV92" i="5"/>
  <c r="AK93" i="5"/>
  <c r="AW93" i="5" s="1"/>
  <c r="AL93" i="5"/>
  <c r="AM93" i="5"/>
  <c r="AN93" i="5"/>
  <c r="AO93" i="5"/>
  <c r="AP93" i="5"/>
  <c r="AQ93" i="5"/>
  <c r="AR93" i="5"/>
  <c r="AS93" i="5"/>
  <c r="AT93" i="5"/>
  <c r="AU93" i="5"/>
  <c r="AV93" i="5"/>
  <c r="AK94" i="5"/>
  <c r="AW94" i="5" s="1"/>
  <c r="AL94" i="5"/>
  <c r="AM94" i="5"/>
  <c r="AN94" i="5"/>
  <c r="AO94" i="5"/>
  <c r="AP94" i="5"/>
  <c r="AQ94" i="5"/>
  <c r="AR94" i="5"/>
  <c r="AS94" i="5"/>
  <c r="AT94" i="5"/>
  <c r="AU94" i="5"/>
  <c r="AV94" i="5"/>
  <c r="AK95" i="5"/>
  <c r="AL95" i="5"/>
  <c r="AM95" i="5"/>
  <c r="AN95" i="5"/>
  <c r="AO95" i="5"/>
  <c r="AW95" i="5" s="1"/>
  <c r="AP95" i="5"/>
  <c r="AQ95" i="5"/>
  <c r="AR95" i="5"/>
  <c r="AS95" i="5"/>
  <c r="AT95" i="5"/>
  <c r="AU95" i="5"/>
  <c r="AV95" i="5"/>
  <c r="AK9" i="5"/>
  <c r="AU9" i="5"/>
  <c r="AT9" i="5"/>
  <c r="AS9" i="5"/>
  <c r="AR9" i="5"/>
  <c r="AQ9" i="5"/>
  <c r="AO9" i="5"/>
  <c r="AL9" i="5"/>
  <c r="W60" i="5"/>
  <c r="CW60" i="5" s="1"/>
  <c r="X60" i="5"/>
  <c r="Y60" i="5"/>
  <c r="Z60" i="5"/>
  <c r="AA60" i="5"/>
  <c r="AB60" i="5"/>
  <c r="DD60" i="5" s="1"/>
  <c r="AC60" i="5"/>
  <c r="DE60" i="5" s="1"/>
  <c r="AD60" i="5"/>
  <c r="DF60" i="5" s="1"/>
  <c r="AE60" i="5"/>
  <c r="AF60" i="5"/>
  <c r="AG60" i="5"/>
  <c r="AH60" i="5"/>
  <c r="AI60" i="5"/>
  <c r="BQ60" i="5"/>
  <c r="BR60" i="5"/>
  <c r="BS60" i="5"/>
  <c r="BT60" i="5"/>
  <c r="BZ60" i="5"/>
  <c r="CA60" i="5"/>
  <c r="CB60" i="5"/>
  <c r="CC60" i="5"/>
  <c r="CD60" i="5"/>
  <c r="CX60" i="5"/>
  <c r="CY60" i="5"/>
  <c r="CZ60" i="5"/>
  <c r="DA60" i="5"/>
  <c r="DG60" i="5"/>
  <c r="DH60" i="5"/>
  <c r="DI60" i="5"/>
  <c r="DJ60" i="5"/>
  <c r="EC60" i="5"/>
  <c r="EH60" i="5" s="1"/>
  <c r="ED60" i="5"/>
  <c r="EF60" i="5"/>
  <c r="EG60" i="5"/>
  <c r="EI60" i="5"/>
  <c r="EX60" i="5"/>
  <c r="W61" i="5"/>
  <c r="BQ61" i="5" s="1"/>
  <c r="X61" i="5"/>
  <c r="BR61" i="5" s="1"/>
  <c r="Y61" i="5"/>
  <c r="CY61" i="5" s="1"/>
  <c r="Z61" i="5"/>
  <c r="CZ61" i="5" s="1"/>
  <c r="AA61" i="5"/>
  <c r="AB61" i="5"/>
  <c r="AC61" i="5"/>
  <c r="AD61" i="5"/>
  <c r="AE61" i="5"/>
  <c r="DG61" i="5" s="1"/>
  <c r="AF61" i="5"/>
  <c r="DH61" i="5" s="1"/>
  <c r="AG61" i="5"/>
  <c r="DI61" i="5" s="1"/>
  <c r="AH61" i="5"/>
  <c r="BT61" i="5"/>
  <c r="BU61" i="5"/>
  <c r="BX61" i="5"/>
  <c r="CC61" i="5"/>
  <c r="CD61" i="5"/>
  <c r="CX61" i="5"/>
  <c r="DA61" i="5"/>
  <c r="DD61" i="5"/>
  <c r="DE61" i="5"/>
  <c r="DJ61" i="5"/>
  <c r="EC61" i="5"/>
  <c r="FB61" i="5" s="1"/>
  <c r="ED61" i="5"/>
  <c r="EF61" i="5"/>
  <c r="EH61" i="5" s="1"/>
  <c r="EG61" i="5"/>
  <c r="EX61" i="5"/>
  <c r="N95" i="5"/>
  <c r="N94" i="5"/>
  <c r="N93" i="5"/>
  <c r="N92" i="5"/>
  <c r="N91" i="5"/>
  <c r="N90" i="5"/>
  <c r="N89" i="5"/>
  <c r="N88" i="5"/>
  <c r="N87" i="5"/>
  <c r="N86" i="5"/>
  <c r="N85" i="5"/>
  <c r="N84" i="5"/>
  <c r="N83" i="5"/>
  <c r="N82" i="5"/>
  <c r="N81" i="5"/>
  <c r="N80" i="5"/>
  <c r="N79" i="5"/>
  <c r="N78" i="5"/>
  <c r="N77" i="5"/>
  <c r="N76" i="5"/>
  <c r="N75" i="5"/>
  <c r="N74" i="5"/>
  <c r="N73" i="5"/>
  <c r="N72" i="5"/>
  <c r="N71" i="5"/>
  <c r="N70" i="5"/>
  <c r="N69" i="5"/>
  <c r="N68" i="5"/>
  <c r="N67" i="5"/>
  <c r="N66" i="5"/>
  <c r="N65" i="5"/>
  <c r="N64" i="5"/>
  <c r="N63" i="5"/>
  <c r="N62" i="5"/>
  <c r="N61" i="5"/>
  <c r="N60" i="5"/>
  <c r="N59" i="5"/>
  <c r="N58" i="5"/>
  <c r="N57" i="5"/>
  <c r="N56" i="5"/>
  <c r="N55" i="5"/>
  <c r="N54" i="5"/>
  <c r="N53" i="5"/>
  <c r="N52" i="5"/>
  <c r="N51" i="5"/>
  <c r="N50" i="5"/>
  <c r="N49" i="5"/>
  <c r="N48" i="5"/>
  <c r="EM9" i="5" l="1"/>
  <c r="EN9" i="5" s="1"/>
  <c r="CE60" i="5"/>
  <c r="DK60" i="5"/>
  <c r="DF61" i="5"/>
  <c r="BU60" i="5"/>
  <c r="CW61" i="5"/>
  <c r="CB61" i="5"/>
  <c r="FB60" i="5"/>
  <c r="BY60" i="5"/>
  <c r="CA61" i="5"/>
  <c r="BS61" i="5"/>
  <c r="CE61" i="5" s="1"/>
  <c r="BX60" i="5"/>
  <c r="EI61" i="5"/>
  <c r="BZ61" i="5"/>
  <c r="AI61" i="5"/>
  <c r="BY61" i="5"/>
  <c r="EO9" i="5" l="1"/>
  <c r="EP9" i="5" s="1"/>
  <c r="CH61" i="5"/>
  <c r="CP61" i="5"/>
  <c r="CI61" i="5"/>
  <c r="CQ61" i="5"/>
  <c r="CJ61" i="5"/>
  <c r="CR61" i="5"/>
  <c r="CK61" i="5"/>
  <c r="CS61" i="5"/>
  <c r="CT61" i="5"/>
  <c r="CN61" i="5"/>
  <c r="CG61" i="5"/>
  <c r="CO61" i="5"/>
  <c r="BE60" i="5"/>
  <c r="BM60" i="5"/>
  <c r="BH60" i="5"/>
  <c r="BA60" i="5"/>
  <c r="BI60" i="5"/>
  <c r="BB60" i="5"/>
  <c r="BJ60" i="5"/>
  <c r="BC60" i="5"/>
  <c r="BK60" i="5"/>
  <c r="BD60" i="5"/>
  <c r="BL60" i="5"/>
  <c r="BN60" i="5"/>
  <c r="CN60" i="5"/>
  <c r="CG60" i="5"/>
  <c r="CO60" i="5"/>
  <c r="CH60" i="5"/>
  <c r="CP60" i="5"/>
  <c r="CI60" i="5"/>
  <c r="CQ60" i="5"/>
  <c r="CJ60" i="5"/>
  <c r="CR60" i="5"/>
  <c r="CK60" i="5"/>
  <c r="CS60" i="5"/>
  <c r="CT60" i="5"/>
  <c r="DK61" i="5"/>
  <c r="DM60" i="5"/>
  <c r="DU60" i="5"/>
  <c r="DN60" i="5"/>
  <c r="DV60" i="5"/>
  <c r="DO60" i="5"/>
  <c r="DW60" i="5"/>
  <c r="DP60" i="5"/>
  <c r="DX60" i="5"/>
  <c r="DQ60" i="5"/>
  <c r="DY60" i="5"/>
  <c r="DZ60" i="5"/>
  <c r="EA60" i="5"/>
  <c r="DT60" i="5"/>
  <c r="CU60" i="5" l="1"/>
  <c r="EL60" i="5"/>
  <c r="EM60" i="5"/>
  <c r="CU61" i="5"/>
  <c r="BH61" i="5"/>
  <c r="BA61" i="5"/>
  <c r="BI61" i="5"/>
  <c r="BB61" i="5"/>
  <c r="BJ61" i="5"/>
  <c r="BC61" i="5"/>
  <c r="BK61" i="5"/>
  <c r="BD61" i="5"/>
  <c r="BL61" i="5"/>
  <c r="BE61" i="5"/>
  <c r="BM61" i="5"/>
  <c r="BN61" i="5"/>
  <c r="DP61" i="5"/>
  <c r="DX61" i="5"/>
  <c r="DQ61" i="5"/>
  <c r="DY61" i="5"/>
  <c r="DZ61" i="5"/>
  <c r="EA61" i="5"/>
  <c r="DT61" i="5"/>
  <c r="DM61" i="5"/>
  <c r="DU61" i="5"/>
  <c r="DN61" i="5"/>
  <c r="DV61" i="5"/>
  <c r="DO61" i="5"/>
  <c r="DW61" i="5"/>
  <c r="BO60" i="5"/>
  <c r="EZ60" i="5"/>
  <c r="EL61" i="5" l="1"/>
  <c r="EM61" i="5"/>
  <c r="FL61" i="5"/>
  <c r="FH61" i="5"/>
  <c r="FG61" i="5"/>
  <c r="EZ61" i="5"/>
  <c r="EN60" i="5"/>
  <c r="BO61" i="5"/>
  <c r="FH60" i="5"/>
  <c r="FL60" i="5"/>
  <c r="FG60" i="5"/>
  <c r="EO60" i="5" l="1"/>
  <c r="EP60" i="5" s="1"/>
  <c r="EN61" i="5"/>
  <c r="EO61" i="5" s="1"/>
  <c r="AY60" i="5" l="1"/>
  <c r="AX60" i="5"/>
  <c r="BF60" i="5" s="1"/>
  <c r="EP61" i="5"/>
  <c r="DC60" i="5"/>
  <c r="DS60" i="5" s="1"/>
  <c r="BW60" i="5"/>
  <c r="CM60" i="5" s="1"/>
  <c r="BV60" i="5"/>
  <c r="CL60" i="5" s="1"/>
  <c r="DB60" i="5"/>
  <c r="DR60" i="5" s="1"/>
  <c r="FA60" i="5" s="1"/>
  <c r="FC60" i="5" s="1"/>
  <c r="FD60" i="5" s="1"/>
  <c r="AX61" i="5" l="1"/>
  <c r="BF61" i="5" s="1"/>
  <c r="AY61" i="5"/>
  <c r="EQ60" i="5"/>
  <c r="ER60" i="5" s="1"/>
  <c r="ES60" i="5" s="1"/>
  <c r="BG60" i="5"/>
  <c r="EU60" i="5" s="1"/>
  <c r="EV60" i="5" s="1"/>
  <c r="FF60" i="5"/>
  <c r="FM60" i="5"/>
  <c r="DB61" i="5"/>
  <c r="DR61" i="5" s="1"/>
  <c r="FA61" i="5" s="1"/>
  <c r="FC61" i="5" s="1"/>
  <c r="FD61" i="5" s="1"/>
  <c r="DC61" i="5"/>
  <c r="DS61" i="5" s="1"/>
  <c r="BV61" i="5"/>
  <c r="CL61" i="5" s="1"/>
  <c r="BW61" i="5"/>
  <c r="CM61" i="5" s="1"/>
  <c r="EQ61" i="5" l="1"/>
  <c r="ER61" i="5" s="1"/>
  <c r="ES61" i="5" s="1"/>
  <c r="BG61" i="5"/>
  <c r="EU61" i="5" s="1"/>
  <c r="EV61" i="5" s="1"/>
  <c r="FR60" i="5"/>
  <c r="FT60" i="5"/>
  <c r="FN60" i="5"/>
  <c r="FO60" i="5" s="1"/>
  <c r="FP60" i="5"/>
  <c r="FQ60" i="5" s="1"/>
  <c r="FI60" i="5"/>
  <c r="FJ60" i="5"/>
  <c r="FM61" i="5"/>
  <c r="FF61" i="5"/>
  <c r="FS60" i="5" l="1"/>
  <c r="FU60" i="5"/>
  <c r="FI61" i="5"/>
  <c r="FJ61" i="5"/>
  <c r="FP61" i="5"/>
  <c r="FQ61" i="5" s="1"/>
  <c r="FN61" i="5"/>
  <c r="FO61" i="5" s="1"/>
  <c r="FR61" i="5"/>
  <c r="FT61" i="5"/>
  <c r="FU61" i="5" l="1"/>
  <c r="FS61" i="5"/>
  <c r="FW60" i="5" l="1"/>
  <c r="FX60" i="5"/>
  <c r="FY60" i="5"/>
  <c r="FZ60" i="5"/>
  <c r="GA60" i="5"/>
  <c r="GB60" i="5"/>
  <c r="GC60" i="5"/>
  <c r="GD60" i="5"/>
  <c r="GF60" i="5"/>
  <c r="GG60" i="5"/>
  <c r="GH60" i="5"/>
  <c r="GI60" i="5"/>
  <c r="GJ60" i="5"/>
  <c r="GE60" i="5" l="1"/>
  <c r="EG95" i="5" l="1"/>
  <c r="EF95" i="5"/>
  <c r="ED95" i="5"/>
  <c r="EC95" i="5"/>
  <c r="FB95" i="5" s="1"/>
  <c r="DA95" i="5"/>
  <c r="AE95" i="5"/>
  <c r="AC95" i="5"/>
  <c r="EG94" i="5"/>
  <c r="EF94" i="5"/>
  <c r="ED94" i="5"/>
  <c r="EC94" i="5"/>
  <c r="DA94" i="5"/>
  <c r="EG93" i="5"/>
  <c r="EF93" i="5"/>
  <c r="ED93" i="5"/>
  <c r="EC93" i="5"/>
  <c r="FB93" i="5" s="1"/>
  <c r="DA93" i="5"/>
  <c r="W93" i="5"/>
  <c r="EG92" i="5"/>
  <c r="EF92" i="5"/>
  <c r="ED92" i="5"/>
  <c r="EC92" i="5"/>
  <c r="FB92" i="5" s="1"/>
  <c r="DA92" i="5"/>
  <c r="EG91" i="5"/>
  <c r="EF91" i="5"/>
  <c r="ED91" i="5"/>
  <c r="EC91" i="5"/>
  <c r="DA91" i="5"/>
  <c r="EG90" i="5"/>
  <c r="EF90" i="5"/>
  <c r="ED90" i="5"/>
  <c r="EC90" i="5"/>
  <c r="DA90" i="5"/>
  <c r="EG89" i="5"/>
  <c r="EF89" i="5"/>
  <c r="ED89" i="5"/>
  <c r="EC89" i="5"/>
  <c r="DA89" i="5"/>
  <c r="EG88" i="5"/>
  <c r="EF88" i="5"/>
  <c r="ED88" i="5"/>
  <c r="EC88" i="5"/>
  <c r="FB88" i="5" s="1"/>
  <c r="DA88" i="5"/>
  <c r="AH88" i="5"/>
  <c r="EG87" i="5"/>
  <c r="EF87" i="5"/>
  <c r="ED87" i="5"/>
  <c r="EC87" i="5"/>
  <c r="DA87" i="5"/>
  <c r="Z87" i="5"/>
  <c r="BT87" i="5" s="1"/>
  <c r="EG86" i="5"/>
  <c r="EF86" i="5"/>
  <c r="ED86" i="5"/>
  <c r="EC86" i="5"/>
  <c r="DA86" i="5"/>
  <c r="EG85" i="5"/>
  <c r="EF85" i="5"/>
  <c r="ED85" i="5"/>
  <c r="EC85" i="5"/>
  <c r="FB85" i="5" s="1"/>
  <c r="DA85" i="5"/>
  <c r="EG84" i="5"/>
  <c r="EF84" i="5"/>
  <c r="ED84" i="5"/>
  <c r="EC84" i="5"/>
  <c r="DA84" i="5"/>
  <c r="W84" i="5"/>
  <c r="EG83" i="5"/>
  <c r="EF83" i="5"/>
  <c r="ED83" i="5"/>
  <c r="EC83" i="5"/>
  <c r="FB83" i="5" s="1"/>
  <c r="DA83" i="5"/>
  <c r="Z83" i="5"/>
  <c r="EG82" i="5"/>
  <c r="EF82" i="5"/>
  <c r="ED82" i="5"/>
  <c r="EC82" i="5"/>
  <c r="FB82" i="5" s="1"/>
  <c r="DA82" i="5"/>
  <c r="X82" i="5"/>
  <c r="EG81" i="5"/>
  <c r="EF81" i="5"/>
  <c r="ED81" i="5"/>
  <c r="EC81" i="5"/>
  <c r="DA81" i="5"/>
  <c r="AG81" i="5"/>
  <c r="DI81" i="5" s="1"/>
  <c r="EG80" i="5"/>
  <c r="EF80" i="5"/>
  <c r="ED80" i="5"/>
  <c r="EC80" i="5"/>
  <c r="DA80" i="5"/>
  <c r="EG79" i="5"/>
  <c r="EF79" i="5"/>
  <c r="ED79" i="5"/>
  <c r="EC79" i="5"/>
  <c r="FB79" i="5" s="1"/>
  <c r="DA79" i="5"/>
  <c r="EG78" i="5"/>
  <c r="EF78" i="5"/>
  <c r="ED78" i="5"/>
  <c r="EC78" i="5"/>
  <c r="DA78" i="5"/>
  <c r="AB78" i="5"/>
  <c r="EG77" i="5"/>
  <c r="EF77" i="5"/>
  <c r="ED77" i="5"/>
  <c r="EC77" i="5"/>
  <c r="FB77" i="5" s="1"/>
  <c r="DA77" i="5"/>
  <c r="EG76" i="5"/>
  <c r="EF76" i="5"/>
  <c r="ED76" i="5"/>
  <c r="EC76" i="5"/>
  <c r="FB76" i="5" s="1"/>
  <c r="DA76" i="5"/>
  <c r="AG76" i="5"/>
  <c r="EG75" i="5"/>
  <c r="EF75" i="5"/>
  <c r="ED75" i="5"/>
  <c r="EC75" i="5"/>
  <c r="DA75" i="5"/>
  <c r="EG74" i="5"/>
  <c r="EF74" i="5"/>
  <c r="ED74" i="5"/>
  <c r="EC74" i="5"/>
  <c r="DA74" i="5"/>
  <c r="X74" i="5"/>
  <c r="EG73" i="5"/>
  <c r="EF73" i="5"/>
  <c r="ED73" i="5"/>
  <c r="EC73" i="5"/>
  <c r="DA73" i="5"/>
  <c r="AA73" i="5"/>
  <c r="BU73" i="5" s="1"/>
  <c r="EG72" i="5"/>
  <c r="EF72" i="5"/>
  <c r="ED72" i="5"/>
  <c r="EC72" i="5"/>
  <c r="DA72" i="5"/>
  <c r="EG71" i="5"/>
  <c r="EF71" i="5"/>
  <c r="ED71" i="5"/>
  <c r="EC71" i="5"/>
  <c r="DA71" i="5"/>
  <c r="AA71" i="5"/>
  <c r="EG70" i="5"/>
  <c r="EF70" i="5"/>
  <c r="ED70" i="5"/>
  <c r="EC70" i="5"/>
  <c r="DA70" i="5"/>
  <c r="AD70" i="5"/>
  <c r="EG69" i="5"/>
  <c r="EF69" i="5"/>
  <c r="ED69" i="5"/>
  <c r="EC69" i="5"/>
  <c r="DA69" i="5"/>
  <c r="AD69" i="5"/>
  <c r="EG68" i="5"/>
  <c r="EF68" i="5"/>
  <c r="ED68" i="5"/>
  <c r="EC68" i="5"/>
  <c r="FB68" i="5" s="1"/>
  <c r="DA68" i="5"/>
  <c r="EG67" i="5"/>
  <c r="EF67" i="5"/>
  <c r="ED67" i="5"/>
  <c r="EC67" i="5"/>
  <c r="DA67" i="5"/>
  <c r="AD67" i="5"/>
  <c r="EG66" i="5"/>
  <c r="EF66" i="5"/>
  <c r="ED66" i="5"/>
  <c r="EC66" i="5"/>
  <c r="DA66" i="5"/>
  <c r="EG65" i="5"/>
  <c r="EF65" i="5"/>
  <c r="ED65" i="5"/>
  <c r="EC65" i="5"/>
  <c r="FB65" i="5" s="1"/>
  <c r="DA65" i="5"/>
  <c r="AE65" i="5"/>
  <c r="EG64" i="5"/>
  <c r="EF64" i="5"/>
  <c r="ED64" i="5"/>
  <c r="EC64" i="5"/>
  <c r="DA64" i="5"/>
  <c r="AA64" i="5"/>
  <c r="EG63" i="5"/>
  <c r="EF63" i="5"/>
  <c r="ED63" i="5"/>
  <c r="EC63" i="5"/>
  <c r="DA63" i="5"/>
  <c r="EG62" i="5"/>
  <c r="EF62" i="5"/>
  <c r="ED62" i="5"/>
  <c r="EC62" i="5"/>
  <c r="DA62" i="5"/>
  <c r="AF62" i="5"/>
  <c r="EG59" i="5"/>
  <c r="EF59" i="5"/>
  <c r="ED59" i="5"/>
  <c r="EC59" i="5"/>
  <c r="FB59" i="5" s="1"/>
  <c r="DA59" i="5"/>
  <c r="AH59" i="5"/>
  <c r="AD59" i="5"/>
  <c r="DF59" i="5" s="1"/>
  <c r="AC59" i="5"/>
  <c r="DE59" i="5" s="1"/>
  <c r="AA59" i="5"/>
  <c r="Z59" i="5"/>
  <c r="Y59" i="5"/>
  <c r="X59" i="5"/>
  <c r="AE59" i="5"/>
  <c r="DG59" i="5" s="1"/>
  <c r="EG58" i="5"/>
  <c r="EF58" i="5"/>
  <c r="ED58" i="5"/>
  <c r="EC58" i="5"/>
  <c r="DA58" i="5"/>
  <c r="AF58" i="5"/>
  <c r="EG57" i="5"/>
  <c r="EF57" i="5"/>
  <c r="ED57" i="5"/>
  <c r="EC57" i="5"/>
  <c r="DA57" i="5"/>
  <c r="AG57" i="5"/>
  <c r="AF57" i="5"/>
  <c r="EG56" i="5"/>
  <c r="EF56" i="5"/>
  <c r="ED56" i="5"/>
  <c r="EC56" i="5"/>
  <c r="DA56" i="5"/>
  <c r="AD56" i="5"/>
  <c r="AC56" i="5"/>
  <c r="AB56" i="5"/>
  <c r="AA56" i="5"/>
  <c r="BU56" i="5" s="1"/>
  <c r="AE56" i="5"/>
  <c r="EG55" i="5"/>
  <c r="EF55" i="5"/>
  <c r="ED55" i="5"/>
  <c r="EC55" i="5"/>
  <c r="DA55" i="5"/>
  <c r="AH55" i="5"/>
  <c r="AG55" i="5"/>
  <c r="AE55" i="5"/>
  <c r="AC55" i="5"/>
  <c r="EG54" i="5"/>
  <c r="EF54" i="5"/>
  <c r="ED54" i="5"/>
  <c r="EC54" i="5"/>
  <c r="DA54" i="5"/>
  <c r="AG54" i="5"/>
  <c r="AE54" i="5"/>
  <c r="AD54" i="5"/>
  <c r="AC54" i="5"/>
  <c r="EG53" i="5"/>
  <c r="EF53" i="5"/>
  <c r="ED53" i="5"/>
  <c r="EC53" i="5"/>
  <c r="DA53" i="5"/>
  <c r="AH53" i="5"/>
  <c r="DJ53" i="5" s="1"/>
  <c r="AG53" i="5"/>
  <c r="CC53" i="5" s="1"/>
  <c r="AE53" i="5"/>
  <c r="AC53" i="5"/>
  <c r="AB53" i="5"/>
  <c r="AA53" i="5"/>
  <c r="Z53" i="5"/>
  <c r="Y53" i="5"/>
  <c r="W53" i="5"/>
  <c r="AF53" i="5"/>
  <c r="CB53" i="5" s="1"/>
  <c r="EG52" i="5"/>
  <c r="EF52" i="5"/>
  <c r="ED52" i="5"/>
  <c r="EC52" i="5"/>
  <c r="FB52" i="5" s="1"/>
  <c r="DA52" i="5"/>
  <c r="AH52" i="5"/>
  <c r="AG52" i="5"/>
  <c r="DI52" i="5" s="1"/>
  <c r="AB52" i="5"/>
  <c r="BX52" i="5" s="1"/>
  <c r="AA52" i="5"/>
  <c r="Z52" i="5"/>
  <c r="CZ52" i="5" s="1"/>
  <c r="Y52" i="5"/>
  <c r="AF52" i="5"/>
  <c r="EG51" i="5"/>
  <c r="EF51" i="5"/>
  <c r="ED51" i="5"/>
  <c r="EC51" i="5"/>
  <c r="FB51" i="5" s="1"/>
  <c r="DA51" i="5"/>
  <c r="AH51" i="5"/>
  <c r="AG51" i="5"/>
  <c r="AF51" i="5"/>
  <c r="DH51" i="5" s="1"/>
  <c r="AE51" i="5"/>
  <c r="AC51" i="5"/>
  <c r="DE51" i="5" s="1"/>
  <c r="AB51" i="5"/>
  <c r="DD51" i="5" s="1"/>
  <c r="AA51" i="5"/>
  <c r="Z51" i="5"/>
  <c r="Y51" i="5"/>
  <c r="X51" i="5"/>
  <c r="CX51" i="5" s="1"/>
  <c r="W51" i="5"/>
  <c r="AD51" i="5"/>
  <c r="EG50" i="5"/>
  <c r="EF50" i="5"/>
  <c r="ED50" i="5"/>
  <c r="EC50" i="5"/>
  <c r="FB50" i="5" s="1"/>
  <c r="DA50" i="5"/>
  <c r="AH50" i="5"/>
  <c r="AG50" i="5"/>
  <c r="AF50" i="5"/>
  <c r="AE50" i="5"/>
  <c r="Z50" i="5"/>
  <c r="Y50" i="5"/>
  <c r="X50" i="5"/>
  <c r="W50" i="5"/>
  <c r="BQ50" i="5" s="1"/>
  <c r="AD50" i="5"/>
  <c r="DF50" i="5" s="1"/>
  <c r="EG49" i="5"/>
  <c r="EF49" i="5"/>
  <c r="ED49" i="5"/>
  <c r="EC49" i="5"/>
  <c r="DA49" i="5"/>
  <c r="AG49" i="5"/>
  <c r="AF49" i="5"/>
  <c r="AE49" i="5"/>
  <c r="AD49" i="5"/>
  <c r="Y49" i="5"/>
  <c r="EG48" i="5"/>
  <c r="EF48" i="5"/>
  <c r="ED48" i="5"/>
  <c r="EC48" i="5"/>
  <c r="DA48" i="5"/>
  <c r="AF48" i="5"/>
  <c r="AE48" i="5"/>
  <c r="AD48" i="5"/>
  <c r="EG47" i="5"/>
  <c r="EF47" i="5"/>
  <c r="ED47" i="5"/>
  <c r="EC47" i="5"/>
  <c r="FB47" i="5" s="1"/>
  <c r="DA47" i="5"/>
  <c r="AH47" i="5"/>
  <c r="CD47" i="5" s="1"/>
  <c r="AG47" i="5"/>
  <c r="CC47" i="5" s="1"/>
  <c r="AF47" i="5"/>
  <c r="DH47" i="5" s="1"/>
  <c r="AE47" i="5"/>
  <c r="DG47" i="5" s="1"/>
  <c r="AD47" i="5"/>
  <c r="AC47" i="5"/>
  <c r="AB47" i="5"/>
  <c r="BX47" i="5" s="1"/>
  <c r="AA47" i="5"/>
  <c r="Z47" i="5"/>
  <c r="BT47" i="5" s="1"/>
  <c r="Y47" i="5"/>
  <c r="X47" i="5"/>
  <c r="CX47" i="5" s="1"/>
  <c r="W47" i="5"/>
  <c r="EG46" i="5"/>
  <c r="EF46" i="5"/>
  <c r="ED46" i="5"/>
  <c r="EC46" i="5"/>
  <c r="FB46" i="5" s="1"/>
  <c r="DA46" i="5"/>
  <c r="AH46" i="5"/>
  <c r="DJ46" i="5" s="1"/>
  <c r="AG46" i="5"/>
  <c r="AF46" i="5"/>
  <c r="DH46" i="5" s="1"/>
  <c r="AE46" i="5"/>
  <c r="CA46" i="5" s="1"/>
  <c r="AD46" i="5"/>
  <c r="AC46" i="5"/>
  <c r="AB46" i="5"/>
  <c r="AA46" i="5"/>
  <c r="Z46" i="5"/>
  <c r="BT46" i="5" s="1"/>
  <c r="Y46" i="5"/>
  <c r="X46" i="5"/>
  <c r="W46" i="5"/>
  <c r="EG45" i="5"/>
  <c r="EF45" i="5"/>
  <c r="ED45" i="5"/>
  <c r="EC45" i="5"/>
  <c r="FB45" i="5" s="1"/>
  <c r="DA45" i="5"/>
  <c r="AH45" i="5"/>
  <c r="DJ45" i="5" s="1"/>
  <c r="AG45" i="5"/>
  <c r="AF45" i="5"/>
  <c r="AE45" i="5"/>
  <c r="AD45" i="5"/>
  <c r="DF45" i="5" s="1"/>
  <c r="AC45" i="5"/>
  <c r="AB45" i="5"/>
  <c r="AA45" i="5"/>
  <c r="Z45" i="5"/>
  <c r="CZ45" i="5" s="1"/>
  <c r="Y45" i="5"/>
  <c r="X45" i="5"/>
  <c r="CX45" i="5" s="1"/>
  <c r="W45" i="5"/>
  <c r="BQ45" i="5" s="1"/>
  <c r="EG44" i="5"/>
  <c r="EF44" i="5"/>
  <c r="ED44" i="5"/>
  <c r="EC44" i="5"/>
  <c r="DA44" i="5"/>
  <c r="AH44" i="5"/>
  <c r="AG44" i="5"/>
  <c r="AF44" i="5"/>
  <c r="DH44" i="5" s="1"/>
  <c r="AE44" i="5"/>
  <c r="DG44" i="5" s="1"/>
  <c r="AD44" i="5"/>
  <c r="BZ44" i="5" s="1"/>
  <c r="AC44" i="5"/>
  <c r="DE44" i="5" s="1"/>
  <c r="AB44" i="5"/>
  <c r="AA44" i="5"/>
  <c r="BU44" i="5" s="1"/>
  <c r="Z44" i="5"/>
  <c r="Y44" i="5"/>
  <c r="X44" i="5"/>
  <c r="BR44" i="5" s="1"/>
  <c r="W44" i="5"/>
  <c r="EG43" i="5"/>
  <c r="EF43" i="5"/>
  <c r="ED43" i="5"/>
  <c r="EC43" i="5"/>
  <c r="DA43" i="5"/>
  <c r="AH43" i="5"/>
  <c r="DJ43" i="5" s="1"/>
  <c r="AG43" i="5"/>
  <c r="DI43" i="5" s="1"/>
  <c r="AF43" i="5"/>
  <c r="CB43" i="5" s="1"/>
  <c r="AE43" i="5"/>
  <c r="CA43" i="5" s="1"/>
  <c r="AD43" i="5"/>
  <c r="AC43" i="5"/>
  <c r="DE43" i="5" s="1"/>
  <c r="AB43" i="5"/>
  <c r="BX43" i="5" s="1"/>
  <c r="AA43" i="5"/>
  <c r="BU43" i="5" s="1"/>
  <c r="Z43" i="5"/>
  <c r="Y43" i="5"/>
  <c r="X43" i="5"/>
  <c r="W43" i="5"/>
  <c r="EG42" i="5"/>
  <c r="EF42" i="5"/>
  <c r="ED42" i="5"/>
  <c r="EC42" i="5"/>
  <c r="DA42" i="5"/>
  <c r="AH42" i="5"/>
  <c r="AG42" i="5"/>
  <c r="CC42" i="5" s="1"/>
  <c r="AF42" i="5"/>
  <c r="AE42" i="5"/>
  <c r="DG42" i="5" s="1"/>
  <c r="AD42" i="5"/>
  <c r="DF42" i="5" s="1"/>
  <c r="AC42" i="5"/>
  <c r="AB42" i="5"/>
  <c r="AA42" i="5"/>
  <c r="BU42" i="5" s="1"/>
  <c r="Z42" i="5"/>
  <c r="CZ42" i="5" s="1"/>
  <c r="Y42" i="5"/>
  <c r="CY42" i="5" s="1"/>
  <c r="X42" i="5"/>
  <c r="CX42" i="5" s="1"/>
  <c r="W42" i="5"/>
  <c r="EG41" i="5"/>
  <c r="EF41" i="5"/>
  <c r="ED41" i="5"/>
  <c r="EC41" i="5"/>
  <c r="FB41" i="5" s="1"/>
  <c r="DA41" i="5"/>
  <c r="AH41" i="5"/>
  <c r="AG41" i="5"/>
  <c r="AF41" i="5"/>
  <c r="AE41" i="5"/>
  <c r="AD41" i="5"/>
  <c r="AC41" i="5"/>
  <c r="AB41" i="5"/>
  <c r="DD41" i="5" s="1"/>
  <c r="AA41" i="5"/>
  <c r="Z41" i="5"/>
  <c r="Y41" i="5"/>
  <c r="X41" i="5"/>
  <c r="W41" i="5"/>
  <c r="CW41" i="5" s="1"/>
  <c r="EG40" i="5"/>
  <c r="EF40" i="5"/>
  <c r="ED40" i="5"/>
  <c r="EC40" i="5"/>
  <c r="FB40" i="5" s="1"/>
  <c r="DA40" i="5"/>
  <c r="AH40" i="5"/>
  <c r="CD40" i="5" s="1"/>
  <c r="AG40" i="5"/>
  <c r="DI40" i="5" s="1"/>
  <c r="AF40" i="5"/>
  <c r="DH40" i="5" s="1"/>
  <c r="AE40" i="5"/>
  <c r="AD40" i="5"/>
  <c r="AC40" i="5"/>
  <c r="AB40" i="5"/>
  <c r="AA40" i="5"/>
  <c r="Z40" i="5"/>
  <c r="Y40" i="5"/>
  <c r="X40" i="5"/>
  <c r="CX40" i="5" s="1"/>
  <c r="W40" i="5"/>
  <c r="EG39" i="5"/>
  <c r="EF39" i="5"/>
  <c r="ED39" i="5"/>
  <c r="EC39" i="5"/>
  <c r="DA39" i="5"/>
  <c r="AH39" i="5"/>
  <c r="AG39" i="5"/>
  <c r="AF39" i="5"/>
  <c r="AE39" i="5"/>
  <c r="AD39" i="5"/>
  <c r="BZ39" i="5" s="1"/>
  <c r="AC39" i="5"/>
  <c r="DE39" i="5" s="1"/>
  <c r="AB39" i="5"/>
  <c r="BX39" i="5" s="1"/>
  <c r="AA39" i="5"/>
  <c r="Z39" i="5"/>
  <c r="Y39" i="5"/>
  <c r="X39" i="5"/>
  <c r="BR39" i="5" s="1"/>
  <c r="W39" i="5"/>
  <c r="EG38" i="5"/>
  <c r="EF38" i="5"/>
  <c r="ED38" i="5"/>
  <c r="EC38" i="5"/>
  <c r="FB38" i="5" s="1"/>
  <c r="DA38" i="5"/>
  <c r="AH38" i="5"/>
  <c r="AG38" i="5"/>
  <c r="AF38" i="5"/>
  <c r="AE38" i="5"/>
  <c r="DG38" i="5" s="1"/>
  <c r="AD38" i="5"/>
  <c r="AC38" i="5"/>
  <c r="BY38" i="5" s="1"/>
  <c r="AB38" i="5"/>
  <c r="AA38" i="5"/>
  <c r="Z38" i="5"/>
  <c r="Y38" i="5"/>
  <c r="X38" i="5"/>
  <c r="W38" i="5"/>
  <c r="EG37" i="5"/>
  <c r="EF37" i="5"/>
  <c r="ED37" i="5"/>
  <c r="EC37" i="5"/>
  <c r="DA37" i="5"/>
  <c r="AH37" i="5"/>
  <c r="DJ37" i="5" s="1"/>
  <c r="AG37" i="5"/>
  <c r="DI37" i="5" s="1"/>
  <c r="AF37" i="5"/>
  <c r="AE37" i="5"/>
  <c r="AD37" i="5"/>
  <c r="DF37" i="5" s="1"/>
  <c r="AC37" i="5"/>
  <c r="DE37" i="5" s="1"/>
  <c r="AB37" i="5"/>
  <c r="AA37" i="5"/>
  <c r="BU37" i="5" s="1"/>
  <c r="Z37" i="5"/>
  <c r="BT37" i="5" s="1"/>
  <c r="Y37" i="5"/>
  <c r="X37" i="5"/>
  <c r="W37" i="5"/>
  <c r="EG36" i="5"/>
  <c r="EF36" i="5"/>
  <c r="ED36" i="5"/>
  <c r="EC36" i="5"/>
  <c r="DA36" i="5"/>
  <c r="AH36" i="5"/>
  <c r="DJ36" i="5" s="1"/>
  <c r="AG36" i="5"/>
  <c r="AF36" i="5"/>
  <c r="DH36" i="5" s="1"/>
  <c r="AE36" i="5"/>
  <c r="AD36" i="5"/>
  <c r="AC36" i="5"/>
  <c r="AB36" i="5"/>
  <c r="DD36" i="5" s="1"/>
  <c r="AA36" i="5"/>
  <c r="BU36" i="5" s="1"/>
  <c r="Z36" i="5"/>
  <c r="CZ36" i="5" s="1"/>
  <c r="Y36" i="5"/>
  <c r="X36" i="5"/>
  <c r="BR36" i="5" s="1"/>
  <c r="W36" i="5"/>
  <c r="EG35" i="5"/>
  <c r="EF35" i="5"/>
  <c r="ED35" i="5"/>
  <c r="EC35" i="5"/>
  <c r="DA35" i="5"/>
  <c r="AH35" i="5"/>
  <c r="DJ35" i="5" s="1"/>
  <c r="AG35" i="5"/>
  <c r="AF35" i="5"/>
  <c r="AE35" i="5"/>
  <c r="CA35" i="5" s="1"/>
  <c r="AD35" i="5"/>
  <c r="AC35" i="5"/>
  <c r="AB35" i="5"/>
  <c r="AA35" i="5"/>
  <c r="Z35" i="5"/>
  <c r="Y35" i="5"/>
  <c r="CY35" i="5" s="1"/>
  <c r="X35" i="5"/>
  <c r="CX35" i="5" s="1"/>
  <c r="W35" i="5"/>
  <c r="EG34" i="5"/>
  <c r="EF34" i="5"/>
  <c r="ED34" i="5"/>
  <c r="EC34" i="5"/>
  <c r="FB34" i="5" s="1"/>
  <c r="DA34" i="5"/>
  <c r="AH34" i="5"/>
  <c r="AG34" i="5"/>
  <c r="AF34" i="5"/>
  <c r="CB34" i="5" s="1"/>
  <c r="AE34" i="5"/>
  <c r="AD34" i="5"/>
  <c r="BZ34" i="5" s="1"/>
  <c r="AC34" i="5"/>
  <c r="BY34" i="5" s="1"/>
  <c r="AB34" i="5"/>
  <c r="AA34" i="5"/>
  <c r="Z34" i="5"/>
  <c r="Y34" i="5"/>
  <c r="X34" i="5"/>
  <c r="BR34" i="5" s="1"/>
  <c r="W34" i="5"/>
  <c r="EG33" i="5"/>
  <c r="EF33" i="5"/>
  <c r="ED33" i="5"/>
  <c r="EC33" i="5"/>
  <c r="DA33" i="5"/>
  <c r="AH33" i="5"/>
  <c r="DJ33" i="5" s="1"/>
  <c r="AG33" i="5"/>
  <c r="AF33" i="5"/>
  <c r="AE33" i="5"/>
  <c r="AD33" i="5"/>
  <c r="AC33" i="5"/>
  <c r="BY33" i="5" s="1"/>
  <c r="AB33" i="5"/>
  <c r="BX33" i="5" s="1"/>
  <c r="AA33" i="5"/>
  <c r="BU33" i="5" s="1"/>
  <c r="Z33" i="5"/>
  <c r="BT33" i="5" s="1"/>
  <c r="Y33" i="5"/>
  <c r="X33" i="5"/>
  <c r="BR33" i="5" s="1"/>
  <c r="W33" i="5"/>
  <c r="EG32" i="5"/>
  <c r="EF32" i="5"/>
  <c r="ED32" i="5"/>
  <c r="EC32" i="5"/>
  <c r="DA32" i="5"/>
  <c r="AH32" i="5"/>
  <c r="AG32" i="5"/>
  <c r="AF32" i="5"/>
  <c r="AE32" i="5"/>
  <c r="CA32" i="5" s="1"/>
  <c r="AD32" i="5"/>
  <c r="DF32" i="5" s="1"/>
  <c r="AC32" i="5"/>
  <c r="BY32" i="5" s="1"/>
  <c r="AB32" i="5"/>
  <c r="DD32" i="5" s="1"/>
  <c r="AA32" i="5"/>
  <c r="Z32" i="5"/>
  <c r="Y32" i="5"/>
  <c r="CY32" i="5" s="1"/>
  <c r="X32" i="5"/>
  <c r="CX32" i="5" s="1"/>
  <c r="W32" i="5"/>
  <c r="CW32" i="5" s="1"/>
  <c r="EG31" i="5"/>
  <c r="EF31" i="5"/>
  <c r="ED31" i="5"/>
  <c r="EC31" i="5"/>
  <c r="DA31" i="5"/>
  <c r="AH31" i="5"/>
  <c r="CD31" i="5" s="1"/>
  <c r="AG31" i="5"/>
  <c r="DI31" i="5" s="1"/>
  <c r="AF31" i="5"/>
  <c r="AE31" i="5"/>
  <c r="AD31" i="5"/>
  <c r="BZ31" i="5" s="1"/>
  <c r="AC31" i="5"/>
  <c r="AB31" i="5"/>
  <c r="DD31" i="5" s="1"/>
  <c r="AA31" i="5"/>
  <c r="Z31" i="5"/>
  <c r="CZ31" i="5" s="1"/>
  <c r="Y31" i="5"/>
  <c r="BS31" i="5" s="1"/>
  <c r="X31" i="5"/>
  <c r="CX31" i="5" s="1"/>
  <c r="W31" i="5"/>
  <c r="EG30" i="5"/>
  <c r="EF30" i="5"/>
  <c r="ED30" i="5"/>
  <c r="EC30" i="5"/>
  <c r="FB30" i="5" s="1"/>
  <c r="DA30" i="5"/>
  <c r="AH30" i="5"/>
  <c r="AG30" i="5"/>
  <c r="AF30" i="5"/>
  <c r="CB30" i="5" s="1"/>
  <c r="AE30" i="5"/>
  <c r="AD30" i="5"/>
  <c r="AC30" i="5"/>
  <c r="BY30" i="5" s="1"/>
  <c r="AB30" i="5"/>
  <c r="BX30" i="5" s="1"/>
  <c r="AA30" i="5"/>
  <c r="Z30" i="5"/>
  <c r="Y30" i="5"/>
  <c r="X30" i="5"/>
  <c r="W30" i="5"/>
  <c r="EG29" i="5"/>
  <c r="EF29" i="5"/>
  <c r="ED29" i="5"/>
  <c r="EC29" i="5"/>
  <c r="DA29" i="5"/>
  <c r="AH29" i="5"/>
  <c r="DJ29" i="5" s="1"/>
  <c r="AG29" i="5"/>
  <c r="AF29" i="5"/>
  <c r="AE29" i="5"/>
  <c r="AD29" i="5"/>
  <c r="AC29" i="5"/>
  <c r="AB29" i="5"/>
  <c r="BX29" i="5" s="1"/>
  <c r="AA29" i="5"/>
  <c r="Z29" i="5"/>
  <c r="BT29" i="5" s="1"/>
  <c r="Y29" i="5"/>
  <c r="BS29" i="5" s="1"/>
  <c r="X29" i="5"/>
  <c r="W29" i="5"/>
  <c r="EG28" i="5"/>
  <c r="EF28" i="5"/>
  <c r="ED28" i="5"/>
  <c r="EC28" i="5"/>
  <c r="FB28" i="5" s="1"/>
  <c r="DA28" i="5"/>
  <c r="AH28" i="5"/>
  <c r="AG28" i="5"/>
  <c r="AF28" i="5"/>
  <c r="DH28" i="5" s="1"/>
  <c r="AE28" i="5"/>
  <c r="AD28" i="5"/>
  <c r="DF28" i="5" s="1"/>
  <c r="AC28" i="5"/>
  <c r="DE28" i="5" s="1"/>
  <c r="AB28" i="5"/>
  <c r="AA28" i="5"/>
  <c r="Z28" i="5"/>
  <c r="Y28" i="5"/>
  <c r="CY28" i="5" s="1"/>
  <c r="X28" i="5"/>
  <c r="W28" i="5"/>
  <c r="BQ28" i="5" s="1"/>
  <c r="EG27" i="5"/>
  <c r="EF27" i="5"/>
  <c r="ED27" i="5"/>
  <c r="EC27" i="5"/>
  <c r="DA27" i="5"/>
  <c r="AH27" i="5"/>
  <c r="DJ27" i="5" s="1"/>
  <c r="AG27" i="5"/>
  <c r="CC27" i="5" s="1"/>
  <c r="AF27" i="5"/>
  <c r="CB27" i="5" s="1"/>
  <c r="AE27" i="5"/>
  <c r="AD27" i="5"/>
  <c r="BZ27" i="5" s="1"/>
  <c r="AC27" i="5"/>
  <c r="AB27" i="5"/>
  <c r="DD27" i="5" s="1"/>
  <c r="AA27" i="5"/>
  <c r="BU27" i="5" s="1"/>
  <c r="Z27" i="5"/>
  <c r="CZ27" i="5" s="1"/>
  <c r="Y27" i="5"/>
  <c r="X27" i="5"/>
  <c r="W27" i="5"/>
  <c r="EG26" i="5"/>
  <c r="EF26" i="5"/>
  <c r="ED26" i="5"/>
  <c r="EC26" i="5"/>
  <c r="FB26" i="5" s="1"/>
  <c r="DA26" i="5"/>
  <c r="AH26" i="5"/>
  <c r="DJ26" i="5" s="1"/>
  <c r="AG26" i="5"/>
  <c r="CC26" i="5" s="1"/>
  <c r="AF26" i="5"/>
  <c r="CB26" i="5" s="1"/>
  <c r="AE26" i="5"/>
  <c r="CA26" i="5" s="1"/>
  <c r="AD26" i="5"/>
  <c r="BZ26" i="5" s="1"/>
  <c r="AC26" i="5"/>
  <c r="BY26" i="5" s="1"/>
  <c r="AB26" i="5"/>
  <c r="BX26" i="5" s="1"/>
  <c r="AA26" i="5"/>
  <c r="Z26" i="5"/>
  <c r="Y26" i="5"/>
  <c r="CY26" i="5" s="1"/>
  <c r="X26" i="5"/>
  <c r="CX26" i="5" s="1"/>
  <c r="W26" i="5"/>
  <c r="CW26" i="5" s="1"/>
  <c r="EG25" i="5"/>
  <c r="EF25" i="5"/>
  <c r="ED25" i="5"/>
  <c r="EC25" i="5"/>
  <c r="FB25" i="5" s="1"/>
  <c r="DA25" i="5"/>
  <c r="AH25" i="5"/>
  <c r="DJ25" i="5" s="1"/>
  <c r="AG25" i="5"/>
  <c r="AF25" i="5"/>
  <c r="AE25" i="5"/>
  <c r="AD25" i="5"/>
  <c r="AC25" i="5"/>
  <c r="BY25" i="5" s="1"/>
  <c r="AB25" i="5"/>
  <c r="AA25" i="5"/>
  <c r="Z25" i="5"/>
  <c r="CZ25" i="5" s="1"/>
  <c r="Y25" i="5"/>
  <c r="BS25" i="5" s="1"/>
  <c r="X25" i="5"/>
  <c r="W25" i="5"/>
  <c r="EG24" i="5"/>
  <c r="EF24" i="5"/>
  <c r="ED24" i="5"/>
  <c r="EC24" i="5"/>
  <c r="FB24" i="5" s="1"/>
  <c r="DA24" i="5"/>
  <c r="AH24" i="5"/>
  <c r="AG24" i="5"/>
  <c r="DI24" i="5" s="1"/>
  <c r="AF24" i="5"/>
  <c r="CB24" i="5" s="1"/>
  <c r="AE24" i="5"/>
  <c r="DG24" i="5" s="1"/>
  <c r="AD24" i="5"/>
  <c r="AC24" i="5"/>
  <c r="AB24" i="5"/>
  <c r="DD24" i="5" s="1"/>
  <c r="AA24" i="5"/>
  <c r="BU24" i="5" s="1"/>
  <c r="Z24" i="5"/>
  <c r="Y24" i="5"/>
  <c r="CY24" i="5" s="1"/>
  <c r="X24" i="5"/>
  <c r="CX24" i="5" s="1"/>
  <c r="W24" i="5"/>
  <c r="EG23" i="5"/>
  <c r="EF23" i="5"/>
  <c r="ED23" i="5"/>
  <c r="EC23" i="5"/>
  <c r="FB23" i="5" s="1"/>
  <c r="DA23" i="5"/>
  <c r="AH23" i="5"/>
  <c r="AG23" i="5"/>
  <c r="CC23" i="5" s="1"/>
  <c r="AF23" i="5"/>
  <c r="CB23" i="5" s="1"/>
  <c r="AE23" i="5"/>
  <c r="AD23" i="5"/>
  <c r="AC23" i="5"/>
  <c r="DE23" i="5" s="1"/>
  <c r="AB23" i="5"/>
  <c r="AA23" i="5"/>
  <c r="Z23" i="5"/>
  <c r="Y23" i="5"/>
  <c r="X23" i="5"/>
  <c r="W23" i="5"/>
  <c r="CW23" i="5" s="1"/>
  <c r="EG22" i="5"/>
  <c r="EF22" i="5"/>
  <c r="ED22" i="5"/>
  <c r="EC22" i="5"/>
  <c r="FB22" i="5" s="1"/>
  <c r="DA22" i="5"/>
  <c r="AH22" i="5"/>
  <c r="AG22" i="5"/>
  <c r="AF22" i="5"/>
  <c r="AE22" i="5"/>
  <c r="CA22" i="5" s="1"/>
  <c r="AD22" i="5"/>
  <c r="DF22" i="5" s="1"/>
  <c r="AC22" i="5"/>
  <c r="AB22" i="5"/>
  <c r="BX22" i="5" s="1"/>
  <c r="AA22" i="5"/>
  <c r="Z22" i="5"/>
  <c r="Y22" i="5"/>
  <c r="X22" i="5"/>
  <c r="W22" i="5"/>
  <c r="EG21" i="5"/>
  <c r="EF21" i="5"/>
  <c r="ED21" i="5"/>
  <c r="EC21" i="5"/>
  <c r="DA21" i="5"/>
  <c r="AH21" i="5"/>
  <c r="AG21" i="5"/>
  <c r="DI21" i="5" s="1"/>
  <c r="AF21" i="5"/>
  <c r="AE21" i="5"/>
  <c r="AD21" i="5"/>
  <c r="DF21" i="5" s="1"/>
  <c r="AC21" i="5"/>
  <c r="BY21" i="5" s="1"/>
  <c r="AB21" i="5"/>
  <c r="AA21" i="5"/>
  <c r="BU21" i="5" s="1"/>
  <c r="Z21" i="5"/>
  <c r="Y21" i="5"/>
  <c r="X21" i="5"/>
  <c r="W21" i="5"/>
  <c r="EG20" i="5"/>
  <c r="EF20" i="5"/>
  <c r="ED20" i="5"/>
  <c r="EC20" i="5"/>
  <c r="FB20" i="5" s="1"/>
  <c r="DA20" i="5"/>
  <c r="AH20" i="5"/>
  <c r="AG20" i="5"/>
  <c r="CC20" i="5" s="1"/>
  <c r="AF20" i="5"/>
  <c r="DH20" i="5" s="1"/>
  <c r="AE20" i="5"/>
  <c r="AD20" i="5"/>
  <c r="AC20" i="5"/>
  <c r="AB20" i="5"/>
  <c r="AA20" i="5"/>
  <c r="BU20" i="5" s="1"/>
  <c r="Z20" i="5"/>
  <c r="Y20" i="5"/>
  <c r="CY20" i="5" s="1"/>
  <c r="X20" i="5"/>
  <c r="CX20" i="5" s="1"/>
  <c r="W20" i="5"/>
  <c r="EG19" i="5"/>
  <c r="EF19" i="5"/>
  <c r="ED19" i="5"/>
  <c r="EC19" i="5"/>
  <c r="FB19" i="5" s="1"/>
  <c r="DA19" i="5"/>
  <c r="AH19" i="5"/>
  <c r="AG19" i="5"/>
  <c r="CC19" i="5" s="1"/>
  <c r="AF19" i="5"/>
  <c r="AE19" i="5"/>
  <c r="AD19" i="5"/>
  <c r="DF19" i="5" s="1"/>
  <c r="AC19" i="5"/>
  <c r="DE19" i="5" s="1"/>
  <c r="AB19" i="5"/>
  <c r="AA19" i="5"/>
  <c r="Z19" i="5"/>
  <c r="Y19" i="5"/>
  <c r="X19" i="5"/>
  <c r="W19" i="5"/>
  <c r="CW19" i="5" s="1"/>
  <c r="EG18" i="5"/>
  <c r="EF18" i="5"/>
  <c r="ED18" i="5"/>
  <c r="EC18" i="5"/>
  <c r="FB18" i="5" s="1"/>
  <c r="DA18" i="5"/>
  <c r="AH18" i="5"/>
  <c r="AG18" i="5"/>
  <c r="AF18" i="5"/>
  <c r="DH18" i="5" s="1"/>
  <c r="AE18" i="5"/>
  <c r="CA18" i="5" s="1"/>
  <c r="AD18" i="5"/>
  <c r="AC18" i="5"/>
  <c r="DE18" i="5" s="1"/>
  <c r="AB18" i="5"/>
  <c r="DD18" i="5" s="1"/>
  <c r="AA18" i="5"/>
  <c r="Z18" i="5"/>
  <c r="CZ18" i="5" s="1"/>
  <c r="Y18" i="5"/>
  <c r="CY18" i="5" s="1"/>
  <c r="X18" i="5"/>
  <c r="W18" i="5"/>
  <c r="EG17" i="5"/>
  <c r="EF17" i="5"/>
  <c r="ED17" i="5"/>
  <c r="EC17" i="5"/>
  <c r="DA17" i="5"/>
  <c r="AH17" i="5"/>
  <c r="DJ17" i="5" s="1"/>
  <c r="AG17" i="5"/>
  <c r="DI17" i="5" s="1"/>
  <c r="AF17" i="5"/>
  <c r="AE17" i="5"/>
  <c r="AD17" i="5"/>
  <c r="DF17" i="5" s="1"/>
  <c r="AC17" i="5"/>
  <c r="BY17" i="5" s="1"/>
  <c r="AB17" i="5"/>
  <c r="DD17" i="5" s="1"/>
  <c r="AA17" i="5"/>
  <c r="Z17" i="5"/>
  <c r="CZ17" i="5" s="1"/>
  <c r="Y17" i="5"/>
  <c r="X17" i="5"/>
  <c r="W17" i="5"/>
  <c r="EG16" i="5"/>
  <c r="EF16" i="5"/>
  <c r="ED16" i="5"/>
  <c r="EC16" i="5"/>
  <c r="FB16" i="5" s="1"/>
  <c r="DA16" i="5"/>
  <c r="AH16" i="5"/>
  <c r="DJ16" i="5" s="1"/>
  <c r="AG16" i="5"/>
  <c r="DI16" i="5" s="1"/>
  <c r="AF16" i="5"/>
  <c r="DH16" i="5" s="1"/>
  <c r="AE16" i="5"/>
  <c r="DG16" i="5" s="1"/>
  <c r="AD16" i="5"/>
  <c r="AC16" i="5"/>
  <c r="AB16" i="5"/>
  <c r="AA16" i="5"/>
  <c r="BU16" i="5" s="1"/>
  <c r="Z16" i="5"/>
  <c r="BT16" i="5" s="1"/>
  <c r="Y16" i="5"/>
  <c r="CY16" i="5" s="1"/>
  <c r="X16" i="5"/>
  <c r="CX16" i="5" s="1"/>
  <c r="W16" i="5"/>
  <c r="EG15" i="5"/>
  <c r="EF15" i="5"/>
  <c r="ED15" i="5"/>
  <c r="EC15" i="5"/>
  <c r="FB15" i="5" s="1"/>
  <c r="DA15" i="5"/>
  <c r="AH15" i="5"/>
  <c r="DJ15" i="5" s="1"/>
  <c r="AG15" i="5"/>
  <c r="CC15" i="5" s="1"/>
  <c r="AF15" i="5"/>
  <c r="DH15" i="5" s="1"/>
  <c r="AE15" i="5"/>
  <c r="CA15" i="5" s="1"/>
  <c r="AD15" i="5"/>
  <c r="BZ15" i="5" s="1"/>
  <c r="AC15" i="5"/>
  <c r="DE15" i="5" s="1"/>
  <c r="AB15" i="5"/>
  <c r="AA15" i="5"/>
  <c r="Z15" i="5"/>
  <c r="Y15" i="5"/>
  <c r="X15" i="5"/>
  <c r="W15" i="5"/>
  <c r="CW15" i="5" s="1"/>
  <c r="EG14" i="5"/>
  <c r="EF14" i="5"/>
  <c r="ED14" i="5"/>
  <c r="EC14" i="5"/>
  <c r="FB14" i="5" s="1"/>
  <c r="DA14" i="5"/>
  <c r="AH14" i="5"/>
  <c r="AG14" i="5"/>
  <c r="AF14" i="5"/>
  <c r="DH14" i="5" s="1"/>
  <c r="AE14" i="5"/>
  <c r="CA14" i="5" s="1"/>
  <c r="AD14" i="5"/>
  <c r="AC14" i="5"/>
  <c r="AB14" i="5"/>
  <c r="DD14" i="5" s="1"/>
  <c r="AA14" i="5"/>
  <c r="Z14" i="5"/>
  <c r="Y14" i="5"/>
  <c r="X14" i="5"/>
  <c r="W14" i="5"/>
  <c r="EG13" i="5"/>
  <c r="EF13" i="5"/>
  <c r="ED13" i="5"/>
  <c r="EC13" i="5"/>
  <c r="DA13" i="5"/>
  <c r="AH13" i="5"/>
  <c r="DJ13" i="5" s="1"/>
  <c r="AG13" i="5"/>
  <c r="AF13" i="5"/>
  <c r="AE13" i="5"/>
  <c r="AD13" i="5"/>
  <c r="DF13" i="5" s="1"/>
  <c r="AC13" i="5"/>
  <c r="BY13" i="5" s="1"/>
  <c r="AB13" i="5"/>
  <c r="DD13" i="5" s="1"/>
  <c r="AA13" i="5"/>
  <c r="BU13" i="5" s="1"/>
  <c r="Z13" i="5"/>
  <c r="CZ13" i="5" s="1"/>
  <c r="Y13" i="5"/>
  <c r="X13" i="5"/>
  <c r="W13" i="5"/>
  <c r="CW13" i="5" s="1"/>
  <c r="EG12" i="5"/>
  <c r="EF12" i="5"/>
  <c r="ED12" i="5"/>
  <c r="EC12" i="5"/>
  <c r="FB12" i="5" s="1"/>
  <c r="DA12" i="5"/>
  <c r="AH12" i="5"/>
  <c r="AG12" i="5"/>
  <c r="CC12" i="5" s="1"/>
  <c r="AF12" i="5"/>
  <c r="DH12" i="5" s="1"/>
  <c r="AE12" i="5"/>
  <c r="DG12" i="5" s="1"/>
  <c r="AD12" i="5"/>
  <c r="AC12" i="5"/>
  <c r="AB12" i="5"/>
  <c r="AA12" i="5"/>
  <c r="BU12" i="5" s="1"/>
  <c r="Z12" i="5"/>
  <c r="CZ12" i="5" s="1"/>
  <c r="Y12" i="5"/>
  <c r="CY12" i="5" s="1"/>
  <c r="X12" i="5"/>
  <c r="CX12" i="5" s="1"/>
  <c r="W12" i="5"/>
  <c r="EG11" i="5"/>
  <c r="EF11" i="5"/>
  <c r="ED11" i="5"/>
  <c r="EC11" i="5"/>
  <c r="FB11" i="5" s="1"/>
  <c r="DA11" i="5"/>
  <c r="AH11" i="5"/>
  <c r="AG11" i="5"/>
  <c r="CC11" i="5" s="1"/>
  <c r="AF11" i="5"/>
  <c r="AE11" i="5"/>
  <c r="AD11" i="5"/>
  <c r="DF11" i="5" s="1"/>
  <c r="AC11" i="5"/>
  <c r="DE11" i="5" s="1"/>
  <c r="AB11" i="5"/>
  <c r="AA11" i="5"/>
  <c r="Z11" i="5"/>
  <c r="Y11" i="5"/>
  <c r="X11" i="5"/>
  <c r="W11" i="5"/>
  <c r="CW11" i="5" s="1"/>
  <c r="EG10" i="5"/>
  <c r="EF10" i="5"/>
  <c r="ED10" i="5"/>
  <c r="EC10" i="5"/>
  <c r="FB10" i="5" s="1"/>
  <c r="DA10" i="5"/>
  <c r="AH10" i="5"/>
  <c r="AG10" i="5"/>
  <c r="AF10" i="5"/>
  <c r="DH10" i="5" s="1"/>
  <c r="AE10" i="5"/>
  <c r="CA10" i="5" s="1"/>
  <c r="AD10" i="5"/>
  <c r="BZ10" i="5" s="1"/>
  <c r="AC10" i="5"/>
  <c r="AB10" i="5"/>
  <c r="DD10" i="5" s="1"/>
  <c r="AA10" i="5"/>
  <c r="Z10" i="5"/>
  <c r="Y10" i="5"/>
  <c r="CY10" i="5" s="1"/>
  <c r="X10" i="5"/>
  <c r="CX10" i="5" s="1"/>
  <c r="W10" i="5"/>
  <c r="EG9" i="5"/>
  <c r="EC9" i="5"/>
  <c r="DA9" i="5"/>
  <c r="AH9" i="5"/>
  <c r="DJ9" i="5" s="1"/>
  <c r="AG9" i="5"/>
  <c r="DI9" i="5" s="1"/>
  <c r="AF9" i="5"/>
  <c r="AE9" i="5"/>
  <c r="AD9" i="5"/>
  <c r="AC9" i="5"/>
  <c r="BY9" i="5" s="1"/>
  <c r="AB9" i="5"/>
  <c r="BX9" i="5" s="1"/>
  <c r="AA9" i="5"/>
  <c r="BU9" i="5" s="1"/>
  <c r="Z9" i="5"/>
  <c r="CZ9" i="5" s="1"/>
  <c r="Y9" i="5"/>
  <c r="X9" i="5"/>
  <c r="W9" i="5"/>
  <c r="FZ93" i="5" l="1"/>
  <c r="FW41" i="5"/>
  <c r="FZ68" i="5"/>
  <c r="FZ72" i="5"/>
  <c r="FW77" i="5"/>
  <c r="FZ81" i="5"/>
  <c r="FZ89" i="5"/>
  <c r="FW12" i="5"/>
  <c r="FW28" i="5"/>
  <c r="FW35" i="5"/>
  <c r="FZ63" i="5"/>
  <c r="FZ67" i="5"/>
  <c r="FZ71" i="5"/>
  <c r="FZ75" i="5"/>
  <c r="FW76" i="5"/>
  <c r="FW80" i="5"/>
  <c r="FZ84" i="5"/>
  <c r="EI88" i="5"/>
  <c r="FY88" i="5" s="1"/>
  <c r="FZ88" i="5"/>
  <c r="FZ92" i="5"/>
  <c r="FW33" i="5"/>
  <c r="FZ85" i="5"/>
  <c r="FW27" i="5"/>
  <c r="FW64" i="5"/>
  <c r="FZ76" i="5"/>
  <c r="FZ80" i="5"/>
  <c r="FW93" i="5"/>
  <c r="FW13" i="5"/>
  <c r="FW36" i="5"/>
  <c r="FW63" i="5"/>
  <c r="FW67" i="5"/>
  <c r="FW71" i="5"/>
  <c r="FW75" i="5"/>
  <c r="FZ79" i="5"/>
  <c r="FW84" i="5"/>
  <c r="FW88" i="5"/>
  <c r="FW92" i="5"/>
  <c r="FW9" i="5"/>
  <c r="EX9" i="5"/>
  <c r="FZ64" i="5"/>
  <c r="FW49" i="5"/>
  <c r="FW68" i="5"/>
  <c r="FW72" i="5"/>
  <c r="FW81" i="5"/>
  <c r="EX85" i="5"/>
  <c r="GI85" i="5" s="1"/>
  <c r="FW85" i="5"/>
  <c r="FW89" i="5"/>
  <c r="EX30" i="5"/>
  <c r="GI30" i="5" s="1"/>
  <c r="FW44" i="5"/>
  <c r="FZ62" i="5"/>
  <c r="FZ66" i="5"/>
  <c r="FZ70" i="5"/>
  <c r="FZ74" i="5"/>
  <c r="FW79" i="5"/>
  <c r="FZ83" i="5"/>
  <c r="FZ87" i="5"/>
  <c r="FZ91" i="5"/>
  <c r="EX31" i="5"/>
  <c r="GI31" i="5" s="1"/>
  <c r="FW45" i="5"/>
  <c r="EX55" i="5"/>
  <c r="GI55" i="5" s="1"/>
  <c r="FW62" i="5"/>
  <c r="FW66" i="5"/>
  <c r="EX70" i="5"/>
  <c r="GI70" i="5" s="1"/>
  <c r="FW70" i="5"/>
  <c r="EX74" i="5"/>
  <c r="GI74" i="5" s="1"/>
  <c r="FW74" i="5"/>
  <c r="FZ78" i="5"/>
  <c r="FW83" i="5"/>
  <c r="FW87" i="5"/>
  <c r="FW91" i="5"/>
  <c r="FZ95" i="5"/>
  <c r="FW16" i="5"/>
  <c r="FW24" i="5"/>
  <c r="FW39" i="5"/>
  <c r="EX46" i="5"/>
  <c r="GI46" i="5" s="1"/>
  <c r="FZ61" i="5"/>
  <c r="FZ65" i="5"/>
  <c r="FZ69" i="5"/>
  <c r="FZ73" i="5"/>
  <c r="FW78" i="5"/>
  <c r="FZ82" i="5"/>
  <c r="FZ86" i="5"/>
  <c r="FZ90" i="5"/>
  <c r="FZ94" i="5"/>
  <c r="EX95" i="5"/>
  <c r="GI95" i="5" s="1"/>
  <c r="FW95" i="5"/>
  <c r="FW25" i="5"/>
  <c r="FW32" i="5"/>
  <c r="FW40" i="5"/>
  <c r="FW50" i="5"/>
  <c r="FW56" i="5"/>
  <c r="FW61" i="5"/>
  <c r="FW65" i="5"/>
  <c r="FW69" i="5"/>
  <c r="FW73" i="5"/>
  <c r="FZ77" i="5"/>
  <c r="FW82" i="5"/>
  <c r="FW86" i="5"/>
  <c r="FW90" i="5"/>
  <c r="FW94" i="5"/>
  <c r="FZ18" i="5"/>
  <c r="FZ41" i="5"/>
  <c r="FZ51" i="5"/>
  <c r="FZ19" i="5"/>
  <c r="FZ27" i="5"/>
  <c r="FZ42" i="5"/>
  <c r="FZ49" i="5"/>
  <c r="FZ35" i="5"/>
  <c r="FZ13" i="5"/>
  <c r="FZ21" i="5"/>
  <c r="FZ53" i="5"/>
  <c r="FZ37" i="5"/>
  <c r="FZ44" i="5"/>
  <c r="FZ52" i="5"/>
  <c r="FZ54" i="5"/>
  <c r="FZ15" i="5"/>
  <c r="FZ45" i="5"/>
  <c r="FZ55" i="5"/>
  <c r="FZ39" i="5"/>
  <c r="FZ17" i="5"/>
  <c r="FZ25" i="5"/>
  <c r="FZ32" i="5"/>
  <c r="FZ56" i="5"/>
  <c r="FZ9" i="5"/>
  <c r="EI91" i="5"/>
  <c r="FY91" i="5" s="1"/>
  <c r="W95" i="5"/>
  <c r="BQ95" i="5" s="1"/>
  <c r="Y95" i="5"/>
  <c r="CY95" i="5" s="1"/>
  <c r="AF95" i="5"/>
  <c r="CB95" i="5" s="1"/>
  <c r="AG95" i="5"/>
  <c r="CC95" i="5" s="1"/>
  <c r="FB29" i="5"/>
  <c r="EX90" i="5"/>
  <c r="GI90" i="5" s="1"/>
  <c r="EH87" i="5"/>
  <c r="FX87" i="5" s="1"/>
  <c r="X84" i="5"/>
  <c r="EX44" i="5"/>
  <c r="GI44" i="5" s="1"/>
  <c r="FB74" i="5"/>
  <c r="FB91" i="5"/>
  <c r="X67" i="5"/>
  <c r="EI84" i="5"/>
  <c r="FY84" i="5" s="1"/>
  <c r="W88" i="5"/>
  <c r="FB84" i="5"/>
  <c r="AG88" i="5"/>
  <c r="Y67" i="5"/>
  <c r="EH82" i="5"/>
  <c r="FX82" i="5" s="1"/>
  <c r="X88" i="5"/>
  <c r="CX88" i="5" s="1"/>
  <c r="EX69" i="5"/>
  <c r="GI69" i="5" s="1"/>
  <c r="FB70" i="5"/>
  <c r="FB94" i="5"/>
  <c r="AG67" i="5"/>
  <c r="AF88" i="5"/>
  <c r="BS35" i="5"/>
  <c r="EX65" i="5"/>
  <c r="GI65" i="5" s="1"/>
  <c r="EX66" i="5"/>
  <c r="GI66" i="5" s="1"/>
  <c r="AA85" i="5"/>
  <c r="BU85" i="5" s="1"/>
  <c r="Z85" i="5"/>
  <c r="BT85" i="5" s="1"/>
  <c r="Y85" i="5"/>
  <c r="BS85" i="5" s="1"/>
  <c r="AC85" i="5"/>
  <c r="AH85" i="5"/>
  <c r="CD85" i="5" s="1"/>
  <c r="AG89" i="5"/>
  <c r="AD89" i="5"/>
  <c r="BZ89" i="5" s="1"/>
  <c r="AC89" i="5"/>
  <c r="DE89" i="5" s="1"/>
  <c r="Z89" i="5"/>
  <c r="BT89" i="5" s="1"/>
  <c r="X89" i="5"/>
  <c r="Y89" i="5"/>
  <c r="CY89" i="5" s="1"/>
  <c r="AB92" i="5"/>
  <c r="W92" i="5"/>
  <c r="AD92" i="5"/>
  <c r="BZ92" i="5" s="1"/>
  <c r="AE92" i="5"/>
  <c r="DG92" i="5" s="1"/>
  <c r="CZ39" i="5"/>
  <c r="AC66" i="5"/>
  <c r="AD66" i="5"/>
  <c r="BZ66" i="5" s="1"/>
  <c r="W66" i="5"/>
  <c r="CW66" i="5" s="1"/>
  <c r="EH76" i="5"/>
  <c r="FX76" i="5" s="1"/>
  <c r="X85" i="5"/>
  <c r="AA89" i="5"/>
  <c r="BU89" i="5" s="1"/>
  <c r="W90" i="5"/>
  <c r="CW90" i="5" s="1"/>
  <c r="AC90" i="5"/>
  <c r="DE90" i="5" s="1"/>
  <c r="AC92" i="5"/>
  <c r="AF66" i="5"/>
  <c r="DH66" i="5" s="1"/>
  <c r="AG71" i="5"/>
  <c r="CC71" i="5" s="1"/>
  <c r="Y71" i="5"/>
  <c r="CY71" i="5" s="1"/>
  <c r="X71" i="5"/>
  <c r="AD71" i="5"/>
  <c r="DF71" i="5" s="1"/>
  <c r="AC71" i="5"/>
  <c r="AF76" i="5"/>
  <c r="CB76" i="5" s="1"/>
  <c r="AC76" i="5"/>
  <c r="BY76" i="5" s="1"/>
  <c r="AF77" i="5"/>
  <c r="AH77" i="5"/>
  <c r="DJ77" i="5" s="1"/>
  <c r="AC77" i="5"/>
  <c r="AH89" i="5"/>
  <c r="DJ89" i="5" s="1"/>
  <c r="EX48" i="5"/>
  <c r="GI48" i="5" s="1"/>
  <c r="FW48" i="5"/>
  <c r="AE66" i="5"/>
  <c r="DG66" i="5" s="1"/>
  <c r="AC69" i="5"/>
  <c r="DE69" i="5" s="1"/>
  <c r="W69" i="5"/>
  <c r="CW69" i="5" s="1"/>
  <c r="AH69" i="5"/>
  <c r="AH74" i="5"/>
  <c r="DJ74" i="5" s="1"/>
  <c r="Y74" i="5"/>
  <c r="EX82" i="5"/>
  <c r="GI82" i="5" s="1"/>
  <c r="AB85" i="5"/>
  <c r="AB89" i="5"/>
  <c r="BX89" i="5" s="1"/>
  <c r="AG69" i="5"/>
  <c r="DI69" i="5" s="1"/>
  <c r="W71" i="5"/>
  <c r="BQ71" i="5" s="1"/>
  <c r="AC75" i="5"/>
  <c r="BY75" i="5" s="1"/>
  <c r="AB75" i="5"/>
  <c r="DD75" i="5" s="1"/>
  <c r="AB76" i="5"/>
  <c r="DD76" i="5" s="1"/>
  <c r="AB77" i="5"/>
  <c r="AD83" i="5"/>
  <c r="DF83" i="5" s="1"/>
  <c r="Y83" i="5"/>
  <c r="CY83" i="5" s="1"/>
  <c r="X83" i="5"/>
  <c r="CX83" i="5" s="1"/>
  <c r="AG83" i="5"/>
  <c r="AA83" i="5"/>
  <c r="AB83" i="5"/>
  <c r="CA47" i="5"/>
  <c r="EX80" i="5"/>
  <c r="GI80" i="5" s="1"/>
  <c r="EX84" i="5"/>
  <c r="GI84" i="5" s="1"/>
  <c r="AB71" i="5"/>
  <c r="FB75" i="5"/>
  <c r="AH83" i="5"/>
  <c r="DJ83" i="5" s="1"/>
  <c r="EX88" i="5"/>
  <c r="GI88" i="5" s="1"/>
  <c r="EX91" i="5"/>
  <c r="GI91" i="5" s="1"/>
  <c r="EX93" i="5"/>
  <c r="GI93" i="5" s="1"/>
  <c r="Y88" i="5"/>
  <c r="EX94" i="5"/>
  <c r="GI94" i="5" s="1"/>
  <c r="Z95" i="5"/>
  <c r="CZ95" i="5" s="1"/>
  <c r="EI83" i="5"/>
  <c r="FY83" i="5" s="1"/>
  <c r="AE88" i="5"/>
  <c r="CX44" i="5"/>
  <c r="AE67" i="5"/>
  <c r="CA67" i="5" s="1"/>
  <c r="FB87" i="5"/>
  <c r="EX20" i="5"/>
  <c r="GI20" i="5" s="1"/>
  <c r="AF67" i="5"/>
  <c r="EI87" i="5"/>
  <c r="FY87" i="5" s="1"/>
  <c r="EI76" i="5"/>
  <c r="FY76" i="5" s="1"/>
  <c r="EH83" i="5"/>
  <c r="FX83" i="5" s="1"/>
  <c r="EI62" i="5"/>
  <c r="FY62" i="5" s="1"/>
  <c r="EH72" i="5"/>
  <c r="FX72" i="5" s="1"/>
  <c r="AG63" i="5"/>
  <c r="AD63" i="5"/>
  <c r="AB63" i="5"/>
  <c r="AC68" i="5"/>
  <c r="Z68" i="5"/>
  <c r="BT68" i="5" s="1"/>
  <c r="Y68" i="5"/>
  <c r="CY68" i="5" s="1"/>
  <c r="X68" i="5"/>
  <c r="AH68" i="5"/>
  <c r="CD68" i="5" s="1"/>
  <c r="W68" i="5"/>
  <c r="BQ68" i="5" s="1"/>
  <c r="BR74" i="5"/>
  <c r="FW17" i="5"/>
  <c r="EX56" i="5"/>
  <c r="GI56" i="5" s="1"/>
  <c r="W63" i="5"/>
  <c r="AE64" i="5"/>
  <c r="AD64" i="5"/>
  <c r="DF64" i="5" s="1"/>
  <c r="AC64" i="5"/>
  <c r="AB64" i="5"/>
  <c r="BX64" i="5" s="1"/>
  <c r="AA68" i="5"/>
  <c r="AD75" i="5"/>
  <c r="Z75" i="5"/>
  <c r="BT75" i="5" s="1"/>
  <c r="AH75" i="5"/>
  <c r="DJ75" i="5" s="1"/>
  <c r="Y75" i="5"/>
  <c r="CY75" i="5" s="1"/>
  <c r="AG75" i="5"/>
  <c r="CC75" i="5" s="1"/>
  <c r="X75" i="5"/>
  <c r="CX75" i="5" s="1"/>
  <c r="AF75" i="5"/>
  <c r="W75" i="5"/>
  <c r="EX78" i="5"/>
  <c r="GI78" i="5" s="1"/>
  <c r="AF81" i="5"/>
  <c r="DH81" i="5" s="1"/>
  <c r="AE81" i="5"/>
  <c r="AD81" i="5"/>
  <c r="DF81" i="5" s="1"/>
  <c r="Y81" i="5"/>
  <c r="FW37" i="5"/>
  <c r="FW57" i="5"/>
  <c r="FW58" i="5"/>
  <c r="Y63" i="5"/>
  <c r="CY63" i="5" s="1"/>
  <c r="W64" i="5"/>
  <c r="AE68" i="5"/>
  <c r="CA68" i="5" s="1"/>
  <c r="DF69" i="5"/>
  <c r="FB73" i="5"/>
  <c r="AA75" i="5"/>
  <c r="AD78" i="5"/>
  <c r="AC78" i="5"/>
  <c r="BY78" i="5" s="1"/>
  <c r="W81" i="5"/>
  <c r="CW81" i="5" s="1"/>
  <c r="AG84" i="5"/>
  <c r="CC84" i="5" s="1"/>
  <c r="AF84" i="5"/>
  <c r="AE84" i="5"/>
  <c r="CA84" i="5" s="1"/>
  <c r="Y84" i="5"/>
  <c r="EX24" i="5"/>
  <c r="GI24" i="5" s="1"/>
  <c r="AD62" i="5"/>
  <c r="BS26" i="5"/>
  <c r="FB54" i="5"/>
  <c r="AC63" i="5"/>
  <c r="EI70" i="5"/>
  <c r="FY70" i="5" s="1"/>
  <c r="EH70" i="5"/>
  <c r="FX70" i="5" s="1"/>
  <c r="AE75" i="5"/>
  <c r="AE76" i="5"/>
  <c r="DG76" i="5" s="1"/>
  <c r="AA76" i="5"/>
  <c r="BU76" i="5" s="1"/>
  <c r="Z76" i="5"/>
  <c r="Y76" i="5"/>
  <c r="AH76" i="5"/>
  <c r="DJ76" i="5" s="1"/>
  <c r="X76" i="5"/>
  <c r="AH84" i="5"/>
  <c r="CD84" i="5" s="1"/>
  <c r="AD88" i="5"/>
  <c r="AC88" i="5"/>
  <c r="AB88" i="5"/>
  <c r="AA88" i="5"/>
  <c r="Z88" i="5"/>
  <c r="BT88" i="5" s="1"/>
  <c r="EH89" i="5"/>
  <c r="FX89" i="5" s="1"/>
  <c r="Z63" i="5"/>
  <c r="AF68" i="5"/>
  <c r="CC69" i="5"/>
  <c r="EX72" i="5"/>
  <c r="GI72" i="5" s="1"/>
  <c r="AC82" i="5"/>
  <c r="AF82" i="5"/>
  <c r="AE82" i="5"/>
  <c r="DG82" i="5" s="1"/>
  <c r="Z82" i="5"/>
  <c r="BT82" i="5" s="1"/>
  <c r="Y82" i="5"/>
  <c r="CZ87" i="5"/>
  <c r="EX87" i="5"/>
  <c r="GI87" i="5" s="1"/>
  <c r="FB89" i="5"/>
  <c r="AA63" i="5"/>
  <c r="EH73" i="5"/>
  <c r="FX73" i="5" s="1"/>
  <c r="AH63" i="5"/>
  <c r="AB73" i="5"/>
  <c r="BX73" i="5" s="1"/>
  <c r="AD73" i="5"/>
  <c r="AC73" i="5"/>
  <c r="AG74" i="5"/>
  <c r="AD74" i="5"/>
  <c r="AA74" i="5"/>
  <c r="BU74" i="5" s="1"/>
  <c r="Z74" i="5"/>
  <c r="CZ74" i="5" s="1"/>
  <c r="EI77" i="5"/>
  <c r="FY77" i="5" s="1"/>
  <c r="EH79" i="5"/>
  <c r="FX79" i="5" s="1"/>
  <c r="AG82" i="5"/>
  <c r="DI82" i="5" s="1"/>
  <c r="EX83" i="5"/>
  <c r="GI83" i="5" s="1"/>
  <c r="AE87" i="5"/>
  <c r="AD87" i="5"/>
  <c r="AB87" i="5"/>
  <c r="DD87" i="5" s="1"/>
  <c r="AA87" i="5"/>
  <c r="CW88" i="5"/>
  <c r="EX49" i="5"/>
  <c r="GI49" i="5" s="1"/>
  <c r="AG68" i="5"/>
  <c r="EX71" i="5"/>
  <c r="GI71" i="5" s="1"/>
  <c r="W82" i="5"/>
  <c r="BU31" i="5"/>
  <c r="DH53" i="5"/>
  <c r="GI61" i="5"/>
  <c r="AB69" i="5"/>
  <c r="AA69" i="5"/>
  <c r="BU69" i="5" s="1"/>
  <c r="Z69" i="5"/>
  <c r="CZ69" i="5" s="1"/>
  <c r="Y69" i="5"/>
  <c r="CY69" i="5" s="1"/>
  <c r="Z73" i="5"/>
  <c r="BT73" i="5" s="1"/>
  <c r="W74" i="5"/>
  <c r="BQ74" i="5" s="1"/>
  <c r="CX74" i="5"/>
  <c r="DE76" i="5"/>
  <c r="AH82" i="5"/>
  <c r="AF86" i="5"/>
  <c r="DH86" i="5" s="1"/>
  <c r="Y86" i="5"/>
  <c r="BS86" i="5" s="1"/>
  <c r="X86" i="5"/>
  <c r="BR86" i="5" s="1"/>
  <c r="W86" i="5"/>
  <c r="Y87" i="5"/>
  <c r="CY87" i="5" s="1"/>
  <c r="EX92" i="5"/>
  <c r="GI92" i="5" s="1"/>
  <c r="AF71" i="5"/>
  <c r="EX64" i="5"/>
  <c r="GI64" i="5" s="1"/>
  <c r="FB72" i="5"/>
  <c r="Y77" i="5"/>
  <c r="EX79" i="5"/>
  <c r="GI79" i="5" s="1"/>
  <c r="AC83" i="5"/>
  <c r="AD85" i="5"/>
  <c r="BZ85" i="5" s="1"/>
  <c r="EX86" i="5"/>
  <c r="GI86" i="5" s="1"/>
  <c r="AH95" i="5"/>
  <c r="EX63" i="5"/>
  <c r="GI63" i="5" s="1"/>
  <c r="Z77" i="5"/>
  <c r="BT77" i="5" s="1"/>
  <c r="EH77" i="5"/>
  <c r="FX77" i="5" s="1"/>
  <c r="AE83" i="5"/>
  <c r="AF85" i="5"/>
  <c r="AA77" i="5"/>
  <c r="BU77" i="5" s="1"/>
  <c r="EX81" i="5"/>
  <c r="GI81" i="5" s="1"/>
  <c r="W83" i="5"/>
  <c r="AF83" i="5"/>
  <c r="W85" i="5"/>
  <c r="CW85" i="5" s="1"/>
  <c r="AG85" i="5"/>
  <c r="EH88" i="5"/>
  <c r="FX88" i="5" s="1"/>
  <c r="X95" i="5"/>
  <c r="EH46" i="5"/>
  <c r="FX46" i="5" s="1"/>
  <c r="EH54" i="5"/>
  <c r="FX54" i="5" s="1"/>
  <c r="EI33" i="5"/>
  <c r="FY33" i="5" s="1"/>
  <c r="FB43" i="5"/>
  <c r="FB21" i="5"/>
  <c r="EI22" i="5"/>
  <c r="FY22" i="5" s="1"/>
  <c r="FB27" i="5"/>
  <c r="FB33" i="5"/>
  <c r="EI34" i="5"/>
  <c r="FY34" i="5" s="1"/>
  <c r="EH23" i="5"/>
  <c r="FX23" i="5" s="1"/>
  <c r="EI11" i="5"/>
  <c r="FY11" i="5" s="1"/>
  <c r="EI38" i="5"/>
  <c r="FY38" i="5" s="1"/>
  <c r="FZ22" i="5"/>
  <c r="FB57" i="5"/>
  <c r="EH31" i="5"/>
  <c r="FX31" i="5" s="1"/>
  <c r="FB31" i="5"/>
  <c r="FB37" i="5"/>
  <c r="FB39" i="5"/>
  <c r="FB9" i="5"/>
  <c r="DG18" i="5"/>
  <c r="DE45" i="5"/>
  <c r="CC16" i="5"/>
  <c r="DG26" i="5"/>
  <c r="DF44" i="5"/>
  <c r="BQ22" i="5"/>
  <c r="CD25" i="5"/>
  <c r="DD29" i="5"/>
  <c r="CD43" i="5"/>
  <c r="DI27" i="5"/>
  <c r="CD46" i="5"/>
  <c r="BR30" i="5"/>
  <c r="BY51" i="5"/>
  <c r="DI12" i="5"/>
  <c r="CD42" i="5"/>
  <c r="BS45" i="5"/>
  <c r="BS12" i="5"/>
  <c r="DG14" i="5"/>
  <c r="BZ22" i="5"/>
  <c r="DH26" i="5"/>
  <c r="DE29" i="5"/>
  <c r="DJ32" i="5"/>
  <c r="BT39" i="5"/>
  <c r="BT40" i="5"/>
  <c r="BZ41" i="5"/>
  <c r="BS42" i="5"/>
  <c r="DJ47" i="5"/>
  <c r="BT53" i="5"/>
  <c r="CW14" i="5"/>
  <c r="CW28" i="5"/>
  <c r="CY31" i="5"/>
  <c r="CB16" i="5"/>
  <c r="DF18" i="5"/>
  <c r="DG23" i="5"/>
  <c r="DI26" i="5"/>
  <c r="DG28" i="5"/>
  <c r="DG29" i="5"/>
  <c r="CD39" i="5"/>
  <c r="CZ40" i="5"/>
  <c r="BZ59" i="5"/>
  <c r="DF41" i="5"/>
  <c r="CX59" i="5"/>
  <c r="DI11" i="5"/>
  <c r="BX13" i="5"/>
  <c r="DI20" i="5"/>
  <c r="BT25" i="5"/>
  <c r="BR26" i="5"/>
  <c r="BR29" i="5"/>
  <c r="BU32" i="5"/>
  <c r="BT35" i="5"/>
  <c r="CD37" i="5"/>
  <c r="DF38" i="5"/>
  <c r="CZ43" i="5"/>
  <c r="BT45" i="5"/>
  <c r="BR46" i="5"/>
  <c r="BX51" i="5"/>
  <c r="DI53" i="5"/>
  <c r="CA27" i="5"/>
  <c r="BY29" i="5"/>
  <c r="CB35" i="5"/>
  <c r="DF39" i="5"/>
  <c r="DJ40" i="5"/>
  <c r="DH42" i="5"/>
  <c r="CD45" i="5"/>
  <c r="CX15" i="5"/>
  <c r="CY27" i="5"/>
  <c r="CA28" i="5"/>
  <c r="BZ29" i="5"/>
  <c r="CX30" i="5"/>
  <c r="CD33" i="5"/>
  <c r="CC35" i="5"/>
  <c r="CB36" i="5"/>
  <c r="DJ39" i="5"/>
  <c r="DI42" i="5"/>
  <c r="DD43" i="5"/>
  <c r="CX46" i="5"/>
  <c r="CZ47" i="5"/>
  <c r="BQ23" i="5"/>
  <c r="DG32" i="5"/>
  <c r="DE33" i="5"/>
  <c r="DH35" i="5"/>
  <c r="BS53" i="5"/>
  <c r="EH15" i="5"/>
  <c r="FX15" i="5" s="1"/>
  <c r="EI46" i="5"/>
  <c r="FY46" i="5" s="1"/>
  <c r="EI19" i="5"/>
  <c r="FY19" i="5" s="1"/>
  <c r="EH38" i="5"/>
  <c r="FX38" i="5" s="1"/>
  <c r="EI54" i="5"/>
  <c r="FY54" i="5" s="1"/>
  <c r="EH33" i="5"/>
  <c r="FX33" i="5" s="1"/>
  <c r="EH41" i="5"/>
  <c r="FX41" i="5" s="1"/>
  <c r="EI23" i="5"/>
  <c r="FY23" i="5" s="1"/>
  <c r="EI29" i="5"/>
  <c r="FY29" i="5" s="1"/>
  <c r="EI41" i="5"/>
  <c r="FY41" i="5" s="1"/>
  <c r="FZ46" i="5"/>
  <c r="EI52" i="5"/>
  <c r="FY52" i="5" s="1"/>
  <c r="DG11" i="5"/>
  <c r="BY27" i="5"/>
  <c r="DE27" i="5"/>
  <c r="BU28" i="5"/>
  <c r="BU29" i="5"/>
  <c r="BS30" i="5"/>
  <c r="CY30" i="5"/>
  <c r="CC30" i="5"/>
  <c r="DI30" i="5"/>
  <c r="BQ38" i="5"/>
  <c r="CW38" i="5"/>
  <c r="BS40" i="5"/>
  <c r="DF51" i="5"/>
  <c r="CA51" i="5"/>
  <c r="DG51" i="5"/>
  <c r="DG53" i="5"/>
  <c r="CX11" i="5"/>
  <c r="BR11" i="5"/>
  <c r="BY22" i="5"/>
  <c r="DI25" i="5"/>
  <c r="CZ26" i="5"/>
  <c r="CY36" i="5"/>
  <c r="BS36" i="5"/>
  <c r="DI36" i="5"/>
  <c r="BU39" i="5"/>
  <c r="CA41" i="5"/>
  <c r="CY43" i="5"/>
  <c r="CW51" i="5"/>
  <c r="BQ51" i="5"/>
  <c r="BS52" i="5"/>
  <c r="BY10" i="5"/>
  <c r="CZ21" i="5"/>
  <c r="BT21" i="5"/>
  <c r="DE38" i="5"/>
  <c r="DG41" i="5"/>
  <c r="BZ46" i="5"/>
  <c r="DF46" i="5"/>
  <c r="CW53" i="5"/>
  <c r="BQ53" i="5"/>
  <c r="BX18" i="5"/>
  <c r="DI19" i="5"/>
  <c r="DG20" i="5"/>
  <c r="CA20" i="5"/>
  <c r="DI32" i="5"/>
  <c r="CW34" i="5"/>
  <c r="BQ34" i="5"/>
  <c r="CA34" i="5"/>
  <c r="DE34" i="5"/>
  <c r="CW35" i="5"/>
  <c r="BQ35" i="5"/>
  <c r="BX37" i="5"/>
  <c r="DD37" i="5"/>
  <c r="CW42" i="5"/>
  <c r="BQ42" i="5"/>
  <c r="CW46" i="5"/>
  <c r="DJ24" i="5"/>
  <c r="DD25" i="5"/>
  <c r="BX25" i="5"/>
  <c r="BQ30" i="5"/>
  <c r="CY33" i="5"/>
  <c r="BS33" i="5"/>
  <c r="DI33" i="5"/>
  <c r="CC33" i="5"/>
  <c r="DG34" i="5"/>
  <c r="BY37" i="5"/>
  <c r="BR47" i="5"/>
  <c r="DD52" i="5"/>
  <c r="CB11" i="5"/>
  <c r="CX14" i="5"/>
  <c r="DJ21" i="5"/>
  <c r="BU25" i="5"/>
  <c r="BR28" i="5"/>
  <c r="CX28" i="5"/>
  <c r="DF30" i="5"/>
  <c r="DD38" i="5"/>
  <c r="BX38" i="5"/>
  <c r="BR40" i="5"/>
  <c r="BS43" i="5"/>
  <c r="BX44" i="5"/>
  <c r="DD44" i="5"/>
  <c r="BX45" i="5"/>
  <c r="DD45" i="5"/>
  <c r="BS46" i="5"/>
  <c r="CA53" i="5"/>
  <c r="DE14" i="5"/>
  <c r="BY14" i="5"/>
  <c r="DG19" i="5"/>
  <c r="CA19" i="5"/>
  <c r="BT20" i="5"/>
  <c r="CD20" i="5"/>
  <c r="DJ20" i="5"/>
  <c r="CC25" i="5"/>
  <c r="CC28" i="5"/>
  <c r="DI28" i="5"/>
  <c r="DG30" i="5"/>
  <c r="CA30" i="5"/>
  <c r="CW30" i="5"/>
  <c r="CB47" i="5"/>
  <c r="DI49" i="5"/>
  <c r="CD59" i="5"/>
  <c r="DJ59" i="5"/>
  <c r="DH11" i="5"/>
  <c r="DF14" i="5"/>
  <c r="BX17" i="5"/>
  <c r="CC32" i="5"/>
  <c r="DG35" i="5"/>
  <c r="DG36" i="5"/>
  <c r="CA36" i="5"/>
  <c r="CC36" i="5"/>
  <c r="CA38" i="5"/>
  <c r="CB40" i="5"/>
  <c r="BY41" i="5"/>
  <c r="DE41" i="5"/>
  <c r="BZ45" i="5"/>
  <c r="CC49" i="5"/>
  <c r="DJ50" i="5"/>
  <c r="CD50" i="5"/>
  <c r="DE53" i="5"/>
  <c r="BY53" i="5"/>
  <c r="BS11" i="5"/>
  <c r="CD12" i="5"/>
  <c r="BU17" i="5"/>
  <c r="DH19" i="5"/>
  <c r="DF23" i="5"/>
  <c r="DE25" i="5"/>
  <c r="BQ26" i="5"/>
  <c r="DG27" i="5"/>
  <c r="BT31" i="5"/>
  <c r="DJ31" i="5"/>
  <c r="DE32" i="5"/>
  <c r="CX34" i="5"/>
  <c r="BR35" i="5"/>
  <c r="BZ38" i="5"/>
  <c r="BR42" i="5"/>
  <c r="CB44" i="5"/>
  <c r="BR45" i="5"/>
  <c r="CB46" i="5"/>
  <c r="CW50" i="5"/>
  <c r="DJ12" i="5"/>
  <c r="CB15" i="5"/>
  <c r="DF29" i="5"/>
  <c r="CC31" i="5"/>
  <c r="CD32" i="5"/>
  <c r="DD33" i="5"/>
  <c r="DF34" i="5"/>
  <c r="DI35" i="5"/>
  <c r="CD36" i="5"/>
  <c r="BQ40" i="5"/>
  <c r="DD40" i="5"/>
  <c r="DH41" i="5"/>
  <c r="CB42" i="5"/>
  <c r="DG45" i="5"/>
  <c r="CZ46" i="5"/>
  <c r="DD47" i="5"/>
  <c r="BR59" i="5"/>
  <c r="BT12" i="5"/>
  <c r="BY18" i="5"/>
  <c r="CW22" i="5"/>
  <c r="BZ23" i="5"/>
  <c r="BT27" i="5"/>
  <c r="CA29" i="5"/>
  <c r="DH30" i="5"/>
  <c r="BT36" i="5"/>
  <c r="BX40" i="5"/>
  <c r="CZ53" i="5"/>
  <c r="BS27" i="5"/>
  <c r="DH34" i="5"/>
  <c r="BT43" i="5"/>
  <c r="CW45" i="5"/>
  <c r="CY53" i="5"/>
  <c r="BX14" i="5"/>
  <c r="BZ18" i="5"/>
  <c r="CD29" i="5"/>
  <c r="CZ35" i="5"/>
  <c r="DD39" i="5"/>
  <c r="EH51" i="5"/>
  <c r="FX51" i="5" s="1"/>
  <c r="EH56" i="5"/>
  <c r="FX56" i="5" s="1"/>
  <c r="EH52" i="5"/>
  <c r="FX52" i="5" s="1"/>
  <c r="EI56" i="5"/>
  <c r="FY56" i="5" s="1"/>
  <c r="EH47" i="5"/>
  <c r="FX47" i="5" s="1"/>
  <c r="EH50" i="5"/>
  <c r="FX50" i="5" s="1"/>
  <c r="FB56" i="5"/>
  <c r="EH58" i="5"/>
  <c r="FX58" i="5" s="1"/>
  <c r="EX47" i="5"/>
  <c r="GI47" i="5" s="1"/>
  <c r="EI51" i="5"/>
  <c r="FY51" i="5" s="1"/>
  <c r="EX58" i="5"/>
  <c r="GI58" i="5" s="1"/>
  <c r="EH29" i="5"/>
  <c r="FX29" i="5" s="1"/>
  <c r="EH35" i="5"/>
  <c r="FX35" i="5" s="1"/>
  <c r="FZ50" i="5"/>
  <c r="EH53" i="5"/>
  <c r="FX53" i="5" s="1"/>
  <c r="FZ11" i="5"/>
  <c r="FW20" i="5"/>
  <c r="EH27" i="5"/>
  <c r="FX27" i="5" s="1"/>
  <c r="EX29" i="5"/>
  <c r="GI29" i="5" s="1"/>
  <c r="EI35" i="5"/>
  <c r="FY35" i="5" s="1"/>
  <c r="EX36" i="5"/>
  <c r="GI36" i="5" s="1"/>
  <c r="EI39" i="5"/>
  <c r="FY39" i="5" s="1"/>
  <c r="EX41" i="5"/>
  <c r="GI41" i="5" s="1"/>
  <c r="FW47" i="5"/>
  <c r="EI53" i="5"/>
  <c r="FY53" i="5" s="1"/>
  <c r="EX17" i="5"/>
  <c r="GI17" i="5" s="1"/>
  <c r="FZ23" i="5"/>
  <c r="EI27" i="5"/>
  <c r="FY27" i="5" s="1"/>
  <c r="FZ34" i="5"/>
  <c r="EX35" i="5"/>
  <c r="GI35" i="5" s="1"/>
  <c r="EX39" i="5"/>
  <c r="GI39" i="5" s="1"/>
  <c r="EX42" i="5"/>
  <c r="GI42" i="5" s="1"/>
  <c r="FZ47" i="5"/>
  <c r="EX27" i="5"/>
  <c r="GI27" i="5" s="1"/>
  <c r="FZ29" i="5"/>
  <c r="FW31" i="5"/>
  <c r="EX50" i="5"/>
  <c r="GI50" i="5" s="1"/>
  <c r="EI15" i="5"/>
  <c r="FY15" i="5" s="1"/>
  <c r="EX16" i="5"/>
  <c r="GI16" i="5" s="1"/>
  <c r="EH19" i="5"/>
  <c r="FX19" i="5" s="1"/>
  <c r="EX32" i="5"/>
  <c r="GI32" i="5" s="1"/>
  <c r="BZ19" i="5"/>
  <c r="CX23" i="5"/>
  <c r="CC24" i="5"/>
  <c r="CD13" i="5"/>
  <c r="CY23" i="5"/>
  <c r="CD24" i="5"/>
  <c r="BY11" i="5"/>
  <c r="BZ14" i="5"/>
  <c r="CY15" i="5"/>
  <c r="CD16" i="5"/>
  <c r="CD17" i="5"/>
  <c r="CB19" i="5"/>
  <c r="CB20" i="5"/>
  <c r="BX21" i="5"/>
  <c r="BR23" i="5"/>
  <c r="BR24" i="5"/>
  <c r="CZ24" i="5"/>
  <c r="BQ10" i="5"/>
  <c r="DE10" i="5"/>
  <c r="BZ11" i="5"/>
  <c r="CB12" i="5"/>
  <c r="BQ15" i="5"/>
  <c r="CZ16" i="5"/>
  <c r="CW18" i="5"/>
  <c r="CX19" i="5"/>
  <c r="CD21" i="5"/>
  <c r="DD22" i="5"/>
  <c r="BS23" i="5"/>
  <c r="BS24" i="5"/>
  <c r="BX10" i="5"/>
  <c r="DF10" i="5"/>
  <c r="CA11" i="5"/>
  <c r="BR15" i="5"/>
  <c r="DF15" i="5"/>
  <c r="BR16" i="5"/>
  <c r="BQ19" i="5"/>
  <c r="CY19" i="5"/>
  <c r="DE22" i="5"/>
  <c r="BY23" i="5"/>
  <c r="BT24" i="5"/>
  <c r="DG10" i="5"/>
  <c r="DE13" i="5"/>
  <c r="BS15" i="5"/>
  <c r="DG15" i="5"/>
  <c r="BS16" i="5"/>
  <c r="DE17" i="5"/>
  <c r="BR19" i="5"/>
  <c r="BR20" i="5"/>
  <c r="CZ20" i="5"/>
  <c r="DD21" i="5"/>
  <c r="DH23" i="5"/>
  <c r="DH24" i="5"/>
  <c r="BT13" i="5"/>
  <c r="BQ14" i="5"/>
  <c r="BS19" i="5"/>
  <c r="BS20" i="5"/>
  <c r="DE21" i="5"/>
  <c r="DG22" i="5"/>
  <c r="CA23" i="5"/>
  <c r="DI23" i="5"/>
  <c r="CA24" i="5"/>
  <c r="CW10" i="5"/>
  <c r="BQ11" i="5"/>
  <c r="CY11" i="5"/>
  <c r="BR12" i="5"/>
  <c r="BR14" i="5"/>
  <c r="DI15" i="5"/>
  <c r="BT17" i="5"/>
  <c r="BQ18" i="5"/>
  <c r="BY19" i="5"/>
  <c r="AN9" i="5"/>
  <c r="CC9" i="5"/>
  <c r="AP9" i="5"/>
  <c r="DD9" i="5"/>
  <c r="DE9" i="5"/>
  <c r="AV9" i="5"/>
  <c r="EH22" i="5"/>
  <c r="FX22" i="5" s="1"/>
  <c r="EI25" i="5"/>
  <c r="FY25" i="5" s="1"/>
  <c r="EX28" i="5"/>
  <c r="GI28" i="5" s="1"/>
  <c r="FW21" i="5"/>
  <c r="EX25" i="5"/>
  <c r="GI25" i="5" s="1"/>
  <c r="EH11" i="5"/>
  <c r="FX11" i="5" s="1"/>
  <c r="EX12" i="5"/>
  <c r="GI12" i="5" s="1"/>
  <c r="FZ33" i="5"/>
  <c r="EX13" i="5"/>
  <c r="GI13" i="5" s="1"/>
  <c r="FZ10" i="5"/>
  <c r="BY12" i="5"/>
  <c r="DE12" i="5"/>
  <c r="BR13" i="5"/>
  <c r="DH13" i="5"/>
  <c r="CB13" i="5"/>
  <c r="CX13" i="5"/>
  <c r="EI16" i="5"/>
  <c r="FY16" i="5" s="1"/>
  <c r="CX18" i="5"/>
  <c r="BR21" i="5"/>
  <c r="CX21" i="5"/>
  <c r="DH21" i="5"/>
  <c r="CB21" i="5"/>
  <c r="BS13" i="5"/>
  <c r="CY13" i="5"/>
  <c r="DI13" i="5"/>
  <c r="CC13" i="5"/>
  <c r="CB18" i="5"/>
  <c r="BS21" i="5"/>
  <c r="CY21" i="5"/>
  <c r="CC21" i="5"/>
  <c r="BR22" i="5"/>
  <c r="AI22" i="5"/>
  <c r="CB22" i="5"/>
  <c r="FB13" i="5"/>
  <c r="BX16" i="5"/>
  <c r="DD16" i="5"/>
  <c r="BS18" i="5"/>
  <c r="CC18" i="5"/>
  <c r="DI18" i="5"/>
  <c r="BS22" i="5"/>
  <c r="CC22" i="5"/>
  <c r="DI22" i="5"/>
  <c r="BZ25" i="5"/>
  <c r="BT11" i="5"/>
  <c r="CZ11" i="5"/>
  <c r="AI11" i="5"/>
  <c r="CD11" i="5"/>
  <c r="EI14" i="5"/>
  <c r="FY14" i="5" s="1"/>
  <c r="EH14" i="5"/>
  <c r="FX14" i="5" s="1"/>
  <c r="BY16" i="5"/>
  <c r="DE16" i="5"/>
  <c r="AI17" i="5"/>
  <c r="BQ17" i="5"/>
  <c r="CA17" i="5"/>
  <c r="DG17" i="5"/>
  <c r="CW17" i="5"/>
  <c r="BT18" i="5"/>
  <c r="DJ18" i="5"/>
  <c r="CD18" i="5"/>
  <c r="BT19" i="5"/>
  <c r="CZ19" i="5"/>
  <c r="AI19" i="5"/>
  <c r="CD19" i="5"/>
  <c r="DJ19" i="5"/>
  <c r="BT22" i="5"/>
  <c r="CZ22" i="5"/>
  <c r="DJ22" i="5"/>
  <c r="CD22" i="5"/>
  <c r="AI25" i="5"/>
  <c r="BQ25" i="5"/>
  <c r="CW25" i="5"/>
  <c r="CA25" i="5"/>
  <c r="DG25" i="5"/>
  <c r="DF25" i="5"/>
  <c r="CA9" i="5"/>
  <c r="DG9" i="5"/>
  <c r="BR9" i="5"/>
  <c r="CX9" i="5"/>
  <c r="BR10" i="5"/>
  <c r="AI10" i="5"/>
  <c r="CB10" i="5"/>
  <c r="BS14" i="5"/>
  <c r="CC14" i="5"/>
  <c r="DI14" i="5"/>
  <c r="CY14" i="5"/>
  <c r="BS17" i="5"/>
  <c r="CY17" i="5"/>
  <c r="CC17" i="5"/>
  <c r="FB17" i="5"/>
  <c r="BX20" i="5"/>
  <c r="DD20" i="5"/>
  <c r="DH22" i="5"/>
  <c r="AI9" i="5"/>
  <c r="CW9" i="5"/>
  <c r="BS10" i="5"/>
  <c r="CC10" i="5"/>
  <c r="DI10" i="5"/>
  <c r="EH12" i="5"/>
  <c r="FX12" i="5" s="1"/>
  <c r="BT14" i="5"/>
  <c r="DJ14" i="5"/>
  <c r="CD14" i="5"/>
  <c r="CZ14" i="5"/>
  <c r="BT15" i="5"/>
  <c r="CZ15" i="5"/>
  <c r="CD15" i="5"/>
  <c r="BZ21" i="5"/>
  <c r="CX22" i="5"/>
  <c r="BZ9" i="5"/>
  <c r="DH9" i="5"/>
  <c r="CB9" i="5"/>
  <c r="EI12" i="5"/>
  <c r="FY12" i="5" s="1"/>
  <c r="BR17" i="5"/>
  <c r="CX17" i="5"/>
  <c r="DH17" i="5"/>
  <c r="CB17" i="5"/>
  <c r="BU18" i="5"/>
  <c r="AI18" i="5"/>
  <c r="EI20" i="5"/>
  <c r="FY20" i="5" s="1"/>
  <c r="DF9" i="5"/>
  <c r="BT10" i="5"/>
  <c r="CZ10" i="5"/>
  <c r="DJ10" i="5"/>
  <c r="CD10" i="5"/>
  <c r="DJ11" i="5"/>
  <c r="BX12" i="5"/>
  <c r="DD12" i="5"/>
  <c r="BU14" i="5"/>
  <c r="AI14" i="5"/>
  <c r="FZ14" i="5"/>
  <c r="BU15" i="5"/>
  <c r="AI15" i="5"/>
  <c r="BR18" i="5"/>
  <c r="AI21" i="5"/>
  <c r="BQ21" i="5"/>
  <c r="CW21" i="5"/>
  <c r="CA21" i="5"/>
  <c r="DG21" i="5"/>
  <c r="CY22" i="5"/>
  <c r="EI10" i="5"/>
  <c r="FY10" i="5" s="1"/>
  <c r="AI13" i="5"/>
  <c r="BQ13" i="5"/>
  <c r="CA13" i="5"/>
  <c r="DG13" i="5"/>
  <c r="CB14" i="5"/>
  <c r="BZ17" i="5"/>
  <c r="EI18" i="5"/>
  <c r="FY18" i="5" s="1"/>
  <c r="BT23" i="5"/>
  <c r="BQ24" i="5"/>
  <c r="CW24" i="5"/>
  <c r="AI24" i="5"/>
  <c r="DF26" i="5"/>
  <c r="CZ28" i="5"/>
  <c r="BT28" i="5"/>
  <c r="CY29" i="5"/>
  <c r="DI29" i="5"/>
  <c r="CZ32" i="5"/>
  <c r="EX33" i="5"/>
  <c r="GI33" i="5" s="1"/>
  <c r="DF35" i="5"/>
  <c r="BR38" i="5"/>
  <c r="CX38" i="5"/>
  <c r="AI38" i="5"/>
  <c r="CB38" i="5"/>
  <c r="DH38" i="5"/>
  <c r="CX39" i="5"/>
  <c r="DH39" i="5"/>
  <c r="CB39" i="5"/>
  <c r="DE40" i="5"/>
  <c r="BY40" i="5"/>
  <c r="FZ40" i="5"/>
  <c r="EI40" i="5"/>
  <c r="FY40" i="5" s="1"/>
  <c r="EH40" i="5"/>
  <c r="FX40" i="5" s="1"/>
  <c r="BS38" i="5"/>
  <c r="CY38" i="5"/>
  <c r="CC38" i="5"/>
  <c r="DI38" i="5"/>
  <c r="CY39" i="5"/>
  <c r="DI39" i="5"/>
  <c r="CC39" i="5"/>
  <c r="DF40" i="5"/>
  <c r="BZ40" i="5"/>
  <c r="EX40" i="5"/>
  <c r="GI40" i="5" s="1"/>
  <c r="DD28" i="5"/>
  <c r="FZ31" i="5"/>
  <c r="FB32" i="5"/>
  <c r="BT38" i="5"/>
  <c r="CZ38" i="5"/>
  <c r="CD38" i="5"/>
  <c r="DJ38" i="5"/>
  <c r="EX38" i="5"/>
  <c r="GI38" i="5" s="1"/>
  <c r="BY31" i="5"/>
  <c r="CY34" i="5"/>
  <c r="BS34" i="5"/>
  <c r="CC34" i="5"/>
  <c r="BX28" i="5"/>
  <c r="BT30" i="5"/>
  <c r="CD30" i="5"/>
  <c r="DJ30" i="5"/>
  <c r="DF31" i="5"/>
  <c r="AI33" i="5"/>
  <c r="DG33" i="5"/>
  <c r="BZ33" i="5"/>
  <c r="DF33" i="5"/>
  <c r="CZ34" i="5"/>
  <c r="CD34" i="5"/>
  <c r="DJ34" i="5"/>
  <c r="BT34" i="5"/>
  <c r="BZ37" i="5"/>
  <c r="CY41" i="5"/>
  <c r="BS41" i="5"/>
  <c r="CC41" i="5"/>
  <c r="DI41" i="5"/>
  <c r="DD42" i="5"/>
  <c r="BX42" i="5"/>
  <c r="BR25" i="5"/>
  <c r="CB25" i="5"/>
  <c r="DF27" i="5"/>
  <c r="BS9" i="5"/>
  <c r="CY9" i="5"/>
  <c r="BU10" i="5"/>
  <c r="BU11" i="5"/>
  <c r="DF12" i="5"/>
  <c r="BZ12" i="5"/>
  <c r="EI13" i="5"/>
  <c r="FY13" i="5" s="1"/>
  <c r="EH13" i="5"/>
  <c r="FX13" i="5" s="1"/>
  <c r="FW14" i="5"/>
  <c r="EX14" i="5"/>
  <c r="GI14" i="5" s="1"/>
  <c r="DD15" i="5"/>
  <c r="BX15" i="5"/>
  <c r="DF16" i="5"/>
  <c r="BZ16" i="5"/>
  <c r="EH16" i="5"/>
  <c r="FX16" i="5" s="1"/>
  <c r="BU19" i="5"/>
  <c r="BY20" i="5"/>
  <c r="DE20" i="5"/>
  <c r="BU22" i="5"/>
  <c r="CD23" i="5"/>
  <c r="BX24" i="5"/>
  <c r="EI24" i="5"/>
  <c r="FY24" i="5" s="1"/>
  <c r="DH25" i="5"/>
  <c r="EH25" i="5"/>
  <c r="FX25" i="5" s="1"/>
  <c r="BU26" i="5"/>
  <c r="AI26" i="5"/>
  <c r="AI27" i="5"/>
  <c r="AI30" i="5"/>
  <c r="EI30" i="5"/>
  <c r="FY30" i="5" s="1"/>
  <c r="EH30" i="5"/>
  <c r="FX30" i="5" s="1"/>
  <c r="FZ30" i="5"/>
  <c r="AI31" i="5"/>
  <c r="CW31" i="5"/>
  <c r="DG31" i="5"/>
  <c r="CA31" i="5"/>
  <c r="DE31" i="5"/>
  <c r="EI31" i="5"/>
  <c r="FY31" i="5" s="1"/>
  <c r="CX33" i="5"/>
  <c r="CB33" i="5"/>
  <c r="DH33" i="5"/>
  <c r="CA33" i="5"/>
  <c r="AI34" i="5"/>
  <c r="BU34" i="5"/>
  <c r="AI37" i="5"/>
  <c r="BQ37" i="5"/>
  <c r="CW37" i="5"/>
  <c r="CA37" i="5"/>
  <c r="DG37" i="5"/>
  <c r="FW38" i="5"/>
  <c r="BS39" i="5"/>
  <c r="CZ41" i="5"/>
  <c r="DJ41" i="5"/>
  <c r="CD41" i="5"/>
  <c r="BT41" i="5"/>
  <c r="DE42" i="5"/>
  <c r="BY42" i="5"/>
  <c r="BQ43" i="5"/>
  <c r="AI43" i="5"/>
  <c r="CW43" i="5"/>
  <c r="DG43" i="5"/>
  <c r="GI9" i="5"/>
  <c r="FW10" i="5"/>
  <c r="EX10" i="5"/>
  <c r="GI10" i="5" s="1"/>
  <c r="DD11" i="5"/>
  <c r="BX11" i="5"/>
  <c r="BQ12" i="5"/>
  <c r="CW12" i="5"/>
  <c r="AI12" i="5"/>
  <c r="BQ16" i="5"/>
  <c r="CW16" i="5"/>
  <c r="AI16" i="5"/>
  <c r="EI17" i="5"/>
  <c r="FY17" i="5" s="1"/>
  <c r="EH17" i="5"/>
  <c r="FX17" i="5" s="1"/>
  <c r="FW18" i="5"/>
  <c r="EX18" i="5"/>
  <c r="GI18" i="5" s="1"/>
  <c r="DD19" i="5"/>
  <c r="BX19" i="5"/>
  <c r="DF20" i="5"/>
  <c r="BZ20" i="5"/>
  <c r="EH20" i="5"/>
  <c r="FX20" i="5" s="1"/>
  <c r="EX21" i="5"/>
  <c r="GI21" i="5" s="1"/>
  <c r="BU23" i="5"/>
  <c r="AI23" i="5"/>
  <c r="DJ23" i="5"/>
  <c r="BY24" i="5"/>
  <c r="DE24" i="5"/>
  <c r="CX25" i="5"/>
  <c r="DD26" i="5"/>
  <c r="FZ26" i="5"/>
  <c r="EI26" i="5"/>
  <c r="FY26" i="5" s="1"/>
  <c r="EH26" i="5"/>
  <c r="FX26" i="5" s="1"/>
  <c r="CX27" i="5"/>
  <c r="DH27" i="5"/>
  <c r="BQ27" i="5"/>
  <c r="CW27" i="5"/>
  <c r="CD28" i="5"/>
  <c r="DJ28" i="5"/>
  <c r="AI29" i="5"/>
  <c r="CC29" i="5"/>
  <c r="CW29" i="5"/>
  <c r="DD30" i="5"/>
  <c r="BU30" i="5"/>
  <c r="CZ30" i="5"/>
  <c r="DH31" i="5"/>
  <c r="BQ31" i="5"/>
  <c r="CB31" i="5"/>
  <c r="BR32" i="5"/>
  <c r="DH32" i="5"/>
  <c r="CB32" i="5"/>
  <c r="DD34" i="5"/>
  <c r="DI34" i="5"/>
  <c r="EX34" i="5"/>
  <c r="GI34" i="5" s="1"/>
  <c r="FW34" i="5"/>
  <c r="BX35" i="5"/>
  <c r="DD35" i="5"/>
  <c r="BZ35" i="5"/>
  <c r="AI36" i="5"/>
  <c r="BQ36" i="5"/>
  <c r="CW36" i="5"/>
  <c r="FB36" i="5"/>
  <c r="BR37" i="5"/>
  <c r="CX37" i="5"/>
  <c r="CB37" i="5"/>
  <c r="DH37" i="5"/>
  <c r="BU40" i="5"/>
  <c r="AI40" i="5"/>
  <c r="CX43" i="5"/>
  <c r="BR43" i="5"/>
  <c r="DH43" i="5"/>
  <c r="AM9" i="5"/>
  <c r="EI9" i="5"/>
  <c r="FY9" i="5" s="1"/>
  <c r="EH9" i="5"/>
  <c r="FX9" i="5" s="1"/>
  <c r="EH10" i="5"/>
  <c r="FX10" i="5" s="1"/>
  <c r="CA12" i="5"/>
  <c r="BZ13" i="5"/>
  <c r="BY15" i="5"/>
  <c r="CA16" i="5"/>
  <c r="EH18" i="5"/>
  <c r="FX18" i="5" s="1"/>
  <c r="BQ20" i="5"/>
  <c r="CW20" i="5"/>
  <c r="AI20" i="5"/>
  <c r="EI21" i="5"/>
  <c r="FY21" i="5" s="1"/>
  <c r="EH21" i="5"/>
  <c r="FX21" i="5" s="1"/>
  <c r="FW22" i="5"/>
  <c r="EX22" i="5"/>
  <c r="GI22" i="5" s="1"/>
  <c r="DD23" i="5"/>
  <c r="BX23" i="5"/>
  <c r="CZ23" i="5"/>
  <c r="DF24" i="5"/>
  <c r="BZ24" i="5"/>
  <c r="EH24" i="5"/>
  <c r="FX24" i="5" s="1"/>
  <c r="CY25" i="5"/>
  <c r="DE26" i="5"/>
  <c r="EX26" i="5"/>
  <c r="GI26" i="5" s="1"/>
  <c r="FW26" i="5"/>
  <c r="BR27" i="5"/>
  <c r="BS28" i="5"/>
  <c r="EI28" i="5"/>
  <c r="FY28" i="5" s="1"/>
  <c r="EH28" i="5"/>
  <c r="FX28" i="5" s="1"/>
  <c r="FZ28" i="5"/>
  <c r="CB29" i="5"/>
  <c r="DH29" i="5"/>
  <c r="BQ29" i="5"/>
  <c r="CX29" i="5"/>
  <c r="DE30" i="5"/>
  <c r="BR31" i="5"/>
  <c r="BS32" i="5"/>
  <c r="BT32" i="5"/>
  <c r="BQ33" i="5"/>
  <c r="CW33" i="5"/>
  <c r="BX34" i="5"/>
  <c r="EH34" i="5"/>
  <c r="FX34" i="5" s="1"/>
  <c r="DE35" i="5"/>
  <c r="BY35" i="5"/>
  <c r="BS37" i="5"/>
  <c r="CY37" i="5"/>
  <c r="CC37" i="5"/>
  <c r="AI44" i="5"/>
  <c r="BU46" i="5"/>
  <c r="AI46" i="5"/>
  <c r="BT9" i="5"/>
  <c r="CD26" i="5"/>
  <c r="FW29" i="5"/>
  <c r="BX31" i="5"/>
  <c r="AI32" i="5"/>
  <c r="AI35" i="5"/>
  <c r="BZ36" i="5"/>
  <c r="DF36" i="5"/>
  <c r="FZ38" i="5"/>
  <c r="BQ39" i="5"/>
  <c r="AI39" i="5"/>
  <c r="DG39" i="5"/>
  <c r="AI42" i="5"/>
  <c r="DF43" i="5"/>
  <c r="BZ43" i="5"/>
  <c r="BT44" i="5"/>
  <c r="CZ44" i="5"/>
  <c r="DH45" i="5"/>
  <c r="CB45" i="5"/>
  <c r="BS49" i="5"/>
  <c r="CY49" i="5"/>
  <c r="BS50" i="5"/>
  <c r="CY50" i="5"/>
  <c r="CD52" i="5"/>
  <c r="DJ52" i="5"/>
  <c r="CY52" i="5"/>
  <c r="BU53" i="5"/>
  <c r="DE56" i="5"/>
  <c r="BY56" i="5"/>
  <c r="BZ49" i="5"/>
  <c r="BT50" i="5"/>
  <c r="CZ50" i="5"/>
  <c r="BX53" i="5"/>
  <c r="DD53" i="5"/>
  <c r="DE54" i="5"/>
  <c r="BY54" i="5"/>
  <c r="DE55" i="5"/>
  <c r="DF56" i="5"/>
  <c r="BZ56" i="5"/>
  <c r="DH57" i="5"/>
  <c r="DG65" i="5"/>
  <c r="CA65" i="5"/>
  <c r="BX46" i="5"/>
  <c r="CA49" i="5"/>
  <c r="DG49" i="5"/>
  <c r="CA50" i="5"/>
  <c r="CB52" i="5"/>
  <c r="DH52" i="5"/>
  <c r="BZ54" i="5"/>
  <c r="CA55" i="5"/>
  <c r="DG55" i="5"/>
  <c r="CC57" i="5"/>
  <c r="DI57" i="5"/>
  <c r="BS59" i="5"/>
  <c r="CY59" i="5"/>
  <c r="AA72" i="5"/>
  <c r="AB72" i="5"/>
  <c r="Z72" i="5"/>
  <c r="AH72" i="5"/>
  <c r="Y72" i="5"/>
  <c r="AC72" i="5"/>
  <c r="AG72" i="5"/>
  <c r="AF72" i="5"/>
  <c r="AE72" i="5"/>
  <c r="AD72" i="5"/>
  <c r="X72" i="5"/>
  <c r="DE46" i="5"/>
  <c r="BY46" i="5"/>
  <c r="CB49" i="5"/>
  <c r="DH49" i="5"/>
  <c r="CA54" i="5"/>
  <c r="DG54" i="5"/>
  <c r="CC55" i="5"/>
  <c r="DI55" i="5"/>
  <c r="BY55" i="5"/>
  <c r="CB57" i="5"/>
  <c r="BT59" i="5"/>
  <c r="CZ59" i="5"/>
  <c r="W72" i="5"/>
  <c r="BQ47" i="5"/>
  <c r="CW47" i="5"/>
  <c r="AI47" i="5"/>
  <c r="BZ48" i="5"/>
  <c r="DF48" i="5"/>
  <c r="FB49" i="5"/>
  <c r="DG50" i="5"/>
  <c r="EX52" i="5"/>
  <c r="GI52" i="5" s="1"/>
  <c r="FW52" i="5"/>
  <c r="DI54" i="5"/>
  <c r="CC54" i="5"/>
  <c r="DF54" i="5"/>
  <c r="FW54" i="5"/>
  <c r="EX54" i="5"/>
  <c r="GI54" i="5" s="1"/>
  <c r="CD55" i="5"/>
  <c r="DJ55" i="5"/>
  <c r="BU59" i="5"/>
  <c r="FW11" i="5"/>
  <c r="FW15" i="5"/>
  <c r="FW19" i="5"/>
  <c r="FW23" i="5"/>
  <c r="CD27" i="5"/>
  <c r="BY28" i="5"/>
  <c r="BZ30" i="5"/>
  <c r="BX32" i="5"/>
  <c r="EI32" i="5"/>
  <c r="FY32" i="5" s="1"/>
  <c r="BU38" i="5"/>
  <c r="CA39" i="5"/>
  <c r="CB41" i="5"/>
  <c r="EH43" i="5"/>
  <c r="FX43" i="5" s="1"/>
  <c r="FZ43" i="5"/>
  <c r="FB44" i="5"/>
  <c r="BY45" i="5"/>
  <c r="FW46" i="5"/>
  <c r="CA48" i="5"/>
  <c r="DG48" i="5"/>
  <c r="FB48" i="5"/>
  <c r="BZ51" i="5"/>
  <c r="EI59" i="5"/>
  <c r="FY59" i="5" s="1"/>
  <c r="EH59" i="5"/>
  <c r="FX59" i="5" s="1"/>
  <c r="FZ59" i="5"/>
  <c r="EX11" i="5"/>
  <c r="GI11" i="5" s="1"/>
  <c r="FZ12" i="5"/>
  <c r="EX15" i="5"/>
  <c r="GI15" i="5" s="1"/>
  <c r="FZ16" i="5"/>
  <c r="EX19" i="5"/>
  <c r="GI19" i="5" s="1"/>
  <c r="FZ20" i="5"/>
  <c r="EX23" i="5"/>
  <c r="GI23" i="5" s="1"/>
  <c r="FZ24" i="5"/>
  <c r="BZ28" i="5"/>
  <c r="CZ29" i="5"/>
  <c r="FW30" i="5"/>
  <c r="BX36" i="5"/>
  <c r="EI36" i="5"/>
  <c r="FY36" i="5" s="1"/>
  <c r="EX37" i="5"/>
  <c r="GI37" i="5" s="1"/>
  <c r="CX41" i="5"/>
  <c r="FB42" i="5"/>
  <c r="EI42" i="5"/>
  <c r="FY42" i="5" s="1"/>
  <c r="EH42" i="5"/>
  <c r="FX42" i="5" s="1"/>
  <c r="EX43" i="5"/>
  <c r="GI43" i="5" s="1"/>
  <c r="FW43" i="5"/>
  <c r="CD44" i="5"/>
  <c r="DJ44" i="5"/>
  <c r="CY47" i="5"/>
  <c r="BS47" i="5"/>
  <c r="DI47" i="5"/>
  <c r="DH48" i="5"/>
  <c r="CB48" i="5"/>
  <c r="CB51" i="5"/>
  <c r="DH58" i="5"/>
  <c r="CB58" i="5"/>
  <c r="BZ67" i="5"/>
  <c r="DF67" i="5"/>
  <c r="BT26" i="5"/>
  <c r="BX27" i="5"/>
  <c r="AI28" i="5"/>
  <c r="CB28" i="5"/>
  <c r="BZ32" i="5"/>
  <c r="BQ32" i="5"/>
  <c r="EH32" i="5"/>
  <c r="FX32" i="5" s="1"/>
  <c r="CZ33" i="5"/>
  <c r="CD35" i="5"/>
  <c r="BU35" i="5"/>
  <c r="BY36" i="5"/>
  <c r="DE36" i="5"/>
  <c r="EI37" i="5"/>
  <c r="FY37" i="5" s="1"/>
  <c r="EH37" i="5"/>
  <c r="FX37" i="5" s="1"/>
  <c r="CW39" i="5"/>
  <c r="BQ41" i="5"/>
  <c r="AI41" i="5"/>
  <c r="BR41" i="5"/>
  <c r="BT42" i="5"/>
  <c r="DJ42" i="5"/>
  <c r="BY43" i="5"/>
  <c r="EI43" i="5"/>
  <c r="FY43" i="5" s="1"/>
  <c r="BS44" i="5"/>
  <c r="DI44" i="5"/>
  <c r="CC44" i="5"/>
  <c r="CY44" i="5"/>
  <c r="AI45" i="5"/>
  <c r="CA45" i="5"/>
  <c r="DD46" i="5"/>
  <c r="EI48" i="5"/>
  <c r="FY48" i="5" s="1"/>
  <c r="EH48" i="5"/>
  <c r="FX48" i="5" s="1"/>
  <c r="FZ48" i="5"/>
  <c r="DF49" i="5"/>
  <c r="BR50" i="5"/>
  <c r="CX50" i="5"/>
  <c r="BR51" i="5"/>
  <c r="AI51" i="5"/>
  <c r="CC51" i="5"/>
  <c r="DI51" i="5"/>
  <c r="BX56" i="5"/>
  <c r="DD56" i="5"/>
  <c r="FY61" i="5"/>
  <c r="FX61" i="5"/>
  <c r="BU63" i="5"/>
  <c r="EX76" i="5"/>
  <c r="GI76" i="5" s="1"/>
  <c r="FB35" i="5"/>
  <c r="CA40" i="5"/>
  <c r="BU41" i="5"/>
  <c r="BZ42" i="5"/>
  <c r="CC43" i="5"/>
  <c r="BY44" i="5"/>
  <c r="CC45" i="5"/>
  <c r="DI45" i="5"/>
  <c r="CY45" i="5"/>
  <c r="AB48" i="5"/>
  <c r="AA48" i="5"/>
  <c r="AH48" i="5"/>
  <c r="Z48" i="5"/>
  <c r="AG48" i="5"/>
  <c r="Y48" i="5"/>
  <c r="EI49" i="5"/>
  <c r="FY49" i="5" s="1"/>
  <c r="EH49" i="5"/>
  <c r="FX49" i="5" s="1"/>
  <c r="CB50" i="5"/>
  <c r="DH50" i="5"/>
  <c r="BS51" i="5"/>
  <c r="CD51" i="5"/>
  <c r="DJ51" i="5"/>
  <c r="CY51" i="5"/>
  <c r="BT52" i="5"/>
  <c r="AH57" i="5"/>
  <c r="Z57" i="5"/>
  <c r="AD57" i="5"/>
  <c r="AC57" i="5"/>
  <c r="AB57" i="5"/>
  <c r="AA57" i="5"/>
  <c r="Y57" i="5"/>
  <c r="AA58" i="5"/>
  <c r="Z58" i="5"/>
  <c r="AB58" i="5"/>
  <c r="Y58" i="5"/>
  <c r="AH58" i="5"/>
  <c r="X58" i="5"/>
  <c r="AG58" i="5"/>
  <c r="W58" i="5"/>
  <c r="FW59" i="5"/>
  <c r="EX59" i="5"/>
  <c r="GI59" i="5" s="1"/>
  <c r="DF70" i="5"/>
  <c r="BZ70" i="5"/>
  <c r="BR75" i="5"/>
  <c r="CC76" i="5"/>
  <c r="DI76" i="5"/>
  <c r="EH78" i="5"/>
  <c r="FX78" i="5" s="1"/>
  <c r="EI78" i="5"/>
  <c r="FY78" i="5" s="1"/>
  <c r="FB78" i="5"/>
  <c r="CX36" i="5"/>
  <c r="FZ36" i="5"/>
  <c r="CZ37" i="5"/>
  <c r="CC40" i="5"/>
  <c r="CW40" i="5"/>
  <c r="BX41" i="5"/>
  <c r="CA42" i="5"/>
  <c r="FW42" i="5"/>
  <c r="BQ44" i="5"/>
  <c r="DG46" i="5"/>
  <c r="W48" i="5"/>
  <c r="AC49" i="5"/>
  <c r="AB49" i="5"/>
  <c r="AA49" i="5"/>
  <c r="AH49" i="5"/>
  <c r="Z49" i="5"/>
  <c r="CC50" i="5"/>
  <c r="DI50" i="5"/>
  <c r="BT51" i="5"/>
  <c r="CZ51" i="5"/>
  <c r="BU52" i="5"/>
  <c r="W57" i="5"/>
  <c r="AC58" i="5"/>
  <c r="BY66" i="5"/>
  <c r="DE66" i="5"/>
  <c r="CD76" i="5"/>
  <c r="EH36" i="5"/>
  <c r="FX36" i="5" s="1"/>
  <c r="BY39" i="5"/>
  <c r="EH39" i="5"/>
  <c r="FX39" i="5" s="1"/>
  <c r="CA44" i="5"/>
  <c r="EH44" i="5"/>
  <c r="FX44" i="5" s="1"/>
  <c r="BU45" i="5"/>
  <c r="EH45" i="5"/>
  <c r="FX45" i="5" s="1"/>
  <c r="CC46" i="5"/>
  <c r="BY47" i="5"/>
  <c r="DE47" i="5"/>
  <c r="EI47" i="5"/>
  <c r="FY47" i="5" s="1"/>
  <c r="X48" i="5"/>
  <c r="W49" i="5"/>
  <c r="BZ50" i="5"/>
  <c r="EI50" i="5"/>
  <c r="FY50" i="5" s="1"/>
  <c r="BU51" i="5"/>
  <c r="AF54" i="5"/>
  <c r="X54" i="5"/>
  <c r="AB54" i="5"/>
  <c r="AA54" i="5"/>
  <c r="Z54" i="5"/>
  <c r="AH54" i="5"/>
  <c r="Y54" i="5"/>
  <c r="AF55" i="5"/>
  <c r="X55" i="5"/>
  <c r="AD55" i="5"/>
  <c r="AB55" i="5"/>
  <c r="AA55" i="5"/>
  <c r="Z55" i="5"/>
  <c r="Y55" i="5"/>
  <c r="X57" i="5"/>
  <c r="AD58" i="5"/>
  <c r="CA59" i="5"/>
  <c r="DH62" i="5"/>
  <c r="CB62" i="5"/>
  <c r="DF66" i="5"/>
  <c r="EX73" i="5"/>
  <c r="GI73" i="5" s="1"/>
  <c r="DF78" i="5"/>
  <c r="CY40" i="5"/>
  <c r="DG40" i="5"/>
  <c r="CW44" i="5"/>
  <c r="EI44" i="5"/>
  <c r="FY44" i="5" s="1"/>
  <c r="EI45" i="5"/>
  <c r="FY45" i="5" s="1"/>
  <c r="EX45" i="5"/>
  <c r="GI45" i="5" s="1"/>
  <c r="BQ46" i="5"/>
  <c r="CY46" i="5"/>
  <c r="DI46" i="5"/>
  <c r="BZ47" i="5"/>
  <c r="DF47" i="5"/>
  <c r="BU47" i="5"/>
  <c r="AC48" i="5"/>
  <c r="X49" i="5"/>
  <c r="EX51" i="5"/>
  <c r="GI51" i="5" s="1"/>
  <c r="FW51" i="5"/>
  <c r="CC52" i="5"/>
  <c r="CD53" i="5"/>
  <c r="W54" i="5"/>
  <c r="W55" i="5"/>
  <c r="EH55" i="5"/>
  <c r="FX55" i="5" s="1"/>
  <c r="EI55" i="5"/>
  <c r="FY55" i="5" s="1"/>
  <c r="FB55" i="5"/>
  <c r="CA56" i="5"/>
  <c r="DG56" i="5"/>
  <c r="AE57" i="5"/>
  <c r="EH57" i="5"/>
  <c r="FX57" i="5" s="1"/>
  <c r="EI57" i="5"/>
  <c r="FY57" i="5" s="1"/>
  <c r="FZ57" i="5"/>
  <c r="AE58" i="5"/>
  <c r="EI63" i="5"/>
  <c r="FY63" i="5" s="1"/>
  <c r="FB63" i="5"/>
  <c r="EH63" i="5"/>
  <c r="FX63" i="5" s="1"/>
  <c r="AH65" i="5"/>
  <c r="Z65" i="5"/>
  <c r="AG65" i="5"/>
  <c r="Y65" i="5"/>
  <c r="AF65" i="5"/>
  <c r="X65" i="5"/>
  <c r="AA65" i="5"/>
  <c r="AD65" i="5"/>
  <c r="AC65" i="5"/>
  <c r="AB65" i="5"/>
  <c r="W65" i="5"/>
  <c r="BS67" i="5"/>
  <c r="CY67" i="5"/>
  <c r="EI68" i="5"/>
  <c r="FY68" i="5" s="1"/>
  <c r="EH68" i="5"/>
  <c r="FX68" i="5" s="1"/>
  <c r="BZ73" i="5"/>
  <c r="AA50" i="5"/>
  <c r="AC52" i="5"/>
  <c r="AD53" i="5"/>
  <c r="FB53" i="5"/>
  <c r="FW53" i="5"/>
  <c r="FB66" i="5"/>
  <c r="EX68" i="5"/>
  <c r="GI68" i="5" s="1"/>
  <c r="FB81" i="5"/>
  <c r="AB50" i="5"/>
  <c r="AD52" i="5"/>
  <c r="EX53" i="5"/>
  <c r="GI53" i="5" s="1"/>
  <c r="FW55" i="5"/>
  <c r="AG56" i="5"/>
  <c r="Y56" i="5"/>
  <c r="Z56" i="5"/>
  <c r="AF56" i="5"/>
  <c r="AE62" i="5"/>
  <c r="W62" i="5"/>
  <c r="AA62" i="5"/>
  <c r="Z62" i="5"/>
  <c r="AH62" i="5"/>
  <c r="Y62" i="5"/>
  <c r="AG62" i="5"/>
  <c r="X62" i="5"/>
  <c r="BU64" i="5"/>
  <c r="EI64" i="5"/>
  <c r="FY64" i="5" s="1"/>
  <c r="FB64" i="5"/>
  <c r="EH65" i="5"/>
  <c r="FX65" i="5" s="1"/>
  <c r="CB66" i="5"/>
  <c r="AG70" i="5"/>
  <c r="Y70" i="5"/>
  <c r="AA70" i="5"/>
  <c r="Z70" i="5"/>
  <c r="AH70" i="5"/>
  <c r="X70" i="5"/>
  <c r="AB70" i="5"/>
  <c r="AF70" i="5"/>
  <c r="AE70" i="5"/>
  <c r="EI74" i="5"/>
  <c r="FY74" i="5" s="1"/>
  <c r="EX75" i="5"/>
  <c r="GI75" i="5" s="1"/>
  <c r="AC50" i="5"/>
  <c r="W52" i="5"/>
  <c r="AE52" i="5"/>
  <c r="X53" i="5"/>
  <c r="W56" i="5"/>
  <c r="AH56" i="5"/>
  <c r="EX57" i="5"/>
  <c r="GI57" i="5" s="1"/>
  <c r="EI58" i="5"/>
  <c r="FY58" i="5" s="1"/>
  <c r="FZ58" i="5"/>
  <c r="AB62" i="5"/>
  <c r="EX62" i="5"/>
  <c r="GI62" i="5" s="1"/>
  <c r="FB67" i="5"/>
  <c r="W70" i="5"/>
  <c r="BU71" i="5"/>
  <c r="EH71" i="5"/>
  <c r="FX71" i="5" s="1"/>
  <c r="EI71" i="5"/>
  <c r="FY71" i="5" s="1"/>
  <c r="CZ77" i="5"/>
  <c r="X52" i="5"/>
  <c r="X56" i="5"/>
  <c r="FB58" i="5"/>
  <c r="AB59" i="5"/>
  <c r="AF59" i="5"/>
  <c r="W59" i="5"/>
  <c r="AG59" i="5"/>
  <c r="BY59" i="5"/>
  <c r="AC62" i="5"/>
  <c r="EH62" i="5"/>
  <c r="FX62" i="5" s="1"/>
  <c r="DE64" i="5"/>
  <c r="BY64" i="5"/>
  <c r="AC70" i="5"/>
  <c r="DD71" i="5"/>
  <c r="EH74" i="5"/>
  <c r="FX74" i="5" s="1"/>
  <c r="BQ86" i="5"/>
  <c r="FB62" i="5"/>
  <c r="EI66" i="5"/>
  <c r="FY66" i="5" s="1"/>
  <c r="EH66" i="5"/>
  <c r="FX66" i="5" s="1"/>
  <c r="DH67" i="5"/>
  <c r="CB67" i="5"/>
  <c r="EX67" i="5"/>
  <c r="GI67" i="5" s="1"/>
  <c r="AA80" i="5"/>
  <c r="AH80" i="5"/>
  <c r="Z80" i="5"/>
  <c r="AG80" i="5"/>
  <c r="Y80" i="5"/>
  <c r="AB80" i="5"/>
  <c r="AC80" i="5"/>
  <c r="X80" i="5"/>
  <c r="W80" i="5"/>
  <c r="AD80" i="5"/>
  <c r="BR83" i="5"/>
  <c r="CC83" i="5"/>
  <c r="AG64" i="5"/>
  <c r="Y64" i="5"/>
  <c r="AH64" i="5"/>
  <c r="Z64" i="5"/>
  <c r="AF64" i="5"/>
  <c r="AA66" i="5"/>
  <c r="AH66" i="5"/>
  <c r="Z66" i="5"/>
  <c r="AG66" i="5"/>
  <c r="Y66" i="5"/>
  <c r="AB66" i="5"/>
  <c r="EI67" i="5"/>
  <c r="FY67" i="5" s="1"/>
  <c r="EH67" i="5"/>
  <c r="FX67" i="5" s="1"/>
  <c r="DG68" i="5"/>
  <c r="EI69" i="5"/>
  <c r="FY69" i="5" s="1"/>
  <c r="EH69" i="5"/>
  <c r="FX69" i="5" s="1"/>
  <c r="FB69" i="5"/>
  <c r="AH79" i="5"/>
  <c r="Z79" i="5"/>
  <c r="AG79" i="5"/>
  <c r="Y79" i="5"/>
  <c r="AF79" i="5"/>
  <c r="X79" i="5"/>
  <c r="AA79" i="5"/>
  <c r="AE79" i="5"/>
  <c r="AD79" i="5"/>
  <c r="AC79" i="5"/>
  <c r="AE80" i="5"/>
  <c r="FB80" i="5"/>
  <c r="CC81" i="5"/>
  <c r="EI81" i="5"/>
  <c r="FY81" i="5" s="1"/>
  <c r="EH81" i="5"/>
  <c r="FX81" i="5" s="1"/>
  <c r="BS83" i="5"/>
  <c r="DH84" i="5"/>
  <c r="CB84" i="5"/>
  <c r="EI85" i="5"/>
  <c r="FY85" i="5" s="1"/>
  <c r="EH85" i="5"/>
  <c r="FX85" i="5" s="1"/>
  <c r="CA87" i="5"/>
  <c r="CW64" i="5"/>
  <c r="BQ64" i="5"/>
  <c r="BQ66" i="5"/>
  <c r="AB67" i="5"/>
  <c r="AA67" i="5"/>
  <c r="AH67" i="5"/>
  <c r="Z67" i="5"/>
  <c r="AC67" i="5"/>
  <c r="BS76" i="5"/>
  <c r="W79" i="5"/>
  <c r="AF80" i="5"/>
  <c r="BS88" i="5"/>
  <c r="CY88" i="5"/>
  <c r="DJ88" i="5"/>
  <c r="CD88" i="5"/>
  <c r="AF63" i="5"/>
  <c r="X63" i="5"/>
  <c r="AE63" i="5"/>
  <c r="X64" i="5"/>
  <c r="X66" i="5"/>
  <c r="W67" i="5"/>
  <c r="DI71" i="5"/>
  <c r="FB71" i="5"/>
  <c r="DE73" i="5"/>
  <c r="BY73" i="5"/>
  <c r="EI73" i="5"/>
  <c r="FY73" i="5" s="1"/>
  <c r="DH75" i="5"/>
  <c r="EI75" i="5"/>
  <c r="FY75" i="5" s="1"/>
  <c r="EH75" i="5"/>
  <c r="FX75" i="5" s="1"/>
  <c r="AB79" i="5"/>
  <c r="EI80" i="5"/>
  <c r="FY80" i="5" s="1"/>
  <c r="EH80" i="5"/>
  <c r="FX80" i="5" s="1"/>
  <c r="FB86" i="5"/>
  <c r="EI86" i="5"/>
  <c r="FY86" i="5" s="1"/>
  <c r="EH64" i="5"/>
  <c r="FX64" i="5" s="1"/>
  <c r="EI65" i="5"/>
  <c r="FY65" i="5" s="1"/>
  <c r="AD68" i="5"/>
  <c r="Y73" i="5"/>
  <c r="AH73" i="5"/>
  <c r="AC74" i="5"/>
  <c r="AB74" i="5"/>
  <c r="AF74" i="5"/>
  <c r="BX78" i="5"/>
  <c r="DD78" i="5"/>
  <c r="BS81" i="5"/>
  <c r="CY81" i="5"/>
  <c r="BR82" i="5"/>
  <c r="BQ84" i="5"/>
  <c r="CW84" i="5"/>
  <c r="AB86" i="5"/>
  <c r="AA86" i="5"/>
  <c r="AD86" i="5"/>
  <c r="AC86" i="5"/>
  <c r="Z86" i="5"/>
  <c r="AE86" i="5"/>
  <c r="CC88" i="5"/>
  <c r="DI88" i="5"/>
  <c r="EX89" i="5"/>
  <c r="GI89" i="5" s="1"/>
  <c r="EI90" i="5"/>
  <c r="FY90" i="5" s="1"/>
  <c r="FB90" i="5"/>
  <c r="EH90" i="5"/>
  <c r="FX90" i="5" s="1"/>
  <c r="CZ88" i="5"/>
  <c r="BY90" i="5"/>
  <c r="CX89" i="5"/>
  <c r="AA93" i="5"/>
  <c r="AH93" i="5"/>
  <c r="Z93" i="5"/>
  <c r="AG93" i="5"/>
  <c r="Y93" i="5"/>
  <c r="AB93" i="5"/>
  <c r="AF93" i="5"/>
  <c r="AE93" i="5"/>
  <c r="AD93" i="5"/>
  <c r="AC93" i="5"/>
  <c r="BS89" i="5"/>
  <c r="BQ93" i="5"/>
  <c r="CW93" i="5"/>
  <c r="BQ69" i="5"/>
  <c r="BZ69" i="5"/>
  <c r="BY71" i="5"/>
  <c r="AE73" i="5"/>
  <c r="BX76" i="5"/>
  <c r="AB81" i="5"/>
  <c r="AA81" i="5"/>
  <c r="AH81" i="5"/>
  <c r="Z81" i="5"/>
  <c r="AC81" i="5"/>
  <c r="CX82" i="5"/>
  <c r="BT83" i="5"/>
  <c r="CZ83" i="5"/>
  <c r="DI84" i="5"/>
  <c r="AG86" i="5"/>
  <c r="CZ89" i="5"/>
  <c r="X93" i="5"/>
  <c r="AB68" i="5"/>
  <c r="W73" i="5"/>
  <c r="AF73" i="5"/>
  <c r="CD77" i="5"/>
  <c r="AG78" i="5"/>
  <c r="Y78" i="5"/>
  <c r="AF78" i="5"/>
  <c r="X78" i="5"/>
  <c r="AE78" i="5"/>
  <c r="W78" i="5"/>
  <c r="AH78" i="5"/>
  <c r="Z78" i="5"/>
  <c r="EI82" i="5"/>
  <c r="FY82" i="5" s="1"/>
  <c r="BU83" i="5"/>
  <c r="AH86" i="5"/>
  <c r="AB94" i="5"/>
  <c r="AA94" i="5"/>
  <c r="AH94" i="5"/>
  <c r="Z94" i="5"/>
  <c r="AC94" i="5"/>
  <c r="AE94" i="5"/>
  <c r="AD94" i="5"/>
  <c r="Y94" i="5"/>
  <c r="X94" i="5"/>
  <c r="AG94" i="5"/>
  <c r="AF94" i="5"/>
  <c r="W94" i="5"/>
  <c r="CA95" i="5"/>
  <c r="DG95" i="5"/>
  <c r="AF69" i="5"/>
  <c r="X69" i="5"/>
  <c r="AE69" i="5"/>
  <c r="AH71" i="5"/>
  <c r="Z71" i="5"/>
  <c r="AE71" i="5"/>
  <c r="DE71" i="5"/>
  <c r="EI72" i="5"/>
  <c r="FY72" i="5" s="1"/>
  <c r="X73" i="5"/>
  <c r="AG73" i="5"/>
  <c r="AE74" i="5"/>
  <c r="AA78" i="5"/>
  <c r="X81" i="5"/>
  <c r="AB84" i="5"/>
  <c r="AC84" i="5"/>
  <c r="AA84" i="5"/>
  <c r="Z84" i="5"/>
  <c r="AD84" i="5"/>
  <c r="BX85" i="5"/>
  <c r="DD85" i="5"/>
  <c r="BQ88" i="5"/>
  <c r="AF90" i="5"/>
  <c r="X90" i="5"/>
  <c r="AG90" i="5"/>
  <c r="Y90" i="5"/>
  <c r="AB90" i="5"/>
  <c r="AA90" i="5"/>
  <c r="Z90" i="5"/>
  <c r="AH90" i="5"/>
  <c r="AE90" i="5"/>
  <c r="AD90" i="5"/>
  <c r="AG77" i="5"/>
  <c r="EI79" i="5"/>
  <c r="FY79" i="5" s="1"/>
  <c r="AD82" i="5"/>
  <c r="DF92" i="5"/>
  <c r="EI94" i="5"/>
  <c r="FY94" i="5" s="1"/>
  <c r="EH94" i="5"/>
  <c r="FX94" i="5" s="1"/>
  <c r="AD77" i="5"/>
  <c r="AA82" i="5"/>
  <c r="BQ92" i="5"/>
  <c r="CW92" i="5"/>
  <c r="DI95" i="5"/>
  <c r="AD76" i="5"/>
  <c r="W77" i="5"/>
  <c r="AE77" i="5"/>
  <c r="EX77" i="5"/>
  <c r="GI77" i="5" s="1"/>
  <c r="AB82" i="5"/>
  <c r="EH84" i="5"/>
  <c r="FX84" i="5" s="1"/>
  <c r="AC87" i="5"/>
  <c r="AF87" i="5"/>
  <c r="W87" i="5"/>
  <c r="AG87" i="5"/>
  <c r="EI89" i="5"/>
  <c r="FY89" i="5" s="1"/>
  <c r="AG91" i="5"/>
  <c r="Y91" i="5"/>
  <c r="AF91" i="5"/>
  <c r="X91" i="5"/>
  <c r="AE91" i="5"/>
  <c r="W91" i="5"/>
  <c r="AH91" i="5"/>
  <c r="Z91" i="5"/>
  <c r="AD91" i="5"/>
  <c r="AC91" i="5"/>
  <c r="AB91" i="5"/>
  <c r="BX92" i="5"/>
  <c r="EI93" i="5"/>
  <c r="FY93" i="5" s="1"/>
  <c r="EH93" i="5"/>
  <c r="FX93" i="5" s="1"/>
  <c r="DE95" i="5"/>
  <c r="BY95" i="5"/>
  <c r="W76" i="5"/>
  <c r="X77" i="5"/>
  <c r="EH86" i="5"/>
  <c r="FX86" i="5" s="1"/>
  <c r="X87" i="5"/>
  <c r="AH87" i="5"/>
  <c r="BY89" i="5"/>
  <c r="AA91" i="5"/>
  <c r="BY92" i="5"/>
  <c r="DE92" i="5"/>
  <c r="DD92" i="5"/>
  <c r="CW95" i="5"/>
  <c r="EH92" i="5"/>
  <c r="FX92" i="5" s="1"/>
  <c r="BS95" i="5"/>
  <c r="AE85" i="5"/>
  <c r="AE89" i="5"/>
  <c r="W89" i="5"/>
  <c r="AF89" i="5"/>
  <c r="AH92" i="5"/>
  <c r="Z92" i="5"/>
  <c r="AG92" i="5"/>
  <c r="Y92" i="5"/>
  <c r="AF92" i="5"/>
  <c r="X92" i="5"/>
  <c r="AA92" i="5"/>
  <c r="EI95" i="5"/>
  <c r="FY95" i="5" s="1"/>
  <c r="EH95" i="5"/>
  <c r="FX95" i="5" s="1"/>
  <c r="EH91" i="5"/>
  <c r="FX91" i="5" s="1"/>
  <c r="EI92" i="5"/>
  <c r="FY92" i="5" s="1"/>
  <c r="AD95" i="5"/>
  <c r="AA95" i="5"/>
  <c r="AB95" i="5"/>
  <c r="BS82" i="5" l="1"/>
  <c r="DF73" i="5"/>
  <c r="CB85" i="5"/>
  <c r="CC82" i="5"/>
  <c r="DH85" i="5"/>
  <c r="CY82" i="5"/>
  <c r="DH68" i="5"/>
  <c r="CB68" i="5"/>
  <c r="BX69" i="5"/>
  <c r="CB81" i="5"/>
  <c r="BZ78" i="5"/>
  <c r="CX67" i="5"/>
  <c r="DH76" i="5"/>
  <c r="BR67" i="5"/>
  <c r="DD89" i="5"/>
  <c r="BQ90" i="5"/>
  <c r="BT76" i="5"/>
  <c r="CA81" i="5"/>
  <c r="CZ63" i="5"/>
  <c r="CA66" i="5"/>
  <c r="DH95" i="5"/>
  <c r="BU75" i="5"/>
  <c r="CZ76" i="5"/>
  <c r="BT63" i="5"/>
  <c r="BU88" i="5"/>
  <c r="DF85" i="5"/>
  <c r="DF87" i="5"/>
  <c r="BZ81" i="5"/>
  <c r="BS84" i="5"/>
  <c r="CD95" i="5"/>
  <c r="BX87" i="5"/>
  <c r="BR89" i="5"/>
  <c r="CC68" i="5"/>
  <c r="CY84" i="5"/>
  <c r="DI83" i="5"/>
  <c r="CX86" i="5"/>
  <c r="DJ63" i="5"/>
  <c r="CC74" i="5"/>
  <c r="CW71" i="5"/>
  <c r="CZ82" i="5"/>
  <c r="DI68" i="5"/>
  <c r="BS63" i="5"/>
  <c r="BY69" i="5"/>
  <c r="BZ87" i="5"/>
  <c r="CD63" i="5"/>
  <c r="DG64" i="5"/>
  <c r="BA44" i="5"/>
  <c r="CX85" i="5"/>
  <c r="DJ68" i="5"/>
  <c r="BA12" i="5"/>
  <c r="BR95" i="5"/>
  <c r="CA92" i="5"/>
  <c r="CB75" i="5"/>
  <c r="CW68" i="5"/>
  <c r="DD64" i="5"/>
  <c r="DI74" i="5"/>
  <c r="BT74" i="5"/>
  <c r="DG67" i="5"/>
  <c r="BB20" i="5"/>
  <c r="BH30" i="5"/>
  <c r="CX95" i="5"/>
  <c r="BU68" i="5"/>
  <c r="BR85" i="5"/>
  <c r="CW86" i="5"/>
  <c r="DE78" i="5"/>
  <c r="BM18" i="5"/>
  <c r="CA82" i="5"/>
  <c r="BQ81" i="5"/>
  <c r="BT69" i="5"/>
  <c r="CC63" i="5"/>
  <c r="BZ64" i="5"/>
  <c r="BC19" i="5"/>
  <c r="AW9" i="5"/>
  <c r="BA23" i="5"/>
  <c r="DD69" i="5"/>
  <c r="BM15" i="5"/>
  <c r="BD11" i="5"/>
  <c r="BD34" i="5"/>
  <c r="CB88" i="5"/>
  <c r="BN38" i="5"/>
  <c r="BY77" i="5"/>
  <c r="CC89" i="5"/>
  <c r="DH88" i="5"/>
  <c r="BX75" i="5"/>
  <c r="CC67" i="5"/>
  <c r="BU87" i="5"/>
  <c r="DG87" i="5"/>
  <c r="CD83" i="5"/>
  <c r="CD74" i="5"/>
  <c r="CY86" i="5"/>
  <c r="CB82" i="5"/>
  <c r="CD75" i="5"/>
  <c r="DI75" i="5"/>
  <c r="DE77" i="5"/>
  <c r="DI89" i="5"/>
  <c r="DI67" i="5"/>
  <c r="BN46" i="5"/>
  <c r="DJ84" i="5"/>
  <c r="DJ69" i="5"/>
  <c r="CW74" i="5"/>
  <c r="BX71" i="5"/>
  <c r="DG81" i="5"/>
  <c r="BS71" i="5"/>
  <c r="BS68" i="5"/>
  <c r="BN41" i="5"/>
  <c r="CA64" i="5"/>
  <c r="CZ68" i="5"/>
  <c r="BA39" i="5"/>
  <c r="BJ42" i="5"/>
  <c r="BK32" i="5"/>
  <c r="DJ85" i="5"/>
  <c r="DH82" i="5"/>
  <c r="AI85" i="5"/>
  <c r="DJ95" i="5"/>
  <c r="BZ83" i="5"/>
  <c r="BS75" i="5"/>
  <c r="BN51" i="5"/>
  <c r="BH28" i="5"/>
  <c r="CZ75" i="5"/>
  <c r="BR88" i="5"/>
  <c r="CY85" i="5"/>
  <c r="DD73" i="5"/>
  <c r="CY76" i="5"/>
  <c r="AI75" i="5"/>
  <c r="BS69" i="5"/>
  <c r="AI88" i="5"/>
  <c r="CD89" i="5"/>
  <c r="BR84" i="5"/>
  <c r="CX84" i="5"/>
  <c r="CB86" i="5"/>
  <c r="DE75" i="5"/>
  <c r="CX68" i="5"/>
  <c r="BR68" i="5"/>
  <c r="DG84" i="5"/>
  <c r="CZ85" i="5"/>
  <c r="BX77" i="5"/>
  <c r="CB83" i="5"/>
  <c r="CD69" i="5"/>
  <c r="AI83" i="5"/>
  <c r="DH83" i="5"/>
  <c r="DD77" i="5"/>
  <c r="DI63" i="5"/>
  <c r="CA76" i="5"/>
  <c r="BT95" i="5"/>
  <c r="CE42" i="5"/>
  <c r="CQ42" i="5" s="1"/>
  <c r="AI82" i="5"/>
  <c r="BX83" i="5"/>
  <c r="DD83" i="5"/>
  <c r="CB77" i="5"/>
  <c r="DH77" i="5"/>
  <c r="DF89" i="5"/>
  <c r="BS74" i="5"/>
  <c r="CY74" i="5"/>
  <c r="DE85" i="5"/>
  <c r="BY85" i="5"/>
  <c r="AI66" i="5"/>
  <c r="BZ71" i="5"/>
  <c r="AI64" i="5"/>
  <c r="DG88" i="5"/>
  <c r="CA88" i="5"/>
  <c r="BR71" i="5"/>
  <c r="CX71" i="5"/>
  <c r="BS87" i="5"/>
  <c r="DG75" i="5"/>
  <c r="CA75" i="5"/>
  <c r="DE63" i="5"/>
  <c r="BY63" i="5"/>
  <c r="CC85" i="5"/>
  <c r="DI85" i="5"/>
  <c r="BR76" i="5"/>
  <c r="CX76" i="5"/>
  <c r="BY68" i="5"/>
  <c r="DE68" i="5"/>
  <c r="BQ85" i="5"/>
  <c r="AI71" i="5"/>
  <c r="BZ62" i="5"/>
  <c r="DF62" i="5"/>
  <c r="CW83" i="5"/>
  <c r="BQ83" i="5"/>
  <c r="CA83" i="5"/>
  <c r="DG83" i="5"/>
  <c r="BY83" i="5"/>
  <c r="DE83" i="5"/>
  <c r="CW82" i="5"/>
  <c r="BQ82" i="5"/>
  <c r="DF74" i="5"/>
  <c r="BZ74" i="5"/>
  <c r="BY82" i="5"/>
  <c r="DE82" i="5"/>
  <c r="CW63" i="5"/>
  <c r="BQ63" i="5"/>
  <c r="BX63" i="5"/>
  <c r="DD63" i="5"/>
  <c r="DJ82" i="5"/>
  <c r="CD82" i="5"/>
  <c r="BX88" i="5"/>
  <c r="DD88" i="5"/>
  <c r="DF75" i="5"/>
  <c r="BZ75" i="5"/>
  <c r="DF63" i="5"/>
  <c r="BZ63" i="5"/>
  <c r="AI90" i="5"/>
  <c r="AI74" i="5"/>
  <c r="CB71" i="5"/>
  <c r="DH71" i="5"/>
  <c r="CZ73" i="5"/>
  <c r="BY88" i="5"/>
  <c r="DE88" i="5"/>
  <c r="CW75" i="5"/>
  <c r="BQ75" i="5"/>
  <c r="CY77" i="5"/>
  <c r="BS77" i="5"/>
  <c r="BZ88" i="5"/>
  <c r="DF88" i="5"/>
  <c r="DK45" i="5"/>
  <c r="DT45" i="5" s="1"/>
  <c r="DK32" i="5"/>
  <c r="DU32" i="5" s="1"/>
  <c r="DK38" i="5"/>
  <c r="DM38" i="5" s="1"/>
  <c r="BN40" i="5"/>
  <c r="AI50" i="5"/>
  <c r="CE26" i="5"/>
  <c r="CI26" i="5" s="1"/>
  <c r="CE45" i="5"/>
  <c r="CQ45" i="5" s="1"/>
  <c r="CE40" i="5"/>
  <c r="CJ40" i="5" s="1"/>
  <c r="DK41" i="5"/>
  <c r="DQ41" i="5" s="1"/>
  <c r="BJ16" i="5"/>
  <c r="DK27" i="5"/>
  <c r="DM27" i="5" s="1"/>
  <c r="DK34" i="5"/>
  <c r="DU34" i="5" s="1"/>
  <c r="CE35" i="5"/>
  <c r="CH35" i="5" s="1"/>
  <c r="DK44" i="5"/>
  <c r="DZ44" i="5" s="1"/>
  <c r="DK39" i="5"/>
  <c r="DM39" i="5" s="1"/>
  <c r="CE33" i="5"/>
  <c r="CS33" i="5" s="1"/>
  <c r="CE29" i="5"/>
  <c r="CO29" i="5" s="1"/>
  <c r="DK30" i="5"/>
  <c r="DW30" i="5" s="1"/>
  <c r="CE27" i="5"/>
  <c r="CR27" i="5" s="1"/>
  <c r="CE34" i="5"/>
  <c r="CS34" i="5" s="1"/>
  <c r="DK46" i="5"/>
  <c r="DX46" i="5" s="1"/>
  <c r="DK40" i="5"/>
  <c r="DW40" i="5" s="1"/>
  <c r="DK26" i="5"/>
  <c r="DM26" i="5" s="1"/>
  <c r="DK18" i="5"/>
  <c r="DQ18" i="5" s="1"/>
  <c r="CE46" i="5"/>
  <c r="CT46" i="5" s="1"/>
  <c r="BD39" i="5"/>
  <c r="DK35" i="5"/>
  <c r="DM35" i="5" s="1"/>
  <c r="DK28" i="5"/>
  <c r="DO28" i="5" s="1"/>
  <c r="DK42" i="5"/>
  <c r="DX42" i="5" s="1"/>
  <c r="DK51" i="5"/>
  <c r="EA51" i="5" s="1"/>
  <c r="CE32" i="5"/>
  <c r="CJ32" i="5" s="1"/>
  <c r="BH35" i="5"/>
  <c r="CE30" i="5"/>
  <c r="CT30" i="5" s="1"/>
  <c r="CE13" i="5"/>
  <c r="CP13" i="5" s="1"/>
  <c r="DK14" i="5"/>
  <c r="DM14" i="5" s="1"/>
  <c r="DK15" i="5"/>
  <c r="DQ15" i="5" s="1"/>
  <c r="BJ24" i="5"/>
  <c r="DK23" i="5"/>
  <c r="DV23" i="5" s="1"/>
  <c r="CE10" i="5"/>
  <c r="CK10" i="5" s="1"/>
  <c r="DK11" i="5"/>
  <c r="DM11" i="5" s="1"/>
  <c r="DK10" i="5"/>
  <c r="DV10" i="5" s="1"/>
  <c r="CE15" i="5"/>
  <c r="CN15" i="5" s="1"/>
  <c r="DK19" i="5"/>
  <c r="DT19" i="5" s="1"/>
  <c r="CE11" i="5"/>
  <c r="CP11" i="5" s="1"/>
  <c r="CE23" i="5"/>
  <c r="CI23" i="5" s="1"/>
  <c r="DK22" i="5"/>
  <c r="DM22" i="5" s="1"/>
  <c r="CE14" i="5"/>
  <c r="CP14" i="5" s="1"/>
  <c r="CE19" i="5"/>
  <c r="CO19" i="5" s="1"/>
  <c r="BM22" i="5"/>
  <c r="DK16" i="5"/>
  <c r="DY16" i="5" s="1"/>
  <c r="CE18" i="5"/>
  <c r="CK18" i="5" s="1"/>
  <c r="BJ14" i="5"/>
  <c r="DP42" i="5"/>
  <c r="DM42" i="5"/>
  <c r="DZ22" i="5"/>
  <c r="CS14" i="5"/>
  <c r="CJ14" i="5"/>
  <c r="CQ14" i="5"/>
  <c r="BD14" i="5"/>
  <c r="BI14" i="5"/>
  <c r="BA14" i="5"/>
  <c r="BI19" i="5"/>
  <c r="DY28" i="5"/>
  <c r="BI16" i="5"/>
  <c r="BD16" i="5"/>
  <c r="BC16" i="5"/>
  <c r="BB16" i="5"/>
  <c r="BH32" i="5"/>
  <c r="BD18" i="5"/>
  <c r="BK18" i="5"/>
  <c r="BJ18" i="5"/>
  <c r="BB18" i="5"/>
  <c r="BI18" i="5"/>
  <c r="BA18" i="5"/>
  <c r="DO46" i="5"/>
  <c r="DY46" i="5"/>
  <c r="CG26" i="5"/>
  <c r="DV11" i="5"/>
  <c r="DN11" i="5"/>
  <c r="DU11" i="5"/>
  <c r="DW11" i="5"/>
  <c r="DF91" i="5"/>
  <c r="BZ91" i="5"/>
  <c r="BX90" i="5"/>
  <c r="DD90" i="5"/>
  <c r="DI73" i="5"/>
  <c r="CC73" i="5"/>
  <c r="BY94" i="5"/>
  <c r="DE94" i="5"/>
  <c r="BR93" i="5"/>
  <c r="CX93" i="5"/>
  <c r="AI80" i="5"/>
  <c r="BQ80" i="5"/>
  <c r="CW80" i="5"/>
  <c r="DO44" i="5"/>
  <c r="DW44" i="5"/>
  <c r="BZ58" i="5"/>
  <c r="DF58" i="5"/>
  <c r="BR81" i="5"/>
  <c r="CX81" i="5"/>
  <c r="CZ94" i="5"/>
  <c r="BT94" i="5"/>
  <c r="BU78" i="5"/>
  <c r="DH94" i="5"/>
  <c r="CB94" i="5"/>
  <c r="BY80" i="5"/>
  <c r="DE80" i="5"/>
  <c r="DJ70" i="5"/>
  <c r="CD70" i="5"/>
  <c r="BU62" i="5"/>
  <c r="DJ54" i="5"/>
  <c r="CD54" i="5"/>
  <c r="BX58" i="5"/>
  <c r="DD58" i="5"/>
  <c r="DH72" i="5"/>
  <c r="CB72" i="5"/>
  <c r="CE31" i="5"/>
  <c r="BU92" i="5"/>
  <c r="CX87" i="5"/>
  <c r="BR87" i="5"/>
  <c r="BY84" i="5"/>
  <c r="DE84" i="5"/>
  <c r="BU94" i="5"/>
  <c r="CY64" i="5"/>
  <c r="BS64" i="5"/>
  <c r="BX80" i="5"/>
  <c r="DD80" i="5"/>
  <c r="CW59" i="5"/>
  <c r="AI59" i="5"/>
  <c r="BQ59" i="5"/>
  <c r="CZ54" i="5"/>
  <c r="BT54" i="5"/>
  <c r="DE58" i="5"/>
  <c r="BY58" i="5"/>
  <c r="CD57" i="5"/>
  <c r="DJ57" i="5"/>
  <c r="BU95" i="5"/>
  <c r="CC92" i="5"/>
  <c r="DI92" i="5"/>
  <c r="DE91" i="5"/>
  <c r="BY91" i="5"/>
  <c r="CY91" i="5"/>
  <c r="BS91" i="5"/>
  <c r="CB87" i="5"/>
  <c r="DH87" i="5"/>
  <c r="BU90" i="5"/>
  <c r="CA74" i="5"/>
  <c r="DG74" i="5"/>
  <c r="CA69" i="5"/>
  <c r="DG69" i="5"/>
  <c r="CA94" i="5"/>
  <c r="DG94" i="5"/>
  <c r="DH78" i="5"/>
  <c r="CB78" i="5"/>
  <c r="CW73" i="5"/>
  <c r="BQ73" i="5"/>
  <c r="AI73" i="5"/>
  <c r="BY81" i="5"/>
  <c r="DE81" i="5"/>
  <c r="BY93" i="5"/>
  <c r="DE93" i="5"/>
  <c r="CD93" i="5"/>
  <c r="DJ93" i="5"/>
  <c r="BY86" i="5"/>
  <c r="DE86" i="5"/>
  <c r="BQ79" i="5"/>
  <c r="CW79" i="5"/>
  <c r="AI79" i="5"/>
  <c r="DD67" i="5"/>
  <c r="BX67" i="5"/>
  <c r="CY79" i="5"/>
  <c r="BS79" i="5"/>
  <c r="BU66" i="5"/>
  <c r="BZ80" i="5"/>
  <c r="DF80" i="5"/>
  <c r="DJ80" i="5"/>
  <c r="CD80" i="5"/>
  <c r="CX53" i="5"/>
  <c r="AI53" i="5"/>
  <c r="BR53" i="5"/>
  <c r="DH70" i="5"/>
  <c r="CB70" i="5"/>
  <c r="CY62" i="5"/>
  <c r="BS62" i="5"/>
  <c r="CY56" i="5"/>
  <c r="BS56" i="5"/>
  <c r="DF53" i="5"/>
  <c r="BZ53" i="5"/>
  <c r="BY65" i="5"/>
  <c r="DE65" i="5"/>
  <c r="DJ65" i="5"/>
  <c r="CD65" i="5"/>
  <c r="DG58" i="5"/>
  <c r="CA58" i="5"/>
  <c r="BR55" i="5"/>
  <c r="CX55" i="5"/>
  <c r="DH54" i="5"/>
  <c r="CB54" i="5"/>
  <c r="DD49" i="5"/>
  <c r="BX49" i="5"/>
  <c r="BR58" i="5"/>
  <c r="CX58" i="5"/>
  <c r="DD57" i="5"/>
  <c r="BX57" i="5"/>
  <c r="BU48" i="5"/>
  <c r="BR72" i="5"/>
  <c r="CX72" i="5"/>
  <c r="CZ72" i="5"/>
  <c r="BT72" i="5"/>
  <c r="DK33" i="5"/>
  <c r="CE20" i="5"/>
  <c r="CE12" i="5"/>
  <c r="CE37" i="5"/>
  <c r="CE38" i="5"/>
  <c r="BZ72" i="5"/>
  <c r="DF72" i="5"/>
  <c r="BX72" i="5"/>
  <c r="DD72" i="5"/>
  <c r="CQ33" i="5"/>
  <c r="BN26" i="5"/>
  <c r="DK25" i="5"/>
  <c r="DK17" i="5"/>
  <c r="AI94" i="5"/>
  <c r="BQ94" i="5"/>
  <c r="CW94" i="5"/>
  <c r="AI93" i="5"/>
  <c r="BU86" i="5"/>
  <c r="BX74" i="5"/>
  <c r="DD74" i="5"/>
  <c r="BY79" i="5"/>
  <c r="DE79" i="5"/>
  <c r="CZ79" i="5"/>
  <c r="BT79" i="5"/>
  <c r="BT64" i="5"/>
  <c r="CZ64" i="5"/>
  <c r="BR80" i="5"/>
  <c r="CX80" i="5"/>
  <c r="CX52" i="5"/>
  <c r="BR52" i="5"/>
  <c r="CW52" i="5"/>
  <c r="AI52" i="5"/>
  <c r="BQ52" i="5"/>
  <c r="CX70" i="5"/>
  <c r="BR70" i="5"/>
  <c r="CZ62" i="5"/>
  <c r="BT62" i="5"/>
  <c r="BU65" i="5"/>
  <c r="BR57" i="5"/>
  <c r="CX57" i="5"/>
  <c r="CY54" i="5"/>
  <c r="BS54" i="5"/>
  <c r="AI48" i="5"/>
  <c r="BQ48" i="5"/>
  <c r="CW48" i="5"/>
  <c r="DO40" i="5"/>
  <c r="DU40" i="5"/>
  <c r="CY58" i="5"/>
  <c r="BS58" i="5"/>
  <c r="DF57" i="5"/>
  <c r="BZ57" i="5"/>
  <c r="CE51" i="5"/>
  <c r="DW39" i="5"/>
  <c r="EA38" i="5"/>
  <c r="DO38" i="5"/>
  <c r="DG72" i="5"/>
  <c r="CA72" i="5"/>
  <c r="BU72" i="5"/>
  <c r="DZ18" i="5"/>
  <c r="DU18" i="5"/>
  <c r="CE25" i="5"/>
  <c r="DK13" i="5"/>
  <c r="CR13" i="5"/>
  <c r="CK13" i="5"/>
  <c r="CN13" i="5"/>
  <c r="CO13" i="5"/>
  <c r="CW55" i="5"/>
  <c r="BQ55" i="5"/>
  <c r="AI55" i="5"/>
  <c r="DI72" i="5"/>
  <c r="CC72" i="5"/>
  <c r="DK29" i="5"/>
  <c r="CN27" i="5"/>
  <c r="CE16" i="5"/>
  <c r="DK43" i="5"/>
  <c r="BN18" i="5"/>
  <c r="BJ40" i="5"/>
  <c r="BB40" i="5"/>
  <c r="BC40" i="5"/>
  <c r="BK40" i="5"/>
  <c r="BM40" i="5"/>
  <c r="BD40" i="5"/>
  <c r="CE22" i="5"/>
  <c r="BY87" i="5"/>
  <c r="DE87" i="5"/>
  <c r="BR69" i="5"/>
  <c r="CX69" i="5"/>
  <c r="AI69" i="5"/>
  <c r="BZ93" i="5"/>
  <c r="DF93" i="5"/>
  <c r="DG80" i="5"/>
  <c r="CA80" i="5"/>
  <c r="CD62" i="5"/>
  <c r="DJ62" i="5"/>
  <c r="DF65" i="5"/>
  <c r="BZ65" i="5"/>
  <c r="BY57" i="5"/>
  <c r="DE57" i="5"/>
  <c r="BX48" i="5"/>
  <c r="DD48" i="5"/>
  <c r="CE41" i="5"/>
  <c r="DJ81" i="5"/>
  <c r="CD81" i="5"/>
  <c r="DD95" i="5"/>
  <c r="BX95" i="5"/>
  <c r="DJ94" i="5"/>
  <c r="CD94" i="5"/>
  <c r="BX68" i="5"/>
  <c r="DD68" i="5"/>
  <c r="BU81" i="5"/>
  <c r="DH93" i="5"/>
  <c r="CB93" i="5"/>
  <c r="DE74" i="5"/>
  <c r="BY74" i="5"/>
  <c r="CD79" i="5"/>
  <c r="DJ79" i="5"/>
  <c r="CD64" i="5"/>
  <c r="DJ64" i="5"/>
  <c r="DI59" i="5"/>
  <c r="CC59" i="5"/>
  <c r="DE50" i="5"/>
  <c r="BY50" i="5"/>
  <c r="BU50" i="5"/>
  <c r="BS55" i="5"/>
  <c r="CY55" i="5"/>
  <c r="BT57" i="5"/>
  <c r="CZ57" i="5"/>
  <c r="CE39" i="5"/>
  <c r="DG85" i="5"/>
  <c r="CA85" i="5"/>
  <c r="BZ76" i="5"/>
  <c r="DF76" i="5"/>
  <c r="BU82" i="5"/>
  <c r="DD81" i="5"/>
  <c r="BX81" i="5"/>
  <c r="BX93" i="5"/>
  <c r="DD93" i="5"/>
  <c r="CX63" i="5"/>
  <c r="BR63" i="5"/>
  <c r="AI63" i="5"/>
  <c r="DG79" i="5"/>
  <c r="CA79" i="5"/>
  <c r="DE62" i="5"/>
  <c r="BY62" i="5"/>
  <c r="CZ58" i="5"/>
  <c r="BT58" i="5"/>
  <c r="DK47" i="5"/>
  <c r="BB23" i="5"/>
  <c r="CX92" i="5"/>
  <c r="BR92" i="5"/>
  <c r="CB89" i="5"/>
  <c r="DH89" i="5"/>
  <c r="AI95" i="5"/>
  <c r="CW76" i="5"/>
  <c r="BQ76" i="5"/>
  <c r="AI76" i="5"/>
  <c r="DG91" i="5"/>
  <c r="CA91" i="5"/>
  <c r="CC77" i="5"/>
  <c r="DI77" i="5"/>
  <c r="CA90" i="5"/>
  <c r="DG90" i="5"/>
  <c r="CB90" i="5"/>
  <c r="DH90" i="5"/>
  <c r="BX84" i="5"/>
  <c r="DD84" i="5"/>
  <c r="DG71" i="5"/>
  <c r="CA71" i="5"/>
  <c r="BR94" i="5"/>
  <c r="CX94" i="5"/>
  <c r="BX94" i="5"/>
  <c r="DD94" i="5"/>
  <c r="DJ86" i="5"/>
  <c r="CD86" i="5"/>
  <c r="CW78" i="5"/>
  <c r="BQ78" i="5"/>
  <c r="AI78" i="5"/>
  <c r="DI86" i="5"/>
  <c r="CC86" i="5"/>
  <c r="CA73" i="5"/>
  <c r="DG73" i="5"/>
  <c r="CY93" i="5"/>
  <c r="BS93" i="5"/>
  <c r="BS73" i="5"/>
  <c r="CY73" i="5"/>
  <c r="BZ68" i="5"/>
  <c r="DF68" i="5"/>
  <c r="BX79" i="5"/>
  <c r="DD79" i="5"/>
  <c r="BR66" i="5"/>
  <c r="CX66" i="5"/>
  <c r="CB63" i="5"/>
  <c r="DH63" i="5"/>
  <c r="CZ67" i="5"/>
  <c r="BT67" i="5"/>
  <c r="BU79" i="5"/>
  <c r="DI66" i="5"/>
  <c r="CC66" i="5"/>
  <c r="DI64" i="5"/>
  <c r="CC64" i="5"/>
  <c r="CY80" i="5"/>
  <c r="BS80" i="5"/>
  <c r="CB59" i="5"/>
  <c r="DH59" i="5"/>
  <c r="DJ56" i="5"/>
  <c r="CD56" i="5"/>
  <c r="BU70" i="5"/>
  <c r="DG62" i="5"/>
  <c r="CA62" i="5"/>
  <c r="BZ52" i="5"/>
  <c r="DF52" i="5"/>
  <c r="CY65" i="5"/>
  <c r="BS65" i="5"/>
  <c r="DG57" i="5"/>
  <c r="CA57" i="5"/>
  <c r="CW54" i="5"/>
  <c r="AI54" i="5"/>
  <c r="BQ54" i="5"/>
  <c r="BU55" i="5"/>
  <c r="BU54" i="5"/>
  <c r="BT49" i="5"/>
  <c r="CZ49" i="5"/>
  <c r="CE44" i="5"/>
  <c r="BU58" i="5"/>
  <c r="DI48" i="5"/>
  <c r="CC48" i="5"/>
  <c r="CE47" i="5"/>
  <c r="BY72" i="5"/>
  <c r="DE72" i="5"/>
  <c r="CE28" i="5"/>
  <c r="DK31" i="5"/>
  <c r="BN30" i="5"/>
  <c r="DK24" i="5"/>
  <c r="CE17" i="5"/>
  <c r="CZ92" i="5"/>
  <c r="BT92" i="5"/>
  <c r="BZ84" i="5"/>
  <c r="DF84" i="5"/>
  <c r="BU93" i="5"/>
  <c r="CC79" i="5"/>
  <c r="DI79" i="5"/>
  <c r="CB64" i="5"/>
  <c r="DH64" i="5"/>
  <c r="CX56" i="5"/>
  <c r="BR56" i="5"/>
  <c r="BX70" i="5"/>
  <c r="DD70" i="5"/>
  <c r="DI56" i="5"/>
  <c r="CC56" i="5"/>
  <c r="DE52" i="5"/>
  <c r="BY52" i="5"/>
  <c r="DJ58" i="5"/>
  <c r="CD58" i="5"/>
  <c r="CG42" i="5"/>
  <c r="CZ91" i="5"/>
  <c r="BT91" i="5"/>
  <c r="DG77" i="5"/>
  <c r="CA77" i="5"/>
  <c r="BZ82" i="5"/>
  <c r="DF82" i="5"/>
  <c r="CZ84" i="5"/>
  <c r="BT84" i="5"/>
  <c r="CB69" i="5"/>
  <c r="DH69" i="5"/>
  <c r="DJ87" i="5"/>
  <c r="CD87" i="5"/>
  <c r="CW77" i="5"/>
  <c r="AI77" i="5"/>
  <c r="BQ77" i="5"/>
  <c r="CC90" i="5"/>
  <c r="DI90" i="5"/>
  <c r="BU84" i="5"/>
  <c r="BT78" i="5"/>
  <c r="CZ78" i="5"/>
  <c r="CA63" i="5"/>
  <c r="DG63" i="5"/>
  <c r="DF79" i="5"/>
  <c r="BZ79" i="5"/>
  <c r="BX66" i="5"/>
  <c r="DD66" i="5"/>
  <c r="CX65" i="5"/>
  <c r="BR65" i="5"/>
  <c r="BR49" i="5"/>
  <c r="CX49" i="5"/>
  <c r="CX77" i="5"/>
  <c r="BR77" i="5"/>
  <c r="AI92" i="5"/>
  <c r="CX90" i="5"/>
  <c r="BR90" i="5"/>
  <c r="CD78" i="5"/>
  <c r="DJ78" i="5"/>
  <c r="DJ73" i="5"/>
  <c r="CD73" i="5"/>
  <c r="BY67" i="5"/>
  <c r="DE67" i="5"/>
  <c r="DF95" i="5"/>
  <c r="BZ95" i="5"/>
  <c r="DH92" i="5"/>
  <c r="CB92" i="5"/>
  <c r="CW89" i="5"/>
  <c r="AI89" i="5"/>
  <c r="BQ89" i="5"/>
  <c r="BU91" i="5"/>
  <c r="CX91" i="5"/>
  <c r="BR91" i="5"/>
  <c r="CC87" i="5"/>
  <c r="DI87" i="5"/>
  <c r="DF77" i="5"/>
  <c r="BZ77" i="5"/>
  <c r="CD90" i="5"/>
  <c r="DJ90" i="5"/>
  <c r="BT71" i="5"/>
  <c r="CZ71" i="5"/>
  <c r="BS94" i="5"/>
  <c r="CY94" i="5"/>
  <c r="DG78" i="5"/>
  <c r="CA78" i="5"/>
  <c r="DI93" i="5"/>
  <c r="CC93" i="5"/>
  <c r="CA86" i="5"/>
  <c r="DG86" i="5"/>
  <c r="AI84" i="5"/>
  <c r="DJ67" i="5"/>
  <c r="CD67" i="5"/>
  <c r="CX79" i="5"/>
  <c r="BR79" i="5"/>
  <c r="CZ66" i="5"/>
  <c r="BT66" i="5"/>
  <c r="DI80" i="5"/>
  <c r="CC80" i="5"/>
  <c r="DD59" i="5"/>
  <c r="BX59" i="5"/>
  <c r="DD62" i="5"/>
  <c r="BX62" i="5"/>
  <c r="AI56" i="5"/>
  <c r="CW56" i="5"/>
  <c r="BQ56" i="5"/>
  <c r="CY70" i="5"/>
  <c r="BS70" i="5"/>
  <c r="CX62" i="5"/>
  <c r="BR62" i="5"/>
  <c r="CB56" i="5"/>
  <c r="DH56" i="5"/>
  <c r="DD50" i="5"/>
  <c r="BX50" i="5"/>
  <c r="BQ65" i="5"/>
  <c r="CW65" i="5"/>
  <c r="AI65" i="5"/>
  <c r="CC65" i="5"/>
  <c r="DI65" i="5"/>
  <c r="DD55" i="5"/>
  <c r="BX55" i="5"/>
  <c r="BX54" i="5"/>
  <c r="DD54" i="5"/>
  <c r="AI49" i="5"/>
  <c r="BQ49" i="5"/>
  <c r="CW49" i="5"/>
  <c r="BQ57" i="5"/>
  <c r="CW57" i="5"/>
  <c r="AI57" i="5"/>
  <c r="DJ49" i="5"/>
  <c r="CD49" i="5"/>
  <c r="AI58" i="5"/>
  <c r="BQ58" i="5"/>
  <c r="CW58" i="5"/>
  <c r="CY57" i="5"/>
  <c r="BS57" i="5"/>
  <c r="CZ48" i="5"/>
  <c r="BT48" i="5"/>
  <c r="AI72" i="5"/>
  <c r="BQ72" i="5"/>
  <c r="CW72" i="5"/>
  <c r="CY72" i="5"/>
  <c r="BS72" i="5"/>
  <c r="DK36" i="5"/>
  <c r="CE24" i="5"/>
  <c r="DK21" i="5"/>
  <c r="CC91" i="5"/>
  <c r="DI91" i="5"/>
  <c r="CY78" i="5"/>
  <c r="BS78" i="5"/>
  <c r="CZ81" i="5"/>
  <c r="BT81" i="5"/>
  <c r="BZ86" i="5"/>
  <c r="DF86" i="5"/>
  <c r="CB74" i="5"/>
  <c r="DH74" i="5"/>
  <c r="CX64" i="5"/>
  <c r="BR64" i="5"/>
  <c r="BU80" i="5"/>
  <c r="AI70" i="5"/>
  <c r="BQ70" i="5"/>
  <c r="CW70" i="5"/>
  <c r="CA52" i="5"/>
  <c r="DG52" i="5"/>
  <c r="CB55" i="5"/>
  <c r="DH55" i="5"/>
  <c r="BY49" i="5"/>
  <c r="DE49" i="5"/>
  <c r="CD92" i="5"/>
  <c r="DJ92" i="5"/>
  <c r="BS90" i="5"/>
  <c r="CY90" i="5"/>
  <c r="BR73" i="5"/>
  <c r="CX73" i="5"/>
  <c r="DI78" i="5"/>
  <c r="CC78" i="5"/>
  <c r="DG93" i="5"/>
  <c r="CA93" i="5"/>
  <c r="CD91" i="5"/>
  <c r="DJ91" i="5"/>
  <c r="BX86" i="5"/>
  <c r="DD86" i="5"/>
  <c r="BY70" i="5"/>
  <c r="DE70" i="5"/>
  <c r="CQ32" i="5"/>
  <c r="CG32" i="5"/>
  <c r="CO32" i="5"/>
  <c r="CN32" i="5"/>
  <c r="BK46" i="5"/>
  <c r="BA46" i="5"/>
  <c r="CW91" i="5"/>
  <c r="BQ91" i="5"/>
  <c r="AI91" i="5"/>
  <c r="DF90" i="5"/>
  <c r="BZ90" i="5"/>
  <c r="DI94" i="5"/>
  <c r="CC94" i="5"/>
  <c r="AI67" i="5"/>
  <c r="BQ67" i="5"/>
  <c r="CW67" i="5"/>
  <c r="CY66" i="5"/>
  <c r="BS66" i="5"/>
  <c r="AI86" i="5"/>
  <c r="AI68" i="5"/>
  <c r="CZ70" i="5"/>
  <c r="BT70" i="5"/>
  <c r="AI62" i="5"/>
  <c r="BQ62" i="5"/>
  <c r="CW62" i="5"/>
  <c r="DH65" i="5"/>
  <c r="CB65" i="5"/>
  <c r="BY48" i="5"/>
  <c r="DE48" i="5"/>
  <c r="BT55" i="5"/>
  <c r="CZ55" i="5"/>
  <c r="BS48" i="5"/>
  <c r="CY48" i="5"/>
  <c r="CY92" i="5"/>
  <c r="BS92" i="5"/>
  <c r="CA89" i="5"/>
  <c r="DG89" i="5"/>
  <c r="BX91" i="5"/>
  <c r="DD91" i="5"/>
  <c r="CB91" i="5"/>
  <c r="DH91" i="5"/>
  <c r="CW87" i="5"/>
  <c r="BQ87" i="5"/>
  <c r="AI87" i="5"/>
  <c r="DD82" i="5"/>
  <c r="BX82" i="5"/>
  <c r="BT90" i="5"/>
  <c r="CZ90" i="5"/>
  <c r="CD71" i="5"/>
  <c r="DJ71" i="5"/>
  <c r="BZ94" i="5"/>
  <c r="DF94" i="5"/>
  <c r="AI81" i="5"/>
  <c r="CX78" i="5"/>
  <c r="BR78" i="5"/>
  <c r="DH73" i="5"/>
  <c r="CB73" i="5"/>
  <c r="CZ93" i="5"/>
  <c r="BT93" i="5"/>
  <c r="CZ86" i="5"/>
  <c r="BT86" i="5"/>
  <c r="DH80" i="5"/>
  <c r="CB80" i="5"/>
  <c r="BU67" i="5"/>
  <c r="DH79" i="5"/>
  <c r="CB79" i="5"/>
  <c r="DJ66" i="5"/>
  <c r="CD66" i="5"/>
  <c r="CZ80" i="5"/>
  <c r="BT80" i="5"/>
  <c r="CA70" i="5"/>
  <c r="DG70" i="5"/>
  <c r="DI70" i="5"/>
  <c r="CC70" i="5"/>
  <c r="DI62" i="5"/>
  <c r="CC62" i="5"/>
  <c r="CZ56" i="5"/>
  <c r="BT56" i="5"/>
  <c r="BX65" i="5"/>
  <c r="DD65" i="5"/>
  <c r="CZ65" i="5"/>
  <c r="BT65" i="5"/>
  <c r="DF55" i="5"/>
  <c r="BZ55" i="5"/>
  <c r="CX54" i="5"/>
  <c r="BR54" i="5"/>
  <c r="BR48" i="5"/>
  <c r="CX48" i="5"/>
  <c r="BU49" i="5"/>
  <c r="DI58" i="5"/>
  <c r="CC58" i="5"/>
  <c r="BU57" i="5"/>
  <c r="CD48" i="5"/>
  <c r="DJ48" i="5"/>
  <c r="DJ72" i="5"/>
  <c r="CD72" i="5"/>
  <c r="DK20" i="5"/>
  <c r="CE36" i="5"/>
  <c r="DK12" i="5"/>
  <c r="CE43" i="5"/>
  <c r="DK37" i="5"/>
  <c r="CE21" i="5"/>
  <c r="BN14" i="5"/>
  <c r="CG13" i="5" l="1"/>
  <c r="DN38" i="5"/>
  <c r="DO11" i="5"/>
  <c r="DU14" i="5"/>
  <c r="BH44" i="5"/>
  <c r="CI42" i="5"/>
  <c r="DZ11" i="5"/>
  <c r="DV38" i="5"/>
  <c r="EA11" i="5"/>
  <c r="DY38" i="5"/>
  <c r="DP11" i="5"/>
  <c r="DN14" i="5"/>
  <c r="BE19" i="5"/>
  <c r="BI46" i="5"/>
  <c r="CP32" i="5"/>
  <c r="CH42" i="5"/>
  <c r="DM18" i="5"/>
  <c r="DP39" i="5"/>
  <c r="DT40" i="5"/>
  <c r="DM46" i="5"/>
  <c r="DW42" i="5"/>
  <c r="BK20" i="5"/>
  <c r="BE12" i="5"/>
  <c r="BB46" i="5"/>
  <c r="CJ29" i="5"/>
  <c r="DX40" i="5"/>
  <c r="BN12" i="5"/>
  <c r="BM46" i="5"/>
  <c r="CK29" i="5"/>
  <c r="BD12" i="5"/>
  <c r="BD46" i="5"/>
  <c r="DN44" i="5"/>
  <c r="BL12" i="5"/>
  <c r="DW22" i="5"/>
  <c r="CH33" i="5"/>
  <c r="DT51" i="5"/>
  <c r="DP26" i="5"/>
  <c r="CE83" i="5"/>
  <c r="CT83" i="5" s="1"/>
  <c r="CN33" i="5"/>
  <c r="DV16" i="5"/>
  <c r="BC46" i="5"/>
  <c r="CS32" i="5"/>
  <c r="CS42" i="5"/>
  <c r="CT29" i="5"/>
  <c r="DN39" i="5"/>
  <c r="DY40" i="5"/>
  <c r="CI33" i="5"/>
  <c r="CG33" i="5"/>
  <c r="CU33" i="5" s="1"/>
  <c r="BK12" i="5"/>
  <c r="DY42" i="5"/>
  <c r="CO33" i="5"/>
  <c r="BH46" i="5"/>
  <c r="BE46" i="5"/>
  <c r="CK32" i="5"/>
  <c r="CK42" i="5"/>
  <c r="CG29" i="5"/>
  <c r="DZ39" i="5"/>
  <c r="DQ40" i="5"/>
  <c r="CJ33" i="5"/>
  <c r="CP33" i="5"/>
  <c r="BN20" i="5"/>
  <c r="CT32" i="5"/>
  <c r="CT42" i="5"/>
  <c r="BK50" i="5"/>
  <c r="DO18" i="5"/>
  <c r="CP29" i="5"/>
  <c r="EA39" i="5"/>
  <c r="CR33" i="5"/>
  <c r="CK33" i="5"/>
  <c r="DO51" i="5"/>
  <c r="CJ42" i="5"/>
  <c r="DU26" i="5"/>
  <c r="BJ46" i="5"/>
  <c r="BL46" i="5"/>
  <c r="CI32" i="5"/>
  <c r="DX18" i="5"/>
  <c r="CH29" i="5"/>
  <c r="DV39" i="5"/>
  <c r="CT33" i="5"/>
  <c r="DV44" i="5"/>
  <c r="DP51" i="5"/>
  <c r="DZ28" i="5"/>
  <c r="BE32" i="5"/>
  <c r="CR23" i="5"/>
  <c r="CJ26" i="5"/>
  <c r="CS10" i="5"/>
  <c r="BA32" i="5"/>
  <c r="BC42" i="5"/>
  <c r="CN29" i="5"/>
  <c r="CQ29" i="5"/>
  <c r="DQ38" i="5"/>
  <c r="DZ38" i="5"/>
  <c r="DM51" i="5"/>
  <c r="CO26" i="5"/>
  <c r="BN32" i="5"/>
  <c r="DX23" i="5"/>
  <c r="BD42" i="5"/>
  <c r="BM32" i="5"/>
  <c r="BB32" i="5"/>
  <c r="CI29" i="5"/>
  <c r="CS29" i="5"/>
  <c r="DW38" i="5"/>
  <c r="DT38" i="5"/>
  <c r="BC32" i="5"/>
  <c r="DW26" i="5"/>
  <c r="BK42" i="5"/>
  <c r="BL42" i="5"/>
  <c r="CR29" i="5"/>
  <c r="DX38" i="5"/>
  <c r="DU38" i="5"/>
  <c r="BI53" i="5"/>
  <c r="DX51" i="5"/>
  <c r="BJ32" i="5"/>
  <c r="EA26" i="5"/>
  <c r="BA42" i="5"/>
  <c r="CH10" i="5"/>
  <c r="CK26" i="5"/>
  <c r="BB42" i="5"/>
  <c r="DP38" i="5"/>
  <c r="DY51" i="5"/>
  <c r="DX26" i="5"/>
  <c r="BN75" i="5"/>
  <c r="BC49" i="5"/>
  <c r="CR42" i="5"/>
  <c r="CT13" i="5"/>
  <c r="CJ13" i="5"/>
  <c r="BN15" i="5"/>
  <c r="DU44" i="5"/>
  <c r="CS26" i="5"/>
  <c r="CO42" i="5"/>
  <c r="CN42" i="5"/>
  <c r="CS13" i="5"/>
  <c r="BN48" i="5"/>
  <c r="CN26" i="5"/>
  <c r="DM23" i="5"/>
  <c r="CG46" i="5"/>
  <c r="CP42" i="5"/>
  <c r="DN27" i="5"/>
  <c r="CG18" i="5"/>
  <c r="CI13" i="5"/>
  <c r="DT44" i="5"/>
  <c r="CN30" i="5"/>
  <c r="CP26" i="5"/>
  <c r="DP15" i="5"/>
  <c r="BC88" i="5"/>
  <c r="BB56" i="5"/>
  <c r="CN46" i="5"/>
  <c r="CS18" i="5"/>
  <c r="CQ13" i="5"/>
  <c r="DQ44" i="5"/>
  <c r="CQ26" i="5"/>
  <c r="CE88" i="5"/>
  <c r="CT88" i="5" s="1"/>
  <c r="EA16" i="5"/>
  <c r="DN16" i="5"/>
  <c r="DM44" i="5"/>
  <c r="DZ46" i="5"/>
  <c r="BN16" i="5"/>
  <c r="BH16" i="5"/>
  <c r="DQ28" i="5"/>
  <c r="DW16" i="5"/>
  <c r="BB39" i="5"/>
  <c r="DO15" i="5"/>
  <c r="BM39" i="5"/>
  <c r="BD30" i="5"/>
  <c r="BA35" i="5"/>
  <c r="DQ46" i="5"/>
  <c r="DY23" i="5"/>
  <c r="BM16" i="5"/>
  <c r="CR34" i="5"/>
  <c r="DK76" i="5"/>
  <c r="DN76" i="5" s="1"/>
  <c r="CH13" i="5"/>
  <c r="DY44" i="5"/>
  <c r="DX44" i="5"/>
  <c r="DT46" i="5"/>
  <c r="DW23" i="5"/>
  <c r="BK16" i="5"/>
  <c r="CP34" i="5"/>
  <c r="BE39" i="5"/>
  <c r="DM16" i="5"/>
  <c r="BL85" i="5"/>
  <c r="EA44" i="5"/>
  <c r="DN46" i="5"/>
  <c r="DT23" i="5"/>
  <c r="BA16" i="5"/>
  <c r="DP28" i="5"/>
  <c r="BD23" i="5"/>
  <c r="CT18" i="5"/>
  <c r="CP35" i="5"/>
  <c r="DK85" i="5"/>
  <c r="DO85" i="5" s="1"/>
  <c r="CQ18" i="5"/>
  <c r="DZ16" i="5"/>
  <c r="DO16" i="5"/>
  <c r="BH23" i="5"/>
  <c r="BL23" i="5"/>
  <c r="CN18" i="5"/>
  <c r="DN18" i="5"/>
  <c r="EA18" i="5"/>
  <c r="BK39" i="5"/>
  <c r="BN39" i="5"/>
  <c r="BN23" i="5"/>
  <c r="DQ11" i="5"/>
  <c r="DV34" i="5"/>
  <c r="CQ35" i="5"/>
  <c r="BN24" i="5"/>
  <c r="DN51" i="5"/>
  <c r="DU51" i="5"/>
  <c r="CR26" i="5"/>
  <c r="CT26" i="5"/>
  <c r="BD32" i="5"/>
  <c r="BI32" i="5"/>
  <c r="DW15" i="5"/>
  <c r="BJ12" i="5"/>
  <c r="BH14" i="5"/>
  <c r="DO26" i="5"/>
  <c r="CR14" i="5"/>
  <c r="DN30" i="5"/>
  <c r="CE75" i="5"/>
  <c r="CH75" i="5" s="1"/>
  <c r="CO18" i="5"/>
  <c r="BI39" i="5"/>
  <c r="BH39" i="5"/>
  <c r="DW34" i="5"/>
  <c r="CS35" i="5"/>
  <c r="BK24" i="5"/>
  <c r="DQ45" i="5"/>
  <c r="DV32" i="5"/>
  <c r="DW35" i="5"/>
  <c r="DK75" i="5"/>
  <c r="DQ75" i="5" s="1"/>
  <c r="DY34" i="5"/>
  <c r="CI35" i="5"/>
  <c r="BB24" i="5"/>
  <c r="DM45" i="5"/>
  <c r="DX41" i="5"/>
  <c r="DP16" i="5"/>
  <c r="BM23" i="5"/>
  <c r="CP18" i="5"/>
  <c r="BJ39" i="5"/>
  <c r="DT16" i="5"/>
  <c r="DX16" i="5"/>
  <c r="BK23" i="5"/>
  <c r="CJ18" i="5"/>
  <c r="DY18" i="5"/>
  <c r="BC39" i="5"/>
  <c r="DX11" i="5"/>
  <c r="DT11" i="5"/>
  <c r="DO34" i="5"/>
  <c r="CT35" i="5"/>
  <c r="BC24" i="5"/>
  <c r="DQ51" i="5"/>
  <c r="CH26" i="5"/>
  <c r="EA46" i="5"/>
  <c r="BL32" i="5"/>
  <c r="DP23" i="5"/>
  <c r="DY41" i="5"/>
  <c r="BM12" i="5"/>
  <c r="BI12" i="5"/>
  <c r="BL14" i="5"/>
  <c r="DY26" i="5"/>
  <c r="BM20" i="5"/>
  <c r="DQ16" i="5"/>
  <c r="BC23" i="5"/>
  <c r="BN35" i="5"/>
  <c r="CH18" i="5"/>
  <c r="CR18" i="5"/>
  <c r="DV18" i="5"/>
  <c r="BL39" i="5"/>
  <c r="DY11" i="5"/>
  <c r="DZ34" i="5"/>
  <c r="CJ35" i="5"/>
  <c r="CI30" i="5"/>
  <c r="DV51" i="5"/>
  <c r="DZ51" i="5"/>
  <c r="DU46" i="5"/>
  <c r="DO23" i="5"/>
  <c r="DZ41" i="5"/>
  <c r="EA28" i="5"/>
  <c r="BB12" i="5"/>
  <c r="BH12" i="5"/>
  <c r="DT26" i="5"/>
  <c r="DQ26" i="5"/>
  <c r="BI23" i="5"/>
  <c r="BE23" i="5"/>
  <c r="DU16" i="5"/>
  <c r="BJ23" i="5"/>
  <c r="CE85" i="5"/>
  <c r="CG85" i="5" s="1"/>
  <c r="CI18" i="5"/>
  <c r="DP34" i="5"/>
  <c r="CN35" i="5"/>
  <c r="CO30" i="5"/>
  <c r="DW51" i="5"/>
  <c r="DY15" i="5"/>
  <c r="BC12" i="5"/>
  <c r="DV26" i="5"/>
  <c r="DZ26" i="5"/>
  <c r="CN14" i="5"/>
  <c r="CS11" i="5"/>
  <c r="BD68" i="5"/>
  <c r="BB35" i="5"/>
  <c r="BD24" i="5"/>
  <c r="DW45" i="5"/>
  <c r="EA32" i="5"/>
  <c r="EA41" i="5"/>
  <c r="DY35" i="5"/>
  <c r="CH11" i="5"/>
  <c r="BC35" i="5"/>
  <c r="DN45" i="5"/>
  <c r="DP32" i="5"/>
  <c r="DU41" i="5"/>
  <c r="DP35" i="5"/>
  <c r="BD28" i="5"/>
  <c r="CR11" i="5"/>
  <c r="DK68" i="5"/>
  <c r="DY68" i="5" s="1"/>
  <c r="CP30" i="5"/>
  <c r="BJ35" i="5"/>
  <c r="DT32" i="5"/>
  <c r="DW41" i="5"/>
  <c r="DV35" i="5"/>
  <c r="BI28" i="5"/>
  <c r="DQ19" i="5"/>
  <c r="BM93" i="5"/>
  <c r="CE53" i="5"/>
  <c r="CH53" i="5" s="1"/>
  <c r="EA34" i="5"/>
  <c r="CH30" i="5"/>
  <c r="BD35" i="5"/>
  <c r="DM32" i="5"/>
  <c r="CO45" i="5"/>
  <c r="DO35" i="5"/>
  <c r="DN26" i="5"/>
  <c r="CH14" i="5"/>
  <c r="DT22" i="5"/>
  <c r="DO19" i="5"/>
  <c r="BM83" i="5"/>
  <c r="BC83" i="5"/>
  <c r="BJ83" i="5"/>
  <c r="BB83" i="5"/>
  <c r="BH83" i="5"/>
  <c r="BI83" i="5"/>
  <c r="BD83" i="5"/>
  <c r="BN83" i="5"/>
  <c r="BK83" i="5"/>
  <c r="DK95" i="5"/>
  <c r="DM95" i="5" s="1"/>
  <c r="BK30" i="5"/>
  <c r="BI30" i="5"/>
  <c r="EA10" i="5"/>
  <c r="DK69" i="5"/>
  <c r="DP69" i="5" s="1"/>
  <c r="BK95" i="5"/>
  <c r="BL30" i="5"/>
  <c r="BE30" i="5"/>
  <c r="CK45" i="5"/>
  <c r="BB30" i="5"/>
  <c r="BM30" i="5"/>
  <c r="CS45" i="5"/>
  <c r="BI15" i="5"/>
  <c r="DK88" i="5"/>
  <c r="DT88" i="5" s="1"/>
  <c r="BC30" i="5"/>
  <c r="CN45" i="5"/>
  <c r="BB15" i="5"/>
  <c r="DQ30" i="5"/>
  <c r="CE64" i="5"/>
  <c r="CO64" i="5" s="1"/>
  <c r="CH32" i="5"/>
  <c r="DK64" i="5"/>
  <c r="DV64" i="5" s="1"/>
  <c r="CE81" i="5"/>
  <c r="CS81" i="5" s="1"/>
  <c r="DW18" i="5"/>
  <c r="DT18" i="5"/>
  <c r="DX34" i="5"/>
  <c r="DT34" i="5"/>
  <c r="BA30" i="5"/>
  <c r="CR35" i="5"/>
  <c r="CG35" i="5"/>
  <c r="CJ30" i="5"/>
  <c r="BI35" i="5"/>
  <c r="BE24" i="5"/>
  <c r="DP46" i="5"/>
  <c r="DV46" i="5"/>
  <c r="DQ23" i="5"/>
  <c r="DU23" i="5"/>
  <c r="BL16" i="5"/>
  <c r="DP45" i="5"/>
  <c r="DT15" i="5"/>
  <c r="DN32" i="5"/>
  <c r="DM41" i="5"/>
  <c r="CG45" i="5"/>
  <c r="DM28" i="5"/>
  <c r="DQ35" i="5"/>
  <c r="BE14" i="5"/>
  <c r="CI19" i="5"/>
  <c r="BD20" i="5"/>
  <c r="DW19" i="5"/>
  <c r="DO30" i="5"/>
  <c r="DK83" i="5"/>
  <c r="DX83" i="5" s="1"/>
  <c r="BL86" i="5"/>
  <c r="CR32" i="5"/>
  <c r="DK74" i="5"/>
  <c r="DP74" i="5" s="1"/>
  <c r="BM72" i="5"/>
  <c r="DP18" i="5"/>
  <c r="DQ34" i="5"/>
  <c r="DM34" i="5"/>
  <c r="BJ30" i="5"/>
  <c r="CK35" i="5"/>
  <c r="CO35" i="5"/>
  <c r="BK35" i="5"/>
  <c r="BE35" i="5"/>
  <c r="BA24" i="5"/>
  <c r="DW46" i="5"/>
  <c r="DZ23" i="5"/>
  <c r="DN23" i="5"/>
  <c r="BE16" i="5"/>
  <c r="DU45" i="5"/>
  <c r="DV15" i="5"/>
  <c r="DW32" i="5"/>
  <c r="DV41" i="5"/>
  <c r="CR45" i="5"/>
  <c r="DV28" i="5"/>
  <c r="DZ35" i="5"/>
  <c r="BC14" i="5"/>
  <c r="CJ19" i="5"/>
  <c r="BI20" i="5"/>
  <c r="DU19" i="5"/>
  <c r="DU30" i="5"/>
  <c r="CE93" i="5"/>
  <c r="CO93" i="5" s="1"/>
  <c r="DK90" i="5"/>
  <c r="DZ90" i="5" s="1"/>
  <c r="DP44" i="5"/>
  <c r="DN34" i="5"/>
  <c r="BL35" i="5"/>
  <c r="BM35" i="5"/>
  <c r="EA23" i="5"/>
  <c r="DV45" i="5"/>
  <c r="DZ32" i="5"/>
  <c r="DQ32" i="5"/>
  <c r="DN41" i="5"/>
  <c r="CT45" i="5"/>
  <c r="DX28" i="5"/>
  <c r="EA35" i="5"/>
  <c r="BK14" i="5"/>
  <c r="CN19" i="5"/>
  <c r="DV22" i="5"/>
  <c r="BC28" i="5"/>
  <c r="DZ10" i="5"/>
  <c r="DQ88" i="5"/>
  <c r="CT75" i="5"/>
  <c r="CS75" i="5"/>
  <c r="CN75" i="5"/>
  <c r="CK75" i="5"/>
  <c r="BM88" i="5"/>
  <c r="BE88" i="5"/>
  <c r="BB88" i="5"/>
  <c r="BI88" i="5"/>
  <c r="DK91" i="5"/>
  <c r="DN91" i="5" s="1"/>
  <c r="BD77" i="5"/>
  <c r="CE66" i="5"/>
  <c r="CJ66" i="5" s="1"/>
  <c r="BH90" i="5"/>
  <c r="CE84" i="5"/>
  <c r="CH84" i="5" s="1"/>
  <c r="DK86" i="5"/>
  <c r="DU86" i="5" s="1"/>
  <c r="BL64" i="5"/>
  <c r="CE71" i="5"/>
  <c r="CJ71" i="5" s="1"/>
  <c r="DK84" i="5"/>
  <c r="DU84" i="5" s="1"/>
  <c r="BE69" i="5"/>
  <c r="BL11" i="5"/>
  <c r="CR19" i="5"/>
  <c r="DY19" i="5"/>
  <c r="DW10" i="5"/>
  <c r="DK93" i="5"/>
  <c r="DZ93" i="5" s="1"/>
  <c r="CE82" i="5"/>
  <c r="CI82" i="5" s="1"/>
  <c r="CE95" i="5"/>
  <c r="CR95" i="5" s="1"/>
  <c r="BK74" i="5"/>
  <c r="BE84" i="5"/>
  <c r="BD92" i="5"/>
  <c r="CE92" i="5"/>
  <c r="CO92" i="5" s="1"/>
  <c r="CE86" i="5"/>
  <c r="CH86" i="5" s="1"/>
  <c r="CQ30" i="5"/>
  <c r="CS30" i="5"/>
  <c r="BL24" i="5"/>
  <c r="BI24" i="5"/>
  <c r="DY45" i="5"/>
  <c r="DX45" i="5"/>
  <c r="BA83" i="5"/>
  <c r="BL83" i="5"/>
  <c r="DX15" i="5"/>
  <c r="DM15" i="5"/>
  <c r="DO32" i="5"/>
  <c r="DY32" i="5"/>
  <c r="DO41" i="5"/>
  <c r="DT41" i="5"/>
  <c r="CP45" i="5"/>
  <c r="DN28" i="5"/>
  <c r="BH15" i="5"/>
  <c r="DT35" i="5"/>
  <c r="BM14" i="5"/>
  <c r="BE28" i="5"/>
  <c r="BE20" i="5"/>
  <c r="CG11" i="5"/>
  <c r="DN10" i="5"/>
  <c r="CJ34" i="5"/>
  <c r="BJ66" i="5"/>
  <c r="DK82" i="5"/>
  <c r="DQ82" i="5" s="1"/>
  <c r="CE67" i="5"/>
  <c r="CS67" i="5" s="1"/>
  <c r="CE65" i="5"/>
  <c r="CP65" i="5" s="1"/>
  <c r="DK92" i="5"/>
  <c r="DQ92" i="5" s="1"/>
  <c r="BH81" i="5"/>
  <c r="CR30" i="5"/>
  <c r="CK30" i="5"/>
  <c r="BM24" i="5"/>
  <c r="BH24" i="5"/>
  <c r="EA45" i="5"/>
  <c r="DZ45" i="5"/>
  <c r="BE83" i="5"/>
  <c r="DZ15" i="5"/>
  <c r="DU15" i="5"/>
  <c r="DX32" i="5"/>
  <c r="CT40" i="5"/>
  <c r="DP41" i="5"/>
  <c r="CI45" i="5"/>
  <c r="CH45" i="5"/>
  <c r="DT28" i="5"/>
  <c r="DW28" i="5"/>
  <c r="BD15" i="5"/>
  <c r="DU35" i="5"/>
  <c r="BB14" i="5"/>
  <c r="BL28" i="5"/>
  <c r="BJ20" i="5"/>
  <c r="CO11" i="5"/>
  <c r="DO10" i="5"/>
  <c r="CO34" i="5"/>
  <c r="BB82" i="5"/>
  <c r="BD87" i="5"/>
  <c r="DK71" i="5"/>
  <c r="DM71" i="5" s="1"/>
  <c r="DK89" i="5"/>
  <c r="DM89" i="5" s="1"/>
  <c r="CE90" i="5"/>
  <c r="CG90" i="5" s="1"/>
  <c r="CE69" i="5"/>
  <c r="CJ69" i="5" s="1"/>
  <c r="CG30" i="5"/>
  <c r="BJ34" i="5"/>
  <c r="DO45" i="5"/>
  <c r="EA15" i="5"/>
  <c r="DN15" i="5"/>
  <c r="CR40" i="5"/>
  <c r="CJ45" i="5"/>
  <c r="DU28" i="5"/>
  <c r="DX35" i="5"/>
  <c r="DN35" i="5"/>
  <c r="CQ19" i="5"/>
  <c r="BA28" i="5"/>
  <c r="BA20" i="5"/>
  <c r="CT11" i="5"/>
  <c r="DY10" i="5"/>
  <c r="EA30" i="5"/>
  <c r="BI34" i="5"/>
  <c r="CP10" i="5"/>
  <c r="CT10" i="5"/>
  <c r="DO14" i="5"/>
  <c r="DZ14" i="5"/>
  <c r="CS40" i="5"/>
  <c r="BI11" i="5"/>
  <c r="BE11" i="5"/>
  <c r="BJ19" i="5"/>
  <c r="CS23" i="5"/>
  <c r="CH46" i="5"/>
  <c r="DP27" i="5"/>
  <c r="DU27" i="5"/>
  <c r="CP27" i="5"/>
  <c r="CO46" i="5"/>
  <c r="DQ27" i="5"/>
  <c r="EA27" i="5"/>
  <c r="BE40" i="5"/>
  <c r="BL40" i="5"/>
  <c r="CK27" i="5"/>
  <c r="CH27" i="5"/>
  <c r="DY39" i="5"/>
  <c r="DX39" i="5"/>
  <c r="DM40" i="5"/>
  <c r="DP40" i="5"/>
  <c r="BK34" i="5"/>
  <c r="BH34" i="5"/>
  <c r="BC18" i="5"/>
  <c r="CI10" i="5"/>
  <c r="DP14" i="5"/>
  <c r="EA14" i="5"/>
  <c r="CK40" i="5"/>
  <c r="BJ11" i="5"/>
  <c r="BM11" i="5"/>
  <c r="BC15" i="5"/>
  <c r="BH19" i="5"/>
  <c r="BE42" i="5"/>
  <c r="BH22" i="5"/>
  <c r="CP19" i="5"/>
  <c r="DO22" i="5"/>
  <c r="DO42" i="5"/>
  <c r="CJ23" i="5"/>
  <c r="BC44" i="5"/>
  <c r="DX10" i="5"/>
  <c r="DT10" i="5"/>
  <c r="DZ30" i="5"/>
  <c r="CI46" i="5"/>
  <c r="DV27" i="5"/>
  <c r="DT27" i="5"/>
  <c r="CS27" i="5"/>
  <c r="CQ27" i="5"/>
  <c r="BL34" i="5"/>
  <c r="BE34" i="5"/>
  <c r="CN10" i="5"/>
  <c r="DX14" i="5"/>
  <c r="DT14" i="5"/>
  <c r="CP40" i="5"/>
  <c r="BK11" i="5"/>
  <c r="BB19" i="5"/>
  <c r="BB22" i="5"/>
  <c r="CG23" i="5"/>
  <c r="BD44" i="5"/>
  <c r="CR15" i="5"/>
  <c r="DX27" i="5"/>
  <c r="DQ14" i="5"/>
  <c r="CQ40" i="5"/>
  <c r="BH11" i="5"/>
  <c r="BJ22" i="5"/>
  <c r="CS15" i="5"/>
  <c r="CT27" i="5"/>
  <c r="BM34" i="5"/>
  <c r="CQ46" i="5"/>
  <c r="CJ46" i="5"/>
  <c r="BN11" i="5"/>
  <c r="DY27" i="5"/>
  <c r="DW27" i="5"/>
  <c r="BH40" i="5"/>
  <c r="CJ27" i="5"/>
  <c r="CO27" i="5"/>
  <c r="DT39" i="5"/>
  <c r="DV40" i="5"/>
  <c r="EA40" i="5"/>
  <c r="BE53" i="5"/>
  <c r="BB34" i="5"/>
  <c r="BH18" i="5"/>
  <c r="BL18" i="5"/>
  <c r="CJ10" i="5"/>
  <c r="DV14" i="5"/>
  <c r="CG40" i="5"/>
  <c r="CN40" i="5"/>
  <c r="BA11" i="5"/>
  <c r="BK15" i="5"/>
  <c r="BL15" i="5"/>
  <c r="BL19" i="5"/>
  <c r="BM42" i="5"/>
  <c r="BC22" i="5"/>
  <c r="CK19" i="5"/>
  <c r="DT42" i="5"/>
  <c r="DQ42" i="5"/>
  <c r="BE44" i="5"/>
  <c r="CQ15" i="5"/>
  <c r="DP10" i="5"/>
  <c r="DX30" i="5"/>
  <c r="CS46" i="5"/>
  <c r="DO27" i="5"/>
  <c r="CG27" i="5"/>
  <c r="BA34" i="5"/>
  <c r="CP46" i="5"/>
  <c r="CK46" i="5"/>
  <c r="BN19" i="5"/>
  <c r="DZ27" i="5"/>
  <c r="BI40" i="5"/>
  <c r="CI27" i="5"/>
  <c r="DO39" i="5"/>
  <c r="DU39" i="5"/>
  <c r="DN40" i="5"/>
  <c r="DZ40" i="5"/>
  <c r="BC34" i="5"/>
  <c r="BE18" i="5"/>
  <c r="CQ10" i="5"/>
  <c r="CR10" i="5"/>
  <c r="DW14" i="5"/>
  <c r="CH40" i="5"/>
  <c r="CO40" i="5"/>
  <c r="BB11" i="5"/>
  <c r="BA15" i="5"/>
  <c r="BE15" i="5"/>
  <c r="BM19" i="5"/>
  <c r="BH42" i="5"/>
  <c r="BD22" i="5"/>
  <c r="CG19" i="5"/>
  <c r="DU42" i="5"/>
  <c r="DZ42" i="5"/>
  <c r="BK44" i="5"/>
  <c r="CK15" i="5"/>
  <c r="DM10" i="5"/>
  <c r="DY30" i="5"/>
  <c r="CO10" i="5"/>
  <c r="BN22" i="5"/>
  <c r="CR46" i="5"/>
  <c r="BA40" i="5"/>
  <c r="DQ39" i="5"/>
  <c r="BN34" i="5"/>
  <c r="CG10" i="5"/>
  <c r="DY14" i="5"/>
  <c r="CI40" i="5"/>
  <c r="BC11" i="5"/>
  <c r="BJ15" i="5"/>
  <c r="BN42" i="5"/>
  <c r="BI42" i="5"/>
  <c r="CS19" i="5"/>
  <c r="CT19" i="5"/>
  <c r="DY22" i="5"/>
  <c r="EA42" i="5"/>
  <c r="DV42" i="5"/>
  <c r="BB44" i="5"/>
  <c r="CT15" i="5"/>
  <c r="DU10" i="5"/>
  <c r="DV30" i="5"/>
  <c r="DM30" i="5"/>
  <c r="BI22" i="5"/>
  <c r="BK22" i="5"/>
  <c r="CI14" i="5"/>
  <c r="CK14" i="5"/>
  <c r="BK28" i="5"/>
  <c r="CQ11" i="5"/>
  <c r="CN11" i="5"/>
  <c r="DM19" i="5"/>
  <c r="CJ15" i="5"/>
  <c r="CN34" i="5"/>
  <c r="BA22" i="5"/>
  <c r="BL22" i="5"/>
  <c r="CG14" i="5"/>
  <c r="CT14" i="5"/>
  <c r="BM28" i="5"/>
  <c r="CI11" i="5"/>
  <c r="DZ19" i="5"/>
  <c r="DN19" i="5"/>
  <c r="CP15" i="5"/>
  <c r="CG34" i="5"/>
  <c r="CK34" i="5"/>
  <c r="DK50" i="5"/>
  <c r="DQ50" i="5" s="1"/>
  <c r="BE22" i="5"/>
  <c r="CO14" i="5"/>
  <c r="BN28" i="5"/>
  <c r="BJ28" i="5"/>
  <c r="CJ11" i="5"/>
  <c r="EA19" i="5"/>
  <c r="DV19" i="5"/>
  <c r="CG15" i="5"/>
  <c r="CH34" i="5"/>
  <c r="CT34" i="5"/>
  <c r="CH19" i="5"/>
  <c r="DN22" i="5"/>
  <c r="DN42" i="5"/>
  <c r="BB28" i="5"/>
  <c r="BI44" i="5"/>
  <c r="CK11" i="5"/>
  <c r="DP19" i="5"/>
  <c r="CI15" i="5"/>
  <c r="CO15" i="5"/>
  <c r="DQ10" i="5"/>
  <c r="CQ34" i="5"/>
  <c r="DT30" i="5"/>
  <c r="DP30" i="5"/>
  <c r="DK52" i="5"/>
  <c r="DT52" i="5" s="1"/>
  <c r="BA19" i="5"/>
  <c r="CK23" i="5"/>
  <c r="BJ44" i="5"/>
  <c r="CE59" i="5"/>
  <c r="CH59" i="5" s="1"/>
  <c r="BD19" i="5"/>
  <c r="DU22" i="5"/>
  <c r="CO23" i="5"/>
  <c r="BL44" i="5"/>
  <c r="CP23" i="5"/>
  <c r="CT23" i="5"/>
  <c r="BM44" i="5"/>
  <c r="CE50" i="5"/>
  <c r="CH50" i="5" s="1"/>
  <c r="BK19" i="5"/>
  <c r="EA22" i="5"/>
  <c r="CQ23" i="5"/>
  <c r="CN23" i="5"/>
  <c r="BL20" i="5"/>
  <c r="BN44" i="5"/>
  <c r="DX19" i="5"/>
  <c r="CH15" i="5"/>
  <c r="CI34" i="5"/>
  <c r="DP22" i="5"/>
  <c r="BH20" i="5"/>
  <c r="DQ22" i="5"/>
  <c r="CH23" i="5"/>
  <c r="BC20" i="5"/>
  <c r="DX22" i="5"/>
  <c r="CT93" i="5"/>
  <c r="CJ92" i="5"/>
  <c r="BH84" i="5"/>
  <c r="DU82" i="5"/>
  <c r="DN68" i="5"/>
  <c r="DM68" i="5"/>
  <c r="BA85" i="5"/>
  <c r="BH85" i="5"/>
  <c r="EA50" i="5"/>
  <c r="DZ50" i="5"/>
  <c r="DY85" i="5"/>
  <c r="DQ85" i="5"/>
  <c r="DZ85" i="5"/>
  <c r="DN85" i="5"/>
  <c r="DV85" i="5"/>
  <c r="DU85" i="5"/>
  <c r="CP64" i="5"/>
  <c r="CH64" i="5"/>
  <c r="CQ84" i="5"/>
  <c r="CT84" i="5"/>
  <c r="CO66" i="5"/>
  <c r="DM84" i="5"/>
  <c r="DO74" i="5"/>
  <c r="DX74" i="5"/>
  <c r="BA81" i="5"/>
  <c r="CT95" i="5"/>
  <c r="CT41" i="5"/>
  <c r="CS41" i="5"/>
  <c r="CJ41" i="5"/>
  <c r="CR41" i="5"/>
  <c r="CI41" i="5"/>
  <c r="CQ41" i="5"/>
  <c r="CH41" i="5"/>
  <c r="CP41" i="5"/>
  <c r="CG41" i="5"/>
  <c r="CK41" i="5"/>
  <c r="CO41" i="5"/>
  <c r="CN41" i="5"/>
  <c r="BL31" i="5"/>
  <c r="BC31" i="5"/>
  <c r="BK31" i="5"/>
  <c r="BB31" i="5"/>
  <c r="BJ31" i="5"/>
  <c r="BA31" i="5"/>
  <c r="BM31" i="5"/>
  <c r="BD31" i="5"/>
  <c r="BI31" i="5"/>
  <c r="BN31" i="5"/>
  <c r="BH31" i="5"/>
  <c r="BE31" i="5"/>
  <c r="DK55" i="5"/>
  <c r="CT51" i="5"/>
  <c r="CS51" i="5"/>
  <c r="CK51" i="5"/>
  <c r="CR51" i="5"/>
  <c r="CJ51" i="5"/>
  <c r="CO51" i="5"/>
  <c r="CN51" i="5"/>
  <c r="CI51" i="5"/>
  <c r="CH51" i="5"/>
  <c r="CG51" i="5"/>
  <c r="CQ51" i="5"/>
  <c r="CP51" i="5"/>
  <c r="DU52" i="5"/>
  <c r="DK94" i="5"/>
  <c r="BM26" i="5"/>
  <c r="BE26" i="5"/>
  <c r="BJ26" i="5"/>
  <c r="BA26" i="5"/>
  <c r="BI26" i="5"/>
  <c r="BH26" i="5"/>
  <c r="BK26" i="5"/>
  <c r="BB26" i="5"/>
  <c r="BD26" i="5"/>
  <c r="BC26" i="5"/>
  <c r="BL26" i="5"/>
  <c r="BK33" i="5"/>
  <c r="BC33" i="5"/>
  <c r="BM33" i="5"/>
  <c r="BD33" i="5"/>
  <c r="BL33" i="5"/>
  <c r="BB33" i="5"/>
  <c r="BJ33" i="5"/>
  <c r="BA33" i="5"/>
  <c r="BE33" i="5"/>
  <c r="BI33" i="5"/>
  <c r="BH33" i="5"/>
  <c r="BN33" i="5"/>
  <c r="BL45" i="5"/>
  <c r="BD45" i="5"/>
  <c r="BE45" i="5"/>
  <c r="BM45" i="5"/>
  <c r="BC45" i="5"/>
  <c r="BK45" i="5"/>
  <c r="BB45" i="5"/>
  <c r="BJ45" i="5"/>
  <c r="BA45" i="5"/>
  <c r="BI45" i="5"/>
  <c r="BH45" i="5"/>
  <c r="BN45" i="5"/>
  <c r="DK81" i="5"/>
  <c r="CE80" i="5"/>
  <c r="DX43" i="5"/>
  <c r="DP43" i="5"/>
  <c r="DT43" i="5"/>
  <c r="EA43" i="5"/>
  <c r="DZ43" i="5"/>
  <c r="DQ43" i="5"/>
  <c r="DU43" i="5"/>
  <c r="DO43" i="5"/>
  <c r="DN43" i="5"/>
  <c r="DM43" i="5"/>
  <c r="DV43" i="5"/>
  <c r="DY43" i="5"/>
  <c r="DW43" i="5"/>
  <c r="EA29" i="5"/>
  <c r="DU29" i="5"/>
  <c r="DT29" i="5"/>
  <c r="DV29" i="5"/>
  <c r="DM29" i="5"/>
  <c r="DP29" i="5"/>
  <c r="DO29" i="5"/>
  <c r="DN29" i="5"/>
  <c r="DZ29" i="5"/>
  <c r="DY29" i="5"/>
  <c r="DX29" i="5"/>
  <c r="DW29" i="5"/>
  <c r="DQ29" i="5"/>
  <c r="CE94" i="5"/>
  <c r="BB93" i="5"/>
  <c r="BH47" i="5"/>
  <c r="BJ47" i="5"/>
  <c r="BI47" i="5"/>
  <c r="BE47" i="5"/>
  <c r="BA47" i="5"/>
  <c r="BM47" i="5"/>
  <c r="BL47" i="5"/>
  <c r="BK47" i="5"/>
  <c r="BD47" i="5"/>
  <c r="BC47" i="5"/>
  <c r="BB47" i="5"/>
  <c r="BN47" i="5"/>
  <c r="BD53" i="5"/>
  <c r="DK79" i="5"/>
  <c r="CR9" i="5"/>
  <c r="CJ9" i="5"/>
  <c r="CQ9" i="5"/>
  <c r="CI9" i="5"/>
  <c r="CP9" i="5"/>
  <c r="CH9" i="5"/>
  <c r="CS9" i="5"/>
  <c r="CK9" i="5"/>
  <c r="CT9" i="5"/>
  <c r="CO9" i="5"/>
  <c r="CN9" i="5"/>
  <c r="DX91" i="5"/>
  <c r="BA49" i="5"/>
  <c r="BH49" i="5"/>
  <c r="DZ9" i="5"/>
  <c r="DY9" i="5"/>
  <c r="DQ9" i="5"/>
  <c r="DX9" i="5"/>
  <c r="DP9" i="5"/>
  <c r="EA9" i="5"/>
  <c r="DN9" i="5"/>
  <c r="DM9" i="5"/>
  <c r="DO9" i="5"/>
  <c r="DW9" i="5"/>
  <c r="DV9" i="5"/>
  <c r="DU9" i="5"/>
  <c r="DT9" i="5"/>
  <c r="CR88" i="5"/>
  <c r="CG88" i="5"/>
  <c r="CP88" i="5"/>
  <c r="CO88" i="5"/>
  <c r="CN88" i="5"/>
  <c r="DK57" i="5"/>
  <c r="BN54" i="5"/>
  <c r="DP64" i="5"/>
  <c r="CE77" i="5"/>
  <c r="DZ13" i="5"/>
  <c r="DY13" i="5"/>
  <c r="DQ13" i="5"/>
  <c r="DX13" i="5"/>
  <c r="DP13" i="5"/>
  <c r="EA13" i="5"/>
  <c r="DT13" i="5"/>
  <c r="DO13" i="5"/>
  <c r="DN13" i="5"/>
  <c r="DU13" i="5"/>
  <c r="DM13" i="5"/>
  <c r="DW13" i="5"/>
  <c r="DV13" i="5"/>
  <c r="BL10" i="5"/>
  <c r="BD10" i="5"/>
  <c r="BK10" i="5"/>
  <c r="BC10" i="5"/>
  <c r="BJ10" i="5"/>
  <c r="BB10" i="5"/>
  <c r="BM10" i="5"/>
  <c r="BE10" i="5"/>
  <c r="BA10" i="5"/>
  <c r="BH10" i="5"/>
  <c r="BI10" i="5"/>
  <c r="CE57" i="5"/>
  <c r="CE79" i="5"/>
  <c r="CQ36" i="5"/>
  <c r="CI36" i="5"/>
  <c r="CP36" i="5"/>
  <c r="CH36" i="5"/>
  <c r="CO36" i="5"/>
  <c r="CG36" i="5"/>
  <c r="CN36" i="5"/>
  <c r="CK36" i="5"/>
  <c r="CJ36" i="5"/>
  <c r="CR36" i="5"/>
  <c r="CT36" i="5"/>
  <c r="CS36" i="5"/>
  <c r="DK62" i="5"/>
  <c r="BN67" i="5"/>
  <c r="DZ21" i="5"/>
  <c r="DY21" i="5"/>
  <c r="DQ21" i="5"/>
  <c r="DX21" i="5"/>
  <c r="DP21" i="5"/>
  <c r="EA21" i="5"/>
  <c r="DN21" i="5"/>
  <c r="DM21" i="5"/>
  <c r="DO21" i="5"/>
  <c r="DW21" i="5"/>
  <c r="DT21" i="5"/>
  <c r="DV21" i="5"/>
  <c r="DU21" i="5"/>
  <c r="DK77" i="5"/>
  <c r="BM27" i="5"/>
  <c r="BD27" i="5"/>
  <c r="BL27" i="5"/>
  <c r="BC27" i="5"/>
  <c r="BK27" i="5"/>
  <c r="BB27" i="5"/>
  <c r="BE27" i="5"/>
  <c r="BJ27" i="5"/>
  <c r="BI27" i="5"/>
  <c r="BH27" i="5"/>
  <c r="BA27" i="5"/>
  <c r="BN27" i="5"/>
  <c r="CQ47" i="5"/>
  <c r="CI47" i="5"/>
  <c r="CP47" i="5"/>
  <c r="CH47" i="5"/>
  <c r="CO47" i="5"/>
  <c r="CG47" i="5"/>
  <c r="CN47" i="5"/>
  <c r="CK47" i="5"/>
  <c r="CJ47" i="5"/>
  <c r="CR47" i="5"/>
  <c r="CT47" i="5"/>
  <c r="CS47" i="5"/>
  <c r="BN78" i="5"/>
  <c r="DK63" i="5"/>
  <c r="CP39" i="5"/>
  <c r="CH39" i="5"/>
  <c r="CS39" i="5"/>
  <c r="CJ39" i="5"/>
  <c r="CR39" i="5"/>
  <c r="CI39" i="5"/>
  <c r="CQ39" i="5"/>
  <c r="CG39" i="5"/>
  <c r="CO39" i="5"/>
  <c r="CT39" i="5"/>
  <c r="CN39" i="5"/>
  <c r="CK39" i="5"/>
  <c r="EZ38" i="5"/>
  <c r="EA25" i="5"/>
  <c r="DV25" i="5"/>
  <c r="DM25" i="5"/>
  <c r="DU25" i="5"/>
  <c r="DT25" i="5"/>
  <c r="DW25" i="5"/>
  <c r="DN25" i="5"/>
  <c r="DP25" i="5"/>
  <c r="DO25" i="5"/>
  <c r="DZ25" i="5"/>
  <c r="DQ25" i="5"/>
  <c r="DY25" i="5"/>
  <c r="DX25" i="5"/>
  <c r="CP12" i="5"/>
  <c r="CH12" i="5"/>
  <c r="CO12" i="5"/>
  <c r="CG12" i="5"/>
  <c r="CN12" i="5"/>
  <c r="CQ12" i="5"/>
  <c r="CI12" i="5"/>
  <c r="CR12" i="5"/>
  <c r="CS12" i="5"/>
  <c r="CT12" i="5"/>
  <c r="CK12" i="5"/>
  <c r="CJ12" i="5"/>
  <c r="CE73" i="5"/>
  <c r="DK59" i="5"/>
  <c r="BE56" i="5"/>
  <c r="DZ89" i="5"/>
  <c r="DP89" i="5"/>
  <c r="DT89" i="5"/>
  <c r="EA37" i="5"/>
  <c r="DZ37" i="5"/>
  <c r="DY37" i="5"/>
  <c r="DQ37" i="5"/>
  <c r="DX37" i="5"/>
  <c r="DP37" i="5"/>
  <c r="DN37" i="5"/>
  <c r="DM37" i="5"/>
  <c r="DO37" i="5"/>
  <c r="DW37" i="5"/>
  <c r="DV37" i="5"/>
  <c r="DU37" i="5"/>
  <c r="DT37" i="5"/>
  <c r="DK67" i="5"/>
  <c r="BJ95" i="5"/>
  <c r="BB95" i="5"/>
  <c r="CI67" i="5"/>
  <c r="CP67" i="5"/>
  <c r="CH67" i="5"/>
  <c r="CG67" i="5"/>
  <c r="DY36" i="5"/>
  <c r="DQ36" i="5"/>
  <c r="DX36" i="5"/>
  <c r="DP36" i="5"/>
  <c r="DW36" i="5"/>
  <c r="DO36" i="5"/>
  <c r="DV36" i="5"/>
  <c r="DN36" i="5"/>
  <c r="DM36" i="5"/>
  <c r="DT36" i="5"/>
  <c r="DU36" i="5"/>
  <c r="EA36" i="5"/>
  <c r="DZ36" i="5"/>
  <c r="DO69" i="5"/>
  <c r="DW69" i="5"/>
  <c r="DM69" i="5"/>
  <c r="CK59" i="5"/>
  <c r="DY47" i="5"/>
  <c r="DQ47" i="5"/>
  <c r="DX47" i="5"/>
  <c r="DP47" i="5"/>
  <c r="DW47" i="5"/>
  <c r="DO47" i="5"/>
  <c r="DV47" i="5"/>
  <c r="DN47" i="5"/>
  <c r="DM47" i="5"/>
  <c r="EA47" i="5"/>
  <c r="DZ47" i="5"/>
  <c r="DU47" i="5"/>
  <c r="DT47" i="5"/>
  <c r="DX20" i="5"/>
  <c r="DP20" i="5"/>
  <c r="DW20" i="5"/>
  <c r="DO20" i="5"/>
  <c r="DV20" i="5"/>
  <c r="DN20" i="5"/>
  <c r="DY20" i="5"/>
  <c r="DQ20" i="5"/>
  <c r="DM20" i="5"/>
  <c r="DT20" i="5"/>
  <c r="EA20" i="5"/>
  <c r="DZ20" i="5"/>
  <c r="DU20" i="5"/>
  <c r="CE62" i="5"/>
  <c r="CP24" i="5"/>
  <c r="CH24" i="5"/>
  <c r="CO24" i="5"/>
  <c r="CG24" i="5"/>
  <c r="CN24" i="5"/>
  <c r="CQ24" i="5"/>
  <c r="CI24" i="5"/>
  <c r="CK24" i="5"/>
  <c r="CJ24" i="5"/>
  <c r="CT24" i="5"/>
  <c r="CS24" i="5"/>
  <c r="CR24" i="5"/>
  <c r="DK49" i="5"/>
  <c r="CE89" i="5"/>
  <c r="DW31" i="5"/>
  <c r="DO31" i="5"/>
  <c r="EA31" i="5"/>
  <c r="DZ31" i="5"/>
  <c r="DQ31" i="5"/>
  <c r="DT31" i="5"/>
  <c r="DY31" i="5"/>
  <c r="DX31" i="5"/>
  <c r="DV31" i="5"/>
  <c r="DU31" i="5"/>
  <c r="DP31" i="5"/>
  <c r="DN31" i="5"/>
  <c r="DM31" i="5"/>
  <c r="CR44" i="5"/>
  <c r="CJ44" i="5"/>
  <c r="CT44" i="5"/>
  <c r="CK44" i="5"/>
  <c r="CS44" i="5"/>
  <c r="CI44" i="5"/>
  <c r="CQ44" i="5"/>
  <c r="CP44" i="5"/>
  <c r="CO44" i="5"/>
  <c r="CG44" i="5"/>
  <c r="CN44" i="5"/>
  <c r="CH44" i="5"/>
  <c r="BA68" i="5"/>
  <c r="BL68" i="5"/>
  <c r="DK66" i="5"/>
  <c r="CE78" i="5"/>
  <c r="CE76" i="5"/>
  <c r="BM51" i="5"/>
  <c r="BE51" i="5"/>
  <c r="BL51" i="5"/>
  <c r="BD51" i="5"/>
  <c r="BK51" i="5"/>
  <c r="BC51" i="5"/>
  <c r="BJ51" i="5"/>
  <c r="BB51" i="5"/>
  <c r="BA51" i="5"/>
  <c r="BI51" i="5"/>
  <c r="BH51" i="5"/>
  <c r="CE52" i="5"/>
  <c r="BK29" i="5"/>
  <c r="BC29" i="5"/>
  <c r="BE29" i="5"/>
  <c r="BM29" i="5"/>
  <c r="BD29" i="5"/>
  <c r="BL29" i="5"/>
  <c r="BB29" i="5"/>
  <c r="BJ29" i="5"/>
  <c r="BI29" i="5"/>
  <c r="BH29" i="5"/>
  <c r="BA29" i="5"/>
  <c r="BN29" i="5"/>
  <c r="DK53" i="5"/>
  <c r="DK73" i="5"/>
  <c r="CO31" i="5"/>
  <c r="CG31" i="5"/>
  <c r="CP31" i="5"/>
  <c r="CN31" i="5"/>
  <c r="CQ31" i="5"/>
  <c r="CH31" i="5"/>
  <c r="CR31" i="5"/>
  <c r="CT31" i="5"/>
  <c r="CS31" i="5"/>
  <c r="CK31" i="5"/>
  <c r="CJ31" i="5"/>
  <c r="CI31" i="5"/>
  <c r="BC72" i="5"/>
  <c r="BB72" i="5"/>
  <c r="CG65" i="5"/>
  <c r="DK58" i="5"/>
  <c r="BM77" i="5"/>
  <c r="BE77" i="5"/>
  <c r="BJ77" i="5"/>
  <c r="BI77" i="5"/>
  <c r="BH77" i="5"/>
  <c r="BC77" i="5"/>
  <c r="CP43" i="5"/>
  <c r="CH43" i="5"/>
  <c r="CQ43" i="5"/>
  <c r="CG43" i="5"/>
  <c r="CO43" i="5"/>
  <c r="CN43" i="5"/>
  <c r="CK43" i="5"/>
  <c r="CJ43" i="5"/>
  <c r="CI43" i="5"/>
  <c r="CR43" i="5"/>
  <c r="CS43" i="5"/>
  <c r="CT43" i="5"/>
  <c r="DK54" i="5"/>
  <c r="CS83" i="5"/>
  <c r="CK83" i="5"/>
  <c r="CR83" i="5"/>
  <c r="CJ83" i="5"/>
  <c r="CO83" i="5"/>
  <c r="CN83" i="5"/>
  <c r="CI83" i="5"/>
  <c r="CQ83" i="5"/>
  <c r="CH83" i="5"/>
  <c r="CG83" i="5"/>
  <c r="CP16" i="5"/>
  <c r="CH16" i="5"/>
  <c r="CO16" i="5"/>
  <c r="CG16" i="5"/>
  <c r="CN16" i="5"/>
  <c r="CQ16" i="5"/>
  <c r="CI16" i="5"/>
  <c r="CR16" i="5"/>
  <c r="CS16" i="5"/>
  <c r="CK16" i="5"/>
  <c r="CT16" i="5"/>
  <c r="CJ16" i="5"/>
  <c r="DK87" i="5"/>
  <c r="CE63" i="5"/>
  <c r="CS25" i="5"/>
  <c r="CR25" i="5"/>
  <c r="CJ25" i="5"/>
  <c r="CQ25" i="5"/>
  <c r="CI25" i="5"/>
  <c r="CP25" i="5"/>
  <c r="CH25" i="5"/>
  <c r="CT25" i="5"/>
  <c r="CK25" i="5"/>
  <c r="CG25" i="5"/>
  <c r="CN25" i="5"/>
  <c r="CO25" i="5"/>
  <c r="CS37" i="5"/>
  <c r="CK37" i="5"/>
  <c r="CR37" i="5"/>
  <c r="CJ37" i="5"/>
  <c r="CQ37" i="5"/>
  <c r="CI37" i="5"/>
  <c r="CP37" i="5"/>
  <c r="CH37" i="5"/>
  <c r="CG37" i="5"/>
  <c r="CT37" i="5"/>
  <c r="CO37" i="5"/>
  <c r="CN37" i="5"/>
  <c r="CR21" i="5"/>
  <c r="CJ21" i="5"/>
  <c r="CQ21" i="5"/>
  <c r="CI21" i="5"/>
  <c r="CP21" i="5"/>
  <c r="CH21" i="5"/>
  <c r="CS21" i="5"/>
  <c r="CK21" i="5"/>
  <c r="CG21" i="5"/>
  <c r="CO21" i="5"/>
  <c r="CT21" i="5"/>
  <c r="CN21" i="5"/>
  <c r="DK70" i="5"/>
  <c r="DK72" i="5"/>
  <c r="CE49" i="5"/>
  <c r="CE56" i="5"/>
  <c r="BI36" i="5"/>
  <c r="BA36" i="5"/>
  <c r="BH36" i="5"/>
  <c r="BC36" i="5"/>
  <c r="BB36" i="5"/>
  <c r="BM36" i="5"/>
  <c r="BD36" i="5"/>
  <c r="BL36" i="5"/>
  <c r="BK36" i="5"/>
  <c r="BJ36" i="5"/>
  <c r="BE36" i="5"/>
  <c r="BN36" i="5"/>
  <c r="DK78" i="5"/>
  <c r="BJ25" i="5"/>
  <c r="BB25" i="5"/>
  <c r="BI25" i="5"/>
  <c r="BA25" i="5"/>
  <c r="BH25" i="5"/>
  <c r="BK25" i="5"/>
  <c r="BC25" i="5"/>
  <c r="BD25" i="5"/>
  <c r="BM25" i="5"/>
  <c r="BE25" i="5"/>
  <c r="BL25" i="5"/>
  <c r="BN25" i="5"/>
  <c r="CE55" i="5"/>
  <c r="DK48" i="5"/>
  <c r="BJ21" i="5"/>
  <c r="BB21" i="5"/>
  <c r="BI21" i="5"/>
  <c r="BA21" i="5"/>
  <c r="BH21" i="5"/>
  <c r="BK21" i="5"/>
  <c r="BC21" i="5"/>
  <c r="BE21" i="5"/>
  <c r="BD21" i="5"/>
  <c r="BN21" i="5"/>
  <c r="BM21" i="5"/>
  <c r="BL21" i="5"/>
  <c r="BJ9" i="5"/>
  <c r="BB9" i="5"/>
  <c r="BI9" i="5"/>
  <c r="BH9" i="5"/>
  <c r="BK9" i="5"/>
  <c r="BC9" i="5"/>
  <c r="BM9" i="5"/>
  <c r="BD9" i="5"/>
  <c r="BE9" i="5"/>
  <c r="BL9" i="5"/>
  <c r="BN9" i="5"/>
  <c r="CP20" i="5"/>
  <c r="CH20" i="5"/>
  <c r="CO20" i="5"/>
  <c r="CG20" i="5"/>
  <c r="CN20" i="5"/>
  <c r="CQ20" i="5"/>
  <c r="CI20" i="5"/>
  <c r="CK20" i="5"/>
  <c r="CR20" i="5"/>
  <c r="CJ20" i="5"/>
  <c r="CT20" i="5"/>
  <c r="CS20" i="5"/>
  <c r="BN73" i="5"/>
  <c r="DK80" i="5"/>
  <c r="CU35" i="5"/>
  <c r="BJ17" i="5"/>
  <c r="BB17" i="5"/>
  <c r="BI17" i="5"/>
  <c r="BA17" i="5"/>
  <c r="BH17" i="5"/>
  <c r="BK17" i="5"/>
  <c r="BC17" i="5"/>
  <c r="BE17" i="5"/>
  <c r="BD17" i="5"/>
  <c r="BM17" i="5"/>
  <c r="BL17" i="5"/>
  <c r="BN17" i="5"/>
  <c r="BH43" i="5"/>
  <c r="BM43" i="5"/>
  <c r="BD43" i="5"/>
  <c r="BL43" i="5"/>
  <c r="BC43" i="5"/>
  <c r="BK43" i="5"/>
  <c r="BB43" i="5"/>
  <c r="BJ43" i="5"/>
  <c r="BA43" i="5"/>
  <c r="BE43" i="5"/>
  <c r="BI43" i="5"/>
  <c r="BN43" i="5"/>
  <c r="BJ13" i="5"/>
  <c r="BB13" i="5"/>
  <c r="BI13" i="5"/>
  <c r="BA13" i="5"/>
  <c r="BH13" i="5"/>
  <c r="BK13" i="5"/>
  <c r="BC13" i="5"/>
  <c r="BE13" i="5"/>
  <c r="BL13" i="5"/>
  <c r="BN13" i="5"/>
  <c r="BM13" i="5"/>
  <c r="BD13" i="5"/>
  <c r="CE87" i="5"/>
  <c r="CE58" i="5"/>
  <c r="DX24" i="5"/>
  <c r="DP24" i="5"/>
  <c r="DW24" i="5"/>
  <c r="DO24" i="5"/>
  <c r="DV24" i="5"/>
  <c r="DN24" i="5"/>
  <c r="DY24" i="5"/>
  <c r="DQ24" i="5"/>
  <c r="DM24" i="5"/>
  <c r="EA24" i="5"/>
  <c r="DU24" i="5"/>
  <c r="DT24" i="5"/>
  <c r="DZ24" i="5"/>
  <c r="BN79" i="5"/>
  <c r="DX12" i="5"/>
  <c r="DP12" i="5"/>
  <c r="DW12" i="5"/>
  <c r="DO12" i="5"/>
  <c r="DV12" i="5"/>
  <c r="DN12" i="5"/>
  <c r="DY12" i="5"/>
  <c r="DQ12" i="5"/>
  <c r="DU12" i="5"/>
  <c r="DT12" i="5"/>
  <c r="DZ12" i="5"/>
  <c r="EA12" i="5"/>
  <c r="DM12" i="5"/>
  <c r="BK37" i="5"/>
  <c r="BC37" i="5"/>
  <c r="BJ37" i="5"/>
  <c r="BB37" i="5"/>
  <c r="BI37" i="5"/>
  <c r="BA37" i="5"/>
  <c r="BH37" i="5"/>
  <c r="BD37" i="5"/>
  <c r="BE37" i="5"/>
  <c r="BM37" i="5"/>
  <c r="BL37" i="5"/>
  <c r="BN37" i="5"/>
  <c r="CE74" i="5"/>
  <c r="DZ17" i="5"/>
  <c r="DY17" i="5"/>
  <c r="DQ17" i="5"/>
  <c r="DX17" i="5"/>
  <c r="DP17" i="5"/>
  <c r="EA17" i="5"/>
  <c r="DO17" i="5"/>
  <c r="DN17" i="5"/>
  <c r="DM17" i="5"/>
  <c r="DT17" i="5"/>
  <c r="DW17" i="5"/>
  <c r="DV17" i="5"/>
  <c r="DU17" i="5"/>
  <c r="CT53" i="5"/>
  <c r="CE91" i="5"/>
  <c r="CE70" i="5"/>
  <c r="CE72" i="5"/>
  <c r="DK65" i="5"/>
  <c r="DK56" i="5"/>
  <c r="CR17" i="5"/>
  <c r="CJ17" i="5"/>
  <c r="CQ17" i="5"/>
  <c r="CI17" i="5"/>
  <c r="CP17" i="5"/>
  <c r="CH17" i="5"/>
  <c r="CS17" i="5"/>
  <c r="CK17" i="5"/>
  <c r="CG17" i="5"/>
  <c r="CN17" i="5"/>
  <c r="CT17" i="5"/>
  <c r="CO17" i="5"/>
  <c r="CQ28" i="5"/>
  <c r="CI28" i="5"/>
  <c r="CT28" i="5"/>
  <c r="CK28" i="5"/>
  <c r="CS28" i="5"/>
  <c r="CJ28" i="5"/>
  <c r="CR28" i="5"/>
  <c r="CP28" i="5"/>
  <c r="CO28" i="5"/>
  <c r="CN28" i="5"/>
  <c r="CH28" i="5"/>
  <c r="CG28" i="5"/>
  <c r="CE54" i="5"/>
  <c r="BN56" i="5"/>
  <c r="BD75" i="5"/>
  <c r="BM75" i="5"/>
  <c r="CE68" i="5"/>
  <c r="CT22" i="5"/>
  <c r="CS22" i="5"/>
  <c r="CK22" i="5"/>
  <c r="CR22" i="5"/>
  <c r="CJ22" i="5"/>
  <c r="CO22" i="5"/>
  <c r="CN22" i="5"/>
  <c r="CI22" i="5"/>
  <c r="CP22" i="5"/>
  <c r="CQ22" i="5"/>
  <c r="CH22" i="5"/>
  <c r="CG22" i="5"/>
  <c r="BN10" i="5"/>
  <c r="CE48" i="5"/>
  <c r="BM38" i="5"/>
  <c r="BE38" i="5"/>
  <c r="BL38" i="5"/>
  <c r="BD38" i="5"/>
  <c r="BK38" i="5"/>
  <c r="BC38" i="5"/>
  <c r="BJ38" i="5"/>
  <c r="BB38" i="5"/>
  <c r="BA38" i="5"/>
  <c r="BI38" i="5"/>
  <c r="BH38" i="5"/>
  <c r="CT38" i="5"/>
  <c r="CS38" i="5"/>
  <c r="CK38" i="5"/>
  <c r="CR38" i="5"/>
  <c r="CJ38" i="5"/>
  <c r="CH38" i="5"/>
  <c r="CG38" i="5"/>
  <c r="CI38" i="5"/>
  <c r="CQ38" i="5"/>
  <c r="CP38" i="5"/>
  <c r="CO38" i="5"/>
  <c r="CN38" i="5"/>
  <c r="EA33" i="5"/>
  <c r="DT33" i="5"/>
  <c r="DZ33" i="5"/>
  <c r="DQ33" i="5"/>
  <c r="DU33" i="5"/>
  <c r="DO33" i="5"/>
  <c r="DN33" i="5"/>
  <c r="DM33" i="5"/>
  <c r="DY33" i="5"/>
  <c r="DX33" i="5"/>
  <c r="DW33" i="5"/>
  <c r="DV33" i="5"/>
  <c r="DP33" i="5"/>
  <c r="BL41" i="5"/>
  <c r="BD41" i="5"/>
  <c r="BE41" i="5"/>
  <c r="BM41" i="5"/>
  <c r="BC41" i="5"/>
  <c r="BK41" i="5"/>
  <c r="BJ41" i="5"/>
  <c r="BI41" i="5"/>
  <c r="BH41" i="5"/>
  <c r="BB41" i="5"/>
  <c r="BA41" i="5"/>
  <c r="EM46" i="5" l="1"/>
  <c r="CN59" i="5"/>
  <c r="DY69" i="5"/>
  <c r="EA89" i="5"/>
  <c r="DO64" i="5"/>
  <c r="BI49" i="5"/>
  <c r="DN86" i="5"/>
  <c r="DZ74" i="5"/>
  <c r="DT90" i="5"/>
  <c r="DT68" i="5"/>
  <c r="DQ89" i="5"/>
  <c r="CO59" i="5"/>
  <c r="DW64" i="5"/>
  <c r="DQ90" i="5"/>
  <c r="DZ68" i="5"/>
  <c r="CU27" i="5"/>
  <c r="BN92" i="5"/>
  <c r="BE68" i="5"/>
  <c r="BN49" i="5"/>
  <c r="CI59" i="5"/>
  <c r="BN95" i="5"/>
  <c r="BB87" i="5"/>
  <c r="CS95" i="5"/>
  <c r="BK85" i="5"/>
  <c r="BI92" i="5"/>
  <c r="BN64" i="5"/>
  <c r="CP83" i="5"/>
  <c r="CU83" i="5" s="1"/>
  <c r="BH68" i="5"/>
  <c r="CT59" i="5"/>
  <c r="BM95" i="5"/>
  <c r="BK53" i="5"/>
  <c r="CK95" i="5"/>
  <c r="CK84" i="5"/>
  <c r="BC85" i="5"/>
  <c r="CN65" i="5"/>
  <c r="BI95" i="5"/>
  <c r="BD56" i="5"/>
  <c r="DT64" i="5"/>
  <c r="BD49" i="5"/>
  <c r="BK93" i="5"/>
  <c r="BB69" i="5"/>
  <c r="DP86" i="5"/>
  <c r="BC81" i="5"/>
  <c r="CG66" i="5"/>
  <c r="BD85" i="5"/>
  <c r="DX68" i="5"/>
  <c r="CT86" i="5"/>
  <c r="BH88" i="5"/>
  <c r="BO83" i="5"/>
  <c r="BO32" i="5"/>
  <c r="CU13" i="5"/>
  <c r="DW86" i="5"/>
  <c r="CO82" i="5"/>
  <c r="CT82" i="5"/>
  <c r="DZ95" i="5"/>
  <c r="CJ65" i="5"/>
  <c r="BD95" i="5"/>
  <c r="CI84" i="5"/>
  <c r="DW95" i="5"/>
  <c r="BI85" i="5"/>
  <c r="BL90" i="5"/>
  <c r="BD88" i="5"/>
  <c r="CU29" i="5"/>
  <c r="CI65" i="5"/>
  <c r="BL95" i="5"/>
  <c r="BA56" i="5"/>
  <c r="BN69" i="5"/>
  <c r="CQ81" i="5"/>
  <c r="CS84" i="5"/>
  <c r="BE85" i="5"/>
  <c r="EM85" i="5" s="1"/>
  <c r="DV68" i="5"/>
  <c r="BJ90" i="5"/>
  <c r="BL88" i="5"/>
  <c r="CQ65" i="5"/>
  <c r="BA95" i="5"/>
  <c r="BM56" i="5"/>
  <c r="DQ64" i="5"/>
  <c r="BK69" i="5"/>
  <c r="BE81" i="5"/>
  <c r="CJ81" i="5"/>
  <c r="CJ84" i="5"/>
  <c r="BJ85" i="5"/>
  <c r="DU68" i="5"/>
  <c r="BK88" i="5"/>
  <c r="BO46" i="5"/>
  <c r="CJ59" i="5"/>
  <c r="BN68" i="5"/>
  <c r="BN86" i="5"/>
  <c r="CP53" i="5"/>
  <c r="BL77" i="5"/>
  <c r="CT65" i="5"/>
  <c r="CS59" i="5"/>
  <c r="DZ69" i="5"/>
  <c r="CT67" i="5"/>
  <c r="DY89" i="5"/>
  <c r="DU89" i="5"/>
  <c r="CS88" i="5"/>
  <c r="BJ53" i="5"/>
  <c r="BI69" i="5"/>
  <c r="CK66" i="5"/>
  <c r="DT85" i="5"/>
  <c r="DX85" i="5"/>
  <c r="DN71" i="5"/>
  <c r="CJ86" i="5"/>
  <c r="BI86" i="5"/>
  <c r="CJ75" i="5"/>
  <c r="CG75" i="5"/>
  <c r="CU32" i="5"/>
  <c r="FH32" i="5" s="1"/>
  <c r="CU14" i="5"/>
  <c r="CU23" i="5"/>
  <c r="CP59" i="5"/>
  <c r="BN77" i="5"/>
  <c r="BB77" i="5"/>
  <c r="CK65" i="5"/>
  <c r="CO65" i="5"/>
  <c r="BB68" i="5"/>
  <c r="CG59" i="5"/>
  <c r="CR59" i="5"/>
  <c r="DN69" i="5"/>
  <c r="CQ67" i="5"/>
  <c r="DW89" i="5"/>
  <c r="DN89" i="5"/>
  <c r="CJ88" i="5"/>
  <c r="CH88" i="5"/>
  <c r="BN90" i="5"/>
  <c r="BC53" i="5"/>
  <c r="BA69" i="5"/>
  <c r="CK69" i="5"/>
  <c r="CR85" i="5"/>
  <c r="DW84" i="5"/>
  <c r="DV90" i="5"/>
  <c r="DP85" i="5"/>
  <c r="CO86" i="5"/>
  <c r="DO75" i="5"/>
  <c r="CR75" i="5"/>
  <c r="EZ23" i="5"/>
  <c r="EZ16" i="5"/>
  <c r="CU18" i="5"/>
  <c r="CU42" i="5"/>
  <c r="FL42" i="5" s="1"/>
  <c r="GB42" i="5" s="1"/>
  <c r="EZ44" i="5"/>
  <c r="DO76" i="5"/>
  <c r="BK77" i="5"/>
  <c r="CR65" i="5"/>
  <c r="CH65" i="5"/>
  <c r="BJ68" i="5"/>
  <c r="CQ59" i="5"/>
  <c r="EA69" i="5"/>
  <c r="DV69" i="5"/>
  <c r="CN67" i="5"/>
  <c r="CJ67" i="5"/>
  <c r="DO89" i="5"/>
  <c r="DV89" i="5"/>
  <c r="CK88" i="5"/>
  <c r="CQ88" i="5"/>
  <c r="BH53" i="5"/>
  <c r="BJ69" i="5"/>
  <c r="CT69" i="5"/>
  <c r="DM85" i="5"/>
  <c r="EA85" i="5"/>
  <c r="CJ90" i="5"/>
  <c r="CP86" i="5"/>
  <c r="CU11" i="5"/>
  <c r="FH11" i="5" s="1"/>
  <c r="EZ19" i="5"/>
  <c r="EZ30" i="5"/>
  <c r="EZ10" i="5"/>
  <c r="EZ27" i="5"/>
  <c r="EZ40" i="5"/>
  <c r="CU30" i="5"/>
  <c r="FL30" i="5" s="1"/>
  <c r="CI75" i="5"/>
  <c r="CO75" i="5"/>
  <c r="EZ51" i="5"/>
  <c r="DV76" i="5"/>
  <c r="BN53" i="5"/>
  <c r="BA77" i="5"/>
  <c r="BO77" i="5" s="1"/>
  <c r="CS65" i="5"/>
  <c r="BC68" i="5"/>
  <c r="DQ69" i="5"/>
  <c r="CO67" i="5"/>
  <c r="CR67" i="5"/>
  <c r="DX89" i="5"/>
  <c r="EZ89" i="5" s="1"/>
  <c r="CI88" i="5"/>
  <c r="BH69" i="5"/>
  <c r="DW85" i="5"/>
  <c r="CK90" i="5"/>
  <c r="CQ86" i="5"/>
  <c r="BH86" i="5"/>
  <c r="CU46" i="5"/>
  <c r="EZ15" i="5"/>
  <c r="CQ75" i="5"/>
  <c r="CP75" i="5"/>
  <c r="EL16" i="5"/>
  <c r="EZ46" i="5"/>
  <c r="EL12" i="5"/>
  <c r="EZ28" i="5"/>
  <c r="EZ34" i="5"/>
  <c r="EZ11" i="5"/>
  <c r="FH42" i="5"/>
  <c r="EA76" i="5"/>
  <c r="DM91" i="5"/>
  <c r="BK66" i="5"/>
  <c r="DZ75" i="5"/>
  <c r="BA75" i="5"/>
  <c r="BN87" i="5"/>
  <c r="DV91" i="5"/>
  <c r="BH93" i="5"/>
  <c r="CQ71" i="5"/>
  <c r="DY75" i="5"/>
  <c r="DM76" i="5"/>
  <c r="CK53" i="5"/>
  <c r="BH56" i="5"/>
  <c r="BK87" i="5"/>
  <c r="DX64" i="5"/>
  <c r="EA74" i="5"/>
  <c r="EM42" i="5"/>
  <c r="EN42" i="5" s="1"/>
  <c r="EO42" i="5" s="1"/>
  <c r="EZ45" i="5"/>
  <c r="DW76" i="5"/>
  <c r="DU76" i="5"/>
  <c r="BH75" i="5"/>
  <c r="CQ53" i="5"/>
  <c r="BE72" i="5"/>
  <c r="BI56" i="5"/>
  <c r="BL56" i="5"/>
  <c r="DM64" i="5"/>
  <c r="BB49" i="5"/>
  <c r="BI93" i="5"/>
  <c r="DT86" i="5"/>
  <c r="CO85" i="5"/>
  <c r="CT85" i="5"/>
  <c r="DV74" i="5"/>
  <c r="DT93" i="5"/>
  <c r="CO81" i="5"/>
  <c r="BE82" i="5"/>
  <c r="CS71" i="5"/>
  <c r="DP95" i="5"/>
  <c r="CQ82" i="5"/>
  <c r="DW75" i="5"/>
  <c r="EA75" i="5"/>
  <c r="EZ18" i="5"/>
  <c r="BB75" i="5"/>
  <c r="CI53" i="5"/>
  <c r="BB84" i="5"/>
  <c r="DV75" i="5"/>
  <c r="CJ53" i="5"/>
  <c r="DO95" i="5"/>
  <c r="EM32" i="5"/>
  <c r="EN32" i="5" s="1"/>
  <c r="BJ75" i="5"/>
  <c r="BA93" i="5"/>
  <c r="CN85" i="5"/>
  <c r="DM74" i="5"/>
  <c r="BN82" i="5"/>
  <c r="DX95" i="5"/>
  <c r="DP75" i="5"/>
  <c r="CU45" i="5"/>
  <c r="FL45" i="5" s="1"/>
  <c r="DX76" i="5"/>
  <c r="BI75" i="5"/>
  <c r="CR53" i="5"/>
  <c r="BN81" i="5"/>
  <c r="BH72" i="5"/>
  <c r="BA72" i="5"/>
  <c r="BJ56" i="5"/>
  <c r="BH87" i="5"/>
  <c r="BN93" i="5"/>
  <c r="DY64" i="5"/>
  <c r="DU64" i="5"/>
  <c r="BJ49" i="5"/>
  <c r="BE93" i="5"/>
  <c r="BE74" i="5"/>
  <c r="CI69" i="5"/>
  <c r="CG95" i="5"/>
  <c r="CP85" i="5"/>
  <c r="CI85" i="5"/>
  <c r="DW74" i="5"/>
  <c r="DU93" i="5"/>
  <c r="CN81" i="5"/>
  <c r="BK82" i="5"/>
  <c r="CK71" i="5"/>
  <c r="DU95" i="5"/>
  <c r="DN75" i="5"/>
  <c r="CU26" i="5"/>
  <c r="FL26" i="5" s="1"/>
  <c r="DP76" i="5"/>
  <c r="CN53" i="5"/>
  <c r="BE87" i="5"/>
  <c r="CH85" i="5"/>
  <c r="DQ76" i="5"/>
  <c r="CS85" i="5"/>
  <c r="CR81" i="5"/>
  <c r="BC56" i="5"/>
  <c r="CJ85" i="5"/>
  <c r="CT81" i="5"/>
  <c r="CR71" i="5"/>
  <c r="DM75" i="5"/>
  <c r="DY76" i="5"/>
  <c r="BC75" i="5"/>
  <c r="CS53" i="5"/>
  <c r="BJ72" i="5"/>
  <c r="BI72" i="5"/>
  <c r="BK56" i="5"/>
  <c r="BJ87" i="5"/>
  <c r="DZ64" i="5"/>
  <c r="DN64" i="5"/>
  <c r="BK49" i="5"/>
  <c r="BD93" i="5"/>
  <c r="BH74" i="5"/>
  <c r="CO69" i="5"/>
  <c r="CH95" i="5"/>
  <c r="CK85" i="5"/>
  <c r="CQ85" i="5"/>
  <c r="DQ74" i="5"/>
  <c r="DX93" i="5"/>
  <c r="CH81" i="5"/>
  <c r="CT71" i="5"/>
  <c r="DT95" i="5"/>
  <c r="DU75" i="5"/>
  <c r="EZ41" i="5"/>
  <c r="BL75" i="5"/>
  <c r="EZ26" i="5"/>
  <c r="EZ35" i="5"/>
  <c r="DT76" i="5"/>
  <c r="CG53" i="5"/>
  <c r="BL72" i="5"/>
  <c r="BI87" i="5"/>
  <c r="CG81" i="5"/>
  <c r="DT75" i="5"/>
  <c r="DZ76" i="5"/>
  <c r="BN72" i="5"/>
  <c r="CO53" i="5"/>
  <c r="BD72" i="5"/>
  <c r="BE75" i="5"/>
  <c r="BK75" i="5"/>
  <c r="BN66" i="5"/>
  <c r="BK72" i="5"/>
  <c r="BL87" i="5"/>
  <c r="EA64" i="5"/>
  <c r="BL49" i="5"/>
  <c r="DY91" i="5"/>
  <c r="BC93" i="5"/>
  <c r="BL92" i="5"/>
  <c r="CP69" i="5"/>
  <c r="CP95" i="5"/>
  <c r="BD81" i="5"/>
  <c r="DN74" i="5"/>
  <c r="DQ93" i="5"/>
  <c r="CI81" i="5"/>
  <c r="DM50" i="5"/>
  <c r="DV95" i="5"/>
  <c r="DX75" i="5"/>
  <c r="BA74" i="5"/>
  <c r="BJ92" i="5"/>
  <c r="EA93" i="5"/>
  <c r="DY84" i="5"/>
  <c r="DP84" i="5"/>
  <c r="BD66" i="5"/>
  <c r="DY90" i="5"/>
  <c r="BL84" i="5"/>
  <c r="BB86" i="5"/>
  <c r="CG93" i="5"/>
  <c r="BO19" i="5"/>
  <c r="BO44" i="5"/>
  <c r="DP83" i="5"/>
  <c r="DP88" i="5"/>
  <c r="DU88" i="5"/>
  <c r="DZ91" i="5"/>
  <c r="DO91" i="5"/>
  <c r="BJ93" i="5"/>
  <c r="BD69" i="5"/>
  <c r="BM74" i="5"/>
  <c r="BE92" i="5"/>
  <c r="BO92" i="5" s="1"/>
  <c r="DQ86" i="5"/>
  <c r="DO93" i="5"/>
  <c r="DN84" i="5"/>
  <c r="DX84" i="5"/>
  <c r="CP81" i="5"/>
  <c r="CT66" i="5"/>
  <c r="BH66" i="5"/>
  <c r="DO90" i="5"/>
  <c r="DN95" i="5"/>
  <c r="BN85" i="5"/>
  <c r="BM85" i="5"/>
  <c r="DW68" i="5"/>
  <c r="EA68" i="5"/>
  <c r="DX82" i="5"/>
  <c r="BI84" i="5"/>
  <c r="BC86" i="5"/>
  <c r="BJ86" i="5"/>
  <c r="CH93" i="5"/>
  <c r="DQ83" i="5"/>
  <c r="BA88" i="5"/>
  <c r="BN88" i="5"/>
  <c r="DY88" i="5"/>
  <c r="BI68" i="5"/>
  <c r="BA87" i="5"/>
  <c r="BC87" i="5"/>
  <c r="EA91" i="5"/>
  <c r="DW91" i="5"/>
  <c r="BB74" i="5"/>
  <c r="BB92" i="5"/>
  <c r="DW93" i="5"/>
  <c r="DZ84" i="5"/>
  <c r="BA66" i="5"/>
  <c r="DW90" i="5"/>
  <c r="BA84" i="5"/>
  <c r="BM86" i="5"/>
  <c r="CN93" i="5"/>
  <c r="CP93" i="5"/>
  <c r="EZ32" i="5"/>
  <c r="DN83" i="5"/>
  <c r="DV88" i="5"/>
  <c r="EM14" i="5"/>
  <c r="EN14" i="5" s="1"/>
  <c r="EO14" i="5" s="1"/>
  <c r="DP91" i="5"/>
  <c r="BN74" i="5"/>
  <c r="BJ74" i="5"/>
  <c r="BC92" i="5"/>
  <c r="DP93" i="5"/>
  <c r="EA84" i="5"/>
  <c r="DU90" i="5"/>
  <c r="DN90" i="5"/>
  <c r="BC84" i="5"/>
  <c r="BD86" i="5"/>
  <c r="CK93" i="5"/>
  <c r="CI93" i="5"/>
  <c r="CU15" i="5"/>
  <c r="FL15" i="5" s="1"/>
  <c r="DM83" i="5"/>
  <c r="DW88" i="5"/>
  <c r="BC74" i="5"/>
  <c r="BA92" i="5"/>
  <c r="CS93" i="5"/>
  <c r="CQ93" i="5"/>
  <c r="DZ83" i="5"/>
  <c r="DN88" i="5"/>
  <c r="BM68" i="5"/>
  <c r="BK68" i="5"/>
  <c r="DT69" i="5"/>
  <c r="DX69" i="5"/>
  <c r="CK67" i="5"/>
  <c r="BE95" i="5"/>
  <c r="BC95" i="5"/>
  <c r="FG42" i="5"/>
  <c r="BM87" i="5"/>
  <c r="DQ91" i="5"/>
  <c r="DU91" i="5"/>
  <c r="BL93" i="5"/>
  <c r="BL69" i="5"/>
  <c r="BI74" i="5"/>
  <c r="BM92" i="5"/>
  <c r="BH92" i="5"/>
  <c r="DN93" i="5"/>
  <c r="DY93" i="5"/>
  <c r="DT84" i="5"/>
  <c r="CK81" i="5"/>
  <c r="BL66" i="5"/>
  <c r="DX90" i="5"/>
  <c r="EA95" i="5"/>
  <c r="DY95" i="5"/>
  <c r="BB85" i="5"/>
  <c r="DO68" i="5"/>
  <c r="DQ68" i="5"/>
  <c r="BM90" i="5"/>
  <c r="BJ84" i="5"/>
  <c r="BK86" i="5"/>
  <c r="CJ93" i="5"/>
  <c r="DY83" i="5"/>
  <c r="BJ88" i="5"/>
  <c r="DX88" i="5"/>
  <c r="DU69" i="5"/>
  <c r="BH95" i="5"/>
  <c r="DT91" i="5"/>
  <c r="BM69" i="5"/>
  <c r="BL74" i="5"/>
  <c r="BK92" i="5"/>
  <c r="DO86" i="5"/>
  <c r="DV93" i="5"/>
  <c r="DO84" i="5"/>
  <c r="DV84" i="5"/>
  <c r="BC66" i="5"/>
  <c r="DM90" i="5"/>
  <c r="DQ95" i="5"/>
  <c r="DP68" i="5"/>
  <c r="BI90" i="5"/>
  <c r="BE86" i="5"/>
  <c r="CR93" i="5"/>
  <c r="BO28" i="5"/>
  <c r="BO11" i="5"/>
  <c r="DO83" i="5"/>
  <c r="DZ88" i="5"/>
  <c r="BO23" i="5"/>
  <c r="BO39" i="5"/>
  <c r="BO16" i="5"/>
  <c r="BO22" i="5"/>
  <c r="BO18" i="5"/>
  <c r="BO34" i="5"/>
  <c r="BO40" i="5"/>
  <c r="BO24" i="5"/>
  <c r="BO14" i="5"/>
  <c r="BO12" i="5"/>
  <c r="EL24" i="5"/>
  <c r="EM40" i="5"/>
  <c r="EM23" i="5"/>
  <c r="EN23" i="5" s="1"/>
  <c r="BO9" i="5"/>
  <c r="BA53" i="5"/>
  <c r="BM53" i="5"/>
  <c r="CH69" i="5"/>
  <c r="BM81" i="5"/>
  <c r="BC82" i="5"/>
  <c r="CI50" i="5"/>
  <c r="CI86" i="5"/>
  <c r="EA92" i="5"/>
  <c r="EZ22" i="5"/>
  <c r="BL50" i="5"/>
  <c r="EM35" i="5"/>
  <c r="EN35" i="5" s="1"/>
  <c r="DZ86" i="5"/>
  <c r="CN69" i="5"/>
  <c r="CI95" i="5"/>
  <c r="DT74" i="5"/>
  <c r="DY74" i="5"/>
  <c r="BD82" i="5"/>
  <c r="CN84" i="5"/>
  <c r="CR84" i="5"/>
  <c r="DP90" i="5"/>
  <c r="CH71" i="5"/>
  <c r="DO71" i="5"/>
  <c r="CR86" i="5"/>
  <c r="CK92" i="5"/>
  <c r="BA86" i="5"/>
  <c r="BB64" i="5"/>
  <c r="CU40" i="5"/>
  <c r="FG40" i="5" s="1"/>
  <c r="EZ42" i="5"/>
  <c r="BL53" i="5"/>
  <c r="EA86" i="5"/>
  <c r="CG69" i="5"/>
  <c r="CO95" i="5"/>
  <c r="DU74" i="5"/>
  <c r="BL82" i="5"/>
  <c r="CO84" i="5"/>
  <c r="EA90" i="5"/>
  <c r="CP71" i="5"/>
  <c r="DY71" i="5"/>
  <c r="CK86" i="5"/>
  <c r="DZ92" i="5"/>
  <c r="BE64" i="5"/>
  <c r="CU19" i="5"/>
  <c r="FL19" i="5" s="1"/>
  <c r="BO30" i="5"/>
  <c r="EM39" i="5"/>
  <c r="EN39" i="5" s="1"/>
  <c r="DX52" i="5"/>
  <c r="DZ52" i="5"/>
  <c r="DN50" i="5"/>
  <c r="DO52" i="5"/>
  <c r="DY50" i="5"/>
  <c r="CI90" i="5"/>
  <c r="BO42" i="5"/>
  <c r="DV52" i="5"/>
  <c r="BM50" i="5"/>
  <c r="DX86" i="5"/>
  <c r="CQ95" i="5"/>
  <c r="BI81" i="5"/>
  <c r="CG84" i="5"/>
  <c r="CR64" i="5"/>
  <c r="CG71" i="5"/>
  <c r="DU50" i="5"/>
  <c r="DT50" i="5"/>
  <c r="CP90" i="5"/>
  <c r="BD90" i="5"/>
  <c r="DY82" i="5"/>
  <c r="CG86" i="5"/>
  <c r="DO92" i="5"/>
  <c r="CQ92" i="5"/>
  <c r="BM64" i="5"/>
  <c r="BO35" i="5"/>
  <c r="EZ14" i="5"/>
  <c r="BE50" i="5"/>
  <c r="DV86" i="5"/>
  <c r="CN95" i="5"/>
  <c r="BB81" i="5"/>
  <c r="CP84" i="5"/>
  <c r="CI64" i="5"/>
  <c r="CI71" i="5"/>
  <c r="DV50" i="5"/>
  <c r="DT71" i="5"/>
  <c r="BE90" i="5"/>
  <c r="DZ82" i="5"/>
  <c r="CS86" i="5"/>
  <c r="DW92" i="5"/>
  <c r="CN92" i="5"/>
  <c r="BA64" i="5"/>
  <c r="BE49" i="5"/>
  <c r="BB53" i="5"/>
  <c r="DQ52" i="5"/>
  <c r="BD50" i="5"/>
  <c r="DY86" i="5"/>
  <c r="DM86" i="5"/>
  <c r="CJ95" i="5"/>
  <c r="BL81" i="5"/>
  <c r="BJ81" i="5"/>
  <c r="CJ64" i="5"/>
  <c r="CN71" i="5"/>
  <c r="DW50" i="5"/>
  <c r="DV71" i="5"/>
  <c r="BC90" i="5"/>
  <c r="CN86" i="5"/>
  <c r="BD64" i="5"/>
  <c r="DY52" i="5"/>
  <c r="CR66" i="5"/>
  <c r="CK64" i="5"/>
  <c r="BM66" i="5"/>
  <c r="BI66" i="5"/>
  <c r="DW71" i="5"/>
  <c r="DW82" i="5"/>
  <c r="EA82" i="5"/>
  <c r="DM92" i="5"/>
  <c r="CH82" i="5"/>
  <c r="CI92" i="5"/>
  <c r="BC64" i="5"/>
  <c r="EL47" i="5"/>
  <c r="BC69" i="5"/>
  <c r="DM52" i="5"/>
  <c r="CH66" i="5"/>
  <c r="CS64" i="5"/>
  <c r="CN64" i="5"/>
  <c r="BE66" i="5"/>
  <c r="DU71" i="5"/>
  <c r="DP71" i="5"/>
  <c r="BA90" i="5"/>
  <c r="DN82" i="5"/>
  <c r="DP92" i="5"/>
  <c r="CJ82" i="5"/>
  <c r="CH92" i="5"/>
  <c r="BJ64" i="5"/>
  <c r="BI64" i="5"/>
  <c r="CP66" i="5"/>
  <c r="CQ64" i="5"/>
  <c r="CG64" i="5"/>
  <c r="BB66" i="5"/>
  <c r="EA71" i="5"/>
  <c r="BB90" i="5"/>
  <c r="DO82" i="5"/>
  <c r="DX92" i="5"/>
  <c r="CR82" i="5"/>
  <c r="CP92" i="5"/>
  <c r="BK64" i="5"/>
  <c r="BH64" i="5"/>
  <c r="EM22" i="5"/>
  <c r="EN22" i="5" s="1"/>
  <c r="DP52" i="5"/>
  <c r="DN52" i="5"/>
  <c r="CS66" i="5"/>
  <c r="CI66" i="5"/>
  <c r="CT64" i="5"/>
  <c r="DO50" i="5"/>
  <c r="DQ71" i="5"/>
  <c r="BK90" i="5"/>
  <c r="DP82" i="5"/>
  <c r="DU92" i="5"/>
  <c r="CT92" i="5"/>
  <c r="CS69" i="5"/>
  <c r="BM82" i="5"/>
  <c r="BJ82" i="5"/>
  <c r="CN90" i="5"/>
  <c r="DV92" i="5"/>
  <c r="CQ50" i="5"/>
  <c r="CQ69" i="5"/>
  <c r="BA82" i="5"/>
  <c r="CQ90" i="5"/>
  <c r="CJ50" i="5"/>
  <c r="DT92" i="5"/>
  <c r="BD84" i="5"/>
  <c r="CP82" i="5"/>
  <c r="CK82" i="5"/>
  <c r="EA83" i="5"/>
  <c r="DW83" i="5"/>
  <c r="CR69" i="5"/>
  <c r="BK81" i="5"/>
  <c r="DM93" i="5"/>
  <c r="BI82" i="5"/>
  <c r="CN66" i="5"/>
  <c r="CQ66" i="5"/>
  <c r="CO71" i="5"/>
  <c r="CH90" i="5"/>
  <c r="CK50" i="5"/>
  <c r="DY92" i="5"/>
  <c r="BN84" i="5"/>
  <c r="BM84" i="5"/>
  <c r="CN82" i="5"/>
  <c r="CS82" i="5"/>
  <c r="DV83" i="5"/>
  <c r="DU83" i="5"/>
  <c r="DM88" i="5"/>
  <c r="DO88" i="5"/>
  <c r="BD74" i="5"/>
  <c r="DQ84" i="5"/>
  <c r="BH82" i="5"/>
  <c r="CO90" i="5"/>
  <c r="DN92" i="5"/>
  <c r="BK84" i="5"/>
  <c r="CG82" i="5"/>
  <c r="EM34" i="5"/>
  <c r="DT83" i="5"/>
  <c r="EA88" i="5"/>
  <c r="EL15" i="5"/>
  <c r="CU10" i="5"/>
  <c r="FL10" i="5" s="1"/>
  <c r="CU34" i="5"/>
  <c r="FL34" i="5" s="1"/>
  <c r="BO15" i="5"/>
  <c r="EA52" i="5"/>
  <c r="BI50" i="5"/>
  <c r="DP50" i="5"/>
  <c r="CT90" i="5"/>
  <c r="CR90" i="5"/>
  <c r="DZ71" i="5"/>
  <c r="DX71" i="5"/>
  <c r="DM82" i="5"/>
  <c r="DT82" i="5"/>
  <c r="CR92" i="5"/>
  <c r="CG92" i="5"/>
  <c r="DW52" i="5"/>
  <c r="BB50" i="5"/>
  <c r="DX50" i="5"/>
  <c r="CS90" i="5"/>
  <c r="DV82" i="5"/>
  <c r="CS92" i="5"/>
  <c r="EM11" i="5"/>
  <c r="EN11" i="5" s="1"/>
  <c r="EO11" i="5" s="1"/>
  <c r="EZ39" i="5"/>
  <c r="EM18" i="5"/>
  <c r="EN18" i="5" s="1"/>
  <c r="BA50" i="5"/>
  <c r="EL44" i="5"/>
  <c r="EL33" i="5"/>
  <c r="EM28" i="5"/>
  <c r="EN28" i="5" s="1"/>
  <c r="EO28" i="5" s="1"/>
  <c r="EM45" i="5"/>
  <c r="BJ50" i="5"/>
  <c r="BM49" i="5"/>
  <c r="BN50" i="5"/>
  <c r="BC50" i="5"/>
  <c r="BH50" i="5"/>
  <c r="EM19" i="5"/>
  <c r="EN19" i="5" s="1"/>
  <c r="EO19" i="5" s="1"/>
  <c r="EM20" i="5"/>
  <c r="EN20" i="5" s="1"/>
  <c r="EO20" i="5" s="1"/>
  <c r="CO50" i="5"/>
  <c r="EL46" i="5"/>
  <c r="EL51" i="5"/>
  <c r="BO47" i="5"/>
  <c r="EM31" i="5"/>
  <c r="EL25" i="5"/>
  <c r="BO29" i="5"/>
  <c r="CN50" i="5"/>
  <c r="CR50" i="5"/>
  <c r="EM27" i="5"/>
  <c r="EM38" i="5"/>
  <c r="EL13" i="5"/>
  <c r="EM26" i="5"/>
  <c r="CP50" i="5"/>
  <c r="CS50" i="5"/>
  <c r="EM43" i="5"/>
  <c r="EL21" i="5"/>
  <c r="EL29" i="5"/>
  <c r="CG50" i="5"/>
  <c r="CT50" i="5"/>
  <c r="EL17" i="5"/>
  <c r="BO20" i="5"/>
  <c r="CU20" i="5"/>
  <c r="FG20" i="5" s="1"/>
  <c r="CU22" i="5"/>
  <c r="FH22" i="5" s="1"/>
  <c r="EZ33" i="5"/>
  <c r="BO36" i="5"/>
  <c r="CU21" i="5"/>
  <c r="CU31" i="5"/>
  <c r="BM70" i="5"/>
  <c r="BD70" i="5"/>
  <c r="BL70" i="5"/>
  <c r="BC70" i="5"/>
  <c r="BK70" i="5"/>
  <c r="BB70" i="5"/>
  <c r="BE70" i="5"/>
  <c r="BH70" i="5"/>
  <c r="BA70" i="5"/>
  <c r="BJ70" i="5"/>
  <c r="BI70" i="5"/>
  <c r="BH71" i="5"/>
  <c r="BI71" i="5"/>
  <c r="BJ71" i="5"/>
  <c r="BA71" i="5"/>
  <c r="BC71" i="5"/>
  <c r="BB71" i="5"/>
  <c r="BM71" i="5"/>
  <c r="BL71" i="5"/>
  <c r="BK71" i="5"/>
  <c r="BE71" i="5"/>
  <c r="BD71" i="5"/>
  <c r="BN71" i="5"/>
  <c r="FH29" i="5"/>
  <c r="FG29" i="5"/>
  <c r="FL29" i="5"/>
  <c r="DV77" i="5"/>
  <c r="DN77" i="5"/>
  <c r="DU77" i="5"/>
  <c r="DM77" i="5"/>
  <c r="DT77" i="5"/>
  <c r="DW77" i="5"/>
  <c r="DO77" i="5"/>
  <c r="DQ77" i="5"/>
  <c r="DP77" i="5"/>
  <c r="EA77" i="5"/>
  <c r="DY77" i="5"/>
  <c r="DX77" i="5"/>
  <c r="DZ77" i="5"/>
  <c r="CP79" i="5"/>
  <c r="CH79" i="5"/>
  <c r="CO79" i="5"/>
  <c r="CG79" i="5"/>
  <c r="CN79" i="5"/>
  <c r="CQ79" i="5"/>
  <c r="CI79" i="5"/>
  <c r="CT79" i="5"/>
  <c r="CS79" i="5"/>
  <c r="CJ79" i="5"/>
  <c r="CR79" i="5"/>
  <c r="CK79" i="5"/>
  <c r="CO56" i="5"/>
  <c r="CG56" i="5"/>
  <c r="CP56" i="5"/>
  <c r="CK56" i="5"/>
  <c r="CT56" i="5"/>
  <c r="CJ56" i="5"/>
  <c r="CI56" i="5"/>
  <c r="CH56" i="5"/>
  <c r="CS56" i="5"/>
  <c r="CR56" i="5"/>
  <c r="CQ56" i="5"/>
  <c r="CN56" i="5"/>
  <c r="CU43" i="5"/>
  <c r="EZ37" i="5"/>
  <c r="CR73" i="5"/>
  <c r="CJ73" i="5"/>
  <c r="CQ73" i="5"/>
  <c r="CI73" i="5"/>
  <c r="CK73" i="5"/>
  <c r="CT73" i="5"/>
  <c r="CH73" i="5"/>
  <c r="CS73" i="5"/>
  <c r="CG73" i="5"/>
  <c r="CO73" i="5"/>
  <c r="CN73" i="5"/>
  <c r="CP73" i="5"/>
  <c r="BJ94" i="5"/>
  <c r="BB94" i="5"/>
  <c r="BI94" i="5"/>
  <c r="BA94" i="5"/>
  <c r="BH94" i="5"/>
  <c r="BK94" i="5"/>
  <c r="BC94" i="5"/>
  <c r="BM94" i="5"/>
  <c r="BL94" i="5"/>
  <c r="BE94" i="5"/>
  <c r="BD94" i="5"/>
  <c r="BN94" i="5"/>
  <c r="EZ31" i="5"/>
  <c r="BI58" i="5"/>
  <c r="BA58" i="5"/>
  <c r="BM58" i="5"/>
  <c r="BD58" i="5"/>
  <c r="BH58" i="5"/>
  <c r="BE58" i="5"/>
  <c r="BB58" i="5"/>
  <c r="BL58" i="5"/>
  <c r="BK58" i="5"/>
  <c r="BJ58" i="5"/>
  <c r="BC58" i="5"/>
  <c r="BN58" i="5"/>
  <c r="FG30" i="5"/>
  <c r="EZ12" i="5"/>
  <c r="BO38" i="5"/>
  <c r="BH57" i="5"/>
  <c r="BK57" i="5"/>
  <c r="BA57" i="5"/>
  <c r="BJ57" i="5"/>
  <c r="BI57" i="5"/>
  <c r="BB57" i="5"/>
  <c r="BM57" i="5"/>
  <c r="BE57" i="5"/>
  <c r="BD57" i="5"/>
  <c r="BC57" i="5"/>
  <c r="BL57" i="5"/>
  <c r="BN57" i="5"/>
  <c r="DY80" i="5"/>
  <c r="DQ80" i="5"/>
  <c r="DX80" i="5"/>
  <c r="DP80" i="5"/>
  <c r="DW80" i="5"/>
  <c r="DO80" i="5"/>
  <c r="DZ80" i="5"/>
  <c r="DV80" i="5"/>
  <c r="DU80" i="5"/>
  <c r="DT80" i="5"/>
  <c r="EA80" i="5"/>
  <c r="DN80" i="5"/>
  <c r="DM80" i="5"/>
  <c r="CN55" i="5"/>
  <c r="CT55" i="5"/>
  <c r="CK55" i="5"/>
  <c r="CQ55" i="5"/>
  <c r="CG55" i="5"/>
  <c r="CP55" i="5"/>
  <c r="CO55" i="5"/>
  <c r="CJ55" i="5"/>
  <c r="CI55" i="5"/>
  <c r="CH55" i="5"/>
  <c r="CS55" i="5"/>
  <c r="CR55" i="5"/>
  <c r="DW70" i="5"/>
  <c r="DO70" i="5"/>
  <c r="DT70" i="5"/>
  <c r="EA70" i="5"/>
  <c r="DU70" i="5"/>
  <c r="DM70" i="5"/>
  <c r="DZ70" i="5"/>
  <c r="DY70" i="5"/>
  <c r="DX70" i="5"/>
  <c r="DV70" i="5"/>
  <c r="DP70" i="5"/>
  <c r="DN70" i="5"/>
  <c r="DQ70" i="5"/>
  <c r="DZ59" i="5"/>
  <c r="DX59" i="5"/>
  <c r="DO59" i="5"/>
  <c r="DQ59" i="5"/>
  <c r="EA59" i="5"/>
  <c r="DP59" i="5"/>
  <c r="DY59" i="5"/>
  <c r="DN59" i="5"/>
  <c r="DW59" i="5"/>
  <c r="DM59" i="5"/>
  <c r="DU59" i="5"/>
  <c r="DT59" i="5"/>
  <c r="DV59" i="5"/>
  <c r="FL46" i="5"/>
  <c r="FH46" i="5"/>
  <c r="FG46" i="5"/>
  <c r="DY72" i="5"/>
  <c r="DQ72" i="5"/>
  <c r="DU72" i="5"/>
  <c r="DT72" i="5"/>
  <c r="DV72" i="5"/>
  <c r="DM72" i="5"/>
  <c r="EA72" i="5"/>
  <c r="DZ72" i="5"/>
  <c r="DX72" i="5"/>
  <c r="DW72" i="5"/>
  <c r="DO72" i="5"/>
  <c r="DN72" i="5"/>
  <c r="DP72" i="5"/>
  <c r="BO41" i="5"/>
  <c r="BH55" i="5"/>
  <c r="BJ55" i="5"/>
  <c r="BI55" i="5"/>
  <c r="BE55" i="5"/>
  <c r="BM55" i="5"/>
  <c r="BL55" i="5"/>
  <c r="BK55" i="5"/>
  <c r="BC55" i="5"/>
  <c r="BB55" i="5"/>
  <c r="BA55" i="5"/>
  <c r="BD55" i="5"/>
  <c r="BN55" i="5"/>
  <c r="CO70" i="5"/>
  <c r="CG70" i="5"/>
  <c r="CQ70" i="5"/>
  <c r="CH70" i="5"/>
  <c r="CP70" i="5"/>
  <c r="CN70" i="5"/>
  <c r="CR70" i="5"/>
  <c r="CI70" i="5"/>
  <c r="CT70" i="5"/>
  <c r="CS70" i="5"/>
  <c r="CK70" i="5"/>
  <c r="CJ70" i="5"/>
  <c r="CO91" i="5"/>
  <c r="CG91" i="5"/>
  <c r="CN91" i="5"/>
  <c r="CP91" i="5"/>
  <c r="CH91" i="5"/>
  <c r="CT91" i="5"/>
  <c r="CS91" i="5"/>
  <c r="CR91" i="5"/>
  <c r="CI91" i="5"/>
  <c r="CJ91" i="5"/>
  <c r="CQ91" i="5"/>
  <c r="CK91" i="5"/>
  <c r="CQ58" i="5"/>
  <c r="CI58" i="5"/>
  <c r="CP58" i="5"/>
  <c r="CG58" i="5"/>
  <c r="CO58" i="5"/>
  <c r="CN58" i="5"/>
  <c r="CT58" i="5"/>
  <c r="CS58" i="5"/>
  <c r="CR58" i="5"/>
  <c r="CK58" i="5"/>
  <c r="CJ58" i="5"/>
  <c r="CH58" i="5"/>
  <c r="CS87" i="5"/>
  <c r="CK87" i="5"/>
  <c r="CJ87" i="5"/>
  <c r="CT87" i="5"/>
  <c r="CI87" i="5"/>
  <c r="CN87" i="5"/>
  <c r="CQ87" i="5"/>
  <c r="CP87" i="5"/>
  <c r="CO87" i="5"/>
  <c r="CH87" i="5"/>
  <c r="CG87" i="5"/>
  <c r="CR87" i="5"/>
  <c r="BN70" i="5"/>
  <c r="EA87" i="5"/>
  <c r="DY87" i="5"/>
  <c r="DP87" i="5"/>
  <c r="DT87" i="5"/>
  <c r="DQ87" i="5"/>
  <c r="DU87" i="5"/>
  <c r="DN87" i="5"/>
  <c r="DM87" i="5"/>
  <c r="DZ87" i="5"/>
  <c r="DX87" i="5"/>
  <c r="DO87" i="5"/>
  <c r="DW87" i="5"/>
  <c r="DV87" i="5"/>
  <c r="CO78" i="5"/>
  <c r="CG78" i="5"/>
  <c r="CN78" i="5"/>
  <c r="CP78" i="5"/>
  <c r="CH78" i="5"/>
  <c r="CQ78" i="5"/>
  <c r="CK78" i="5"/>
  <c r="CR78" i="5"/>
  <c r="CI78" i="5"/>
  <c r="CT78" i="5"/>
  <c r="CJ78" i="5"/>
  <c r="CS78" i="5"/>
  <c r="CT89" i="5"/>
  <c r="CK89" i="5"/>
  <c r="CN89" i="5"/>
  <c r="CJ89" i="5"/>
  <c r="CI89" i="5"/>
  <c r="CO89" i="5"/>
  <c r="CG89" i="5"/>
  <c r="CS89" i="5"/>
  <c r="CR89" i="5"/>
  <c r="CQ89" i="5"/>
  <c r="CP89" i="5"/>
  <c r="CH89" i="5"/>
  <c r="BM91" i="5"/>
  <c r="BE91" i="5"/>
  <c r="BH91" i="5"/>
  <c r="BL91" i="5"/>
  <c r="BK91" i="5"/>
  <c r="BJ91" i="5"/>
  <c r="BC91" i="5"/>
  <c r="BB91" i="5"/>
  <c r="BA91" i="5"/>
  <c r="BD91" i="5"/>
  <c r="BI91" i="5"/>
  <c r="BN91" i="5"/>
  <c r="CN77" i="5"/>
  <c r="CT77" i="5"/>
  <c r="CO77" i="5"/>
  <c r="CG77" i="5"/>
  <c r="CI77" i="5"/>
  <c r="CH77" i="5"/>
  <c r="CS77" i="5"/>
  <c r="CJ77" i="5"/>
  <c r="CQ77" i="5"/>
  <c r="CP77" i="5"/>
  <c r="CK77" i="5"/>
  <c r="CR77" i="5"/>
  <c r="BM89" i="5"/>
  <c r="BE89" i="5"/>
  <c r="BI89" i="5"/>
  <c r="BL89" i="5"/>
  <c r="BB89" i="5"/>
  <c r="BK89" i="5"/>
  <c r="BA89" i="5"/>
  <c r="BJ89" i="5"/>
  <c r="BC89" i="5"/>
  <c r="BH89" i="5"/>
  <c r="BD89" i="5"/>
  <c r="BN89" i="5"/>
  <c r="BI80" i="5"/>
  <c r="BA80" i="5"/>
  <c r="BH80" i="5"/>
  <c r="BJ80" i="5"/>
  <c r="BB80" i="5"/>
  <c r="BK80" i="5"/>
  <c r="BE80" i="5"/>
  <c r="BL80" i="5"/>
  <c r="BM80" i="5"/>
  <c r="BD80" i="5"/>
  <c r="BC80" i="5"/>
  <c r="BN80" i="5"/>
  <c r="DW56" i="5"/>
  <c r="DO56" i="5"/>
  <c r="DU56" i="5"/>
  <c r="DT56" i="5"/>
  <c r="EA56" i="5"/>
  <c r="DQ56" i="5"/>
  <c r="DZ56" i="5"/>
  <c r="DY56" i="5"/>
  <c r="DX56" i="5"/>
  <c r="DV56" i="5"/>
  <c r="DP56" i="5"/>
  <c r="DN56" i="5"/>
  <c r="DM56" i="5"/>
  <c r="CS68" i="5"/>
  <c r="CK68" i="5"/>
  <c r="CR68" i="5"/>
  <c r="CJ68" i="5"/>
  <c r="CQ68" i="5"/>
  <c r="CI68" i="5"/>
  <c r="CT68" i="5"/>
  <c r="CG68" i="5"/>
  <c r="CP68" i="5"/>
  <c r="CN68" i="5"/>
  <c r="CH68" i="5"/>
  <c r="CO68" i="5"/>
  <c r="BM52" i="5"/>
  <c r="BE52" i="5"/>
  <c r="BL52" i="5"/>
  <c r="BD52" i="5"/>
  <c r="BK52" i="5"/>
  <c r="BC52" i="5"/>
  <c r="BJ52" i="5"/>
  <c r="BI52" i="5"/>
  <c r="BH52" i="5"/>
  <c r="BB52" i="5"/>
  <c r="BA52" i="5"/>
  <c r="BN52" i="5"/>
  <c r="FL18" i="5"/>
  <c r="FH18" i="5"/>
  <c r="FG18" i="5"/>
  <c r="DZ67" i="5"/>
  <c r="DY67" i="5"/>
  <c r="DQ67" i="5"/>
  <c r="DX67" i="5"/>
  <c r="DP67" i="5"/>
  <c r="EA67" i="5"/>
  <c r="DT67" i="5"/>
  <c r="DO67" i="5"/>
  <c r="DN67" i="5"/>
  <c r="DM67" i="5"/>
  <c r="DW67" i="5"/>
  <c r="DV67" i="5"/>
  <c r="DU67" i="5"/>
  <c r="CU12" i="5"/>
  <c r="FG27" i="5"/>
  <c r="FH27" i="5"/>
  <c r="FL27" i="5"/>
  <c r="BM62" i="5"/>
  <c r="BE62" i="5"/>
  <c r="BD62" i="5"/>
  <c r="BL62" i="5"/>
  <c r="BC62" i="5"/>
  <c r="BK62" i="5"/>
  <c r="BB62" i="5"/>
  <c r="BJ62" i="5"/>
  <c r="BA62" i="5"/>
  <c r="BI62" i="5"/>
  <c r="BH62" i="5"/>
  <c r="BN62" i="5"/>
  <c r="BO25" i="5"/>
  <c r="DZ73" i="5"/>
  <c r="DY73" i="5"/>
  <c r="DQ73" i="5"/>
  <c r="DP73" i="5"/>
  <c r="EA73" i="5"/>
  <c r="DO73" i="5"/>
  <c r="DX73" i="5"/>
  <c r="DN73" i="5"/>
  <c r="DW73" i="5"/>
  <c r="DV73" i="5"/>
  <c r="DU73" i="5"/>
  <c r="DT73" i="5"/>
  <c r="DM73" i="5"/>
  <c r="DY66" i="5"/>
  <c r="DQ66" i="5"/>
  <c r="DX66" i="5"/>
  <c r="DP66" i="5"/>
  <c r="DW66" i="5"/>
  <c r="DO66" i="5"/>
  <c r="DZ66" i="5"/>
  <c r="DU66" i="5"/>
  <c r="DT66" i="5"/>
  <c r="DN66" i="5"/>
  <c r="EA66" i="5"/>
  <c r="DV66" i="5"/>
  <c r="DM66" i="5"/>
  <c r="BH65" i="5"/>
  <c r="BI65" i="5"/>
  <c r="BA65" i="5"/>
  <c r="BL65" i="5"/>
  <c r="BK65" i="5"/>
  <c r="BJ65" i="5"/>
  <c r="BE65" i="5"/>
  <c r="BM65" i="5"/>
  <c r="BD65" i="5"/>
  <c r="BC65" i="5"/>
  <c r="BB65" i="5"/>
  <c r="BN65" i="5"/>
  <c r="CQ62" i="5"/>
  <c r="CH62" i="5"/>
  <c r="CP62" i="5"/>
  <c r="CG62" i="5"/>
  <c r="CO62" i="5"/>
  <c r="CN62" i="5"/>
  <c r="CJ62" i="5"/>
  <c r="CI62" i="5"/>
  <c r="CT62" i="5"/>
  <c r="CS62" i="5"/>
  <c r="CR62" i="5"/>
  <c r="CK62" i="5"/>
  <c r="CU39" i="5"/>
  <c r="DV63" i="5"/>
  <c r="DN63" i="5"/>
  <c r="DW63" i="5"/>
  <c r="DO63" i="5"/>
  <c r="DZ63" i="5"/>
  <c r="DP63" i="5"/>
  <c r="DY63" i="5"/>
  <c r="DM63" i="5"/>
  <c r="DX63" i="5"/>
  <c r="DU63" i="5"/>
  <c r="DQ63" i="5"/>
  <c r="EA63" i="5"/>
  <c r="DT63" i="5"/>
  <c r="CR94" i="5"/>
  <c r="CJ94" i="5"/>
  <c r="CQ94" i="5"/>
  <c r="CI94" i="5"/>
  <c r="CP94" i="5"/>
  <c r="CH94" i="5"/>
  <c r="CS94" i="5"/>
  <c r="CK94" i="5"/>
  <c r="CT94" i="5"/>
  <c r="CO94" i="5"/>
  <c r="CN94" i="5"/>
  <c r="CG94" i="5"/>
  <c r="DZ94" i="5"/>
  <c r="DY94" i="5"/>
  <c r="DQ94" i="5"/>
  <c r="DX94" i="5"/>
  <c r="DP94" i="5"/>
  <c r="EA94" i="5"/>
  <c r="DW94" i="5"/>
  <c r="DV94" i="5"/>
  <c r="DU94" i="5"/>
  <c r="DT94" i="5"/>
  <c r="DO94" i="5"/>
  <c r="DN94" i="5"/>
  <c r="DM94" i="5"/>
  <c r="BO31" i="5"/>
  <c r="CU38" i="5"/>
  <c r="CR48" i="5"/>
  <c r="CJ48" i="5"/>
  <c r="CQ48" i="5"/>
  <c r="CI48" i="5"/>
  <c r="CP48" i="5"/>
  <c r="CH48" i="5"/>
  <c r="CO48" i="5"/>
  <c r="CG48" i="5"/>
  <c r="CS48" i="5"/>
  <c r="CN48" i="5"/>
  <c r="CT48" i="5"/>
  <c r="CK48" i="5"/>
  <c r="CN54" i="5"/>
  <c r="CR54" i="5"/>
  <c r="CI54" i="5"/>
  <c r="CQ54" i="5"/>
  <c r="CH54" i="5"/>
  <c r="CP54" i="5"/>
  <c r="CG54" i="5"/>
  <c r="CO54" i="5"/>
  <c r="CT54" i="5"/>
  <c r="CS54" i="5"/>
  <c r="CK54" i="5"/>
  <c r="CJ54" i="5"/>
  <c r="DX65" i="5"/>
  <c r="DP65" i="5"/>
  <c r="DW65" i="5"/>
  <c r="DO65" i="5"/>
  <c r="DV65" i="5"/>
  <c r="DN65" i="5"/>
  <c r="DY65" i="5"/>
  <c r="DQ65" i="5"/>
  <c r="EA65" i="5"/>
  <c r="DZ65" i="5"/>
  <c r="DU65" i="5"/>
  <c r="DM65" i="5"/>
  <c r="DT65" i="5"/>
  <c r="CS74" i="5"/>
  <c r="CK74" i="5"/>
  <c r="CR74" i="5"/>
  <c r="CJ74" i="5"/>
  <c r="CI74" i="5"/>
  <c r="CT74" i="5"/>
  <c r="CH74" i="5"/>
  <c r="CQ74" i="5"/>
  <c r="CG74" i="5"/>
  <c r="CP74" i="5"/>
  <c r="CO74" i="5"/>
  <c r="CN74" i="5"/>
  <c r="FH13" i="5"/>
  <c r="FG13" i="5"/>
  <c r="FL13" i="5"/>
  <c r="BJ73" i="5"/>
  <c r="BB73" i="5"/>
  <c r="BI73" i="5"/>
  <c r="BA73" i="5"/>
  <c r="BM73" i="5"/>
  <c r="BC73" i="5"/>
  <c r="BL73" i="5"/>
  <c r="BK73" i="5"/>
  <c r="BD73" i="5"/>
  <c r="BH73" i="5"/>
  <c r="BE73" i="5"/>
  <c r="BM76" i="5"/>
  <c r="BE76" i="5"/>
  <c r="BL76" i="5"/>
  <c r="BD76" i="5"/>
  <c r="BK76" i="5"/>
  <c r="BC76" i="5"/>
  <c r="BI76" i="5"/>
  <c r="BH76" i="5"/>
  <c r="BJ76" i="5"/>
  <c r="BB76" i="5"/>
  <c r="BA76" i="5"/>
  <c r="BN76" i="5"/>
  <c r="CU44" i="5"/>
  <c r="EZ20" i="5"/>
  <c r="EZ36" i="5"/>
  <c r="FL32" i="5"/>
  <c r="FG32" i="5"/>
  <c r="EZ13" i="5"/>
  <c r="BE54" i="5"/>
  <c r="BM54" i="5"/>
  <c r="BD54" i="5"/>
  <c r="BL54" i="5"/>
  <c r="BC54" i="5"/>
  <c r="BK54" i="5"/>
  <c r="BB54" i="5"/>
  <c r="BJ54" i="5"/>
  <c r="BI54" i="5"/>
  <c r="BH54" i="5"/>
  <c r="BA54" i="5"/>
  <c r="BJ48" i="5"/>
  <c r="BB48" i="5"/>
  <c r="BI48" i="5"/>
  <c r="BA48" i="5"/>
  <c r="BH48" i="5"/>
  <c r="BK48" i="5"/>
  <c r="BE48" i="5"/>
  <c r="BD48" i="5"/>
  <c r="BM48" i="5"/>
  <c r="BL48" i="5"/>
  <c r="BC48" i="5"/>
  <c r="CU51" i="5"/>
  <c r="CU28" i="5"/>
  <c r="CQ72" i="5"/>
  <c r="CI72" i="5"/>
  <c r="CR72" i="5"/>
  <c r="CH72" i="5"/>
  <c r="CP72" i="5"/>
  <c r="CG72" i="5"/>
  <c r="CO72" i="5"/>
  <c r="CS72" i="5"/>
  <c r="CJ72" i="5"/>
  <c r="CT72" i="5"/>
  <c r="CN72" i="5"/>
  <c r="CK72" i="5"/>
  <c r="EZ17" i="5"/>
  <c r="EZ24" i="5"/>
  <c r="BO21" i="5"/>
  <c r="DW78" i="5"/>
  <c r="DO78" i="5"/>
  <c r="DV78" i="5"/>
  <c r="DN78" i="5"/>
  <c r="DU78" i="5"/>
  <c r="DM78" i="5"/>
  <c r="DX78" i="5"/>
  <c r="DP78" i="5"/>
  <c r="DY78" i="5"/>
  <c r="DT78" i="5"/>
  <c r="DZ78" i="5"/>
  <c r="DQ78" i="5"/>
  <c r="EA78" i="5"/>
  <c r="DY58" i="5"/>
  <c r="DQ58" i="5"/>
  <c r="DT58" i="5"/>
  <c r="DV58" i="5"/>
  <c r="DU58" i="5"/>
  <c r="DN58" i="5"/>
  <c r="DM58" i="5"/>
  <c r="EA58" i="5"/>
  <c r="DZ58" i="5"/>
  <c r="DP58" i="5"/>
  <c r="DO58" i="5"/>
  <c r="DX58" i="5"/>
  <c r="DW58" i="5"/>
  <c r="CU24" i="5"/>
  <c r="EZ25" i="5"/>
  <c r="EZ21" i="5"/>
  <c r="BJ67" i="5"/>
  <c r="BB67" i="5"/>
  <c r="BI67" i="5"/>
  <c r="BA67" i="5"/>
  <c r="BH67" i="5"/>
  <c r="BK67" i="5"/>
  <c r="BC67" i="5"/>
  <c r="BE67" i="5"/>
  <c r="BD67" i="5"/>
  <c r="BM67" i="5"/>
  <c r="BL67" i="5"/>
  <c r="CU36" i="5"/>
  <c r="CP57" i="5"/>
  <c r="CH57" i="5"/>
  <c r="CT57" i="5"/>
  <c r="CK57" i="5"/>
  <c r="CR57" i="5"/>
  <c r="CG57" i="5"/>
  <c r="CQ57" i="5"/>
  <c r="CO57" i="5"/>
  <c r="CN57" i="5"/>
  <c r="CS57" i="5"/>
  <c r="CJ57" i="5"/>
  <c r="CI57" i="5"/>
  <c r="DX57" i="5"/>
  <c r="DP57" i="5"/>
  <c r="DW57" i="5"/>
  <c r="DN57" i="5"/>
  <c r="DZ57" i="5"/>
  <c r="DO57" i="5"/>
  <c r="DY57" i="5"/>
  <c r="DM57" i="5"/>
  <c r="DV57" i="5"/>
  <c r="DU57" i="5"/>
  <c r="EA57" i="5"/>
  <c r="DT57" i="5"/>
  <c r="DQ57" i="5"/>
  <c r="EZ9" i="5"/>
  <c r="BH79" i="5"/>
  <c r="BI79" i="5"/>
  <c r="BA79" i="5"/>
  <c r="BM79" i="5"/>
  <c r="BL79" i="5"/>
  <c r="BK79" i="5"/>
  <c r="BB79" i="5"/>
  <c r="BJ79" i="5"/>
  <c r="BE79" i="5"/>
  <c r="BD79" i="5"/>
  <c r="BC79" i="5"/>
  <c r="BO45" i="5"/>
  <c r="BO33" i="5"/>
  <c r="CU17" i="5"/>
  <c r="BO37" i="5"/>
  <c r="BO13" i="5"/>
  <c r="BO43" i="5"/>
  <c r="CU25" i="5"/>
  <c r="CU16" i="5"/>
  <c r="BO51" i="5"/>
  <c r="DU62" i="5"/>
  <c r="DM62" i="5"/>
  <c r="DT62" i="5"/>
  <c r="EA62" i="5"/>
  <c r="DZ62" i="5"/>
  <c r="DQ62" i="5"/>
  <c r="DV62" i="5"/>
  <c r="DP62" i="5"/>
  <c r="DO62" i="5"/>
  <c r="DN62" i="5"/>
  <c r="DY62" i="5"/>
  <c r="DX62" i="5"/>
  <c r="DW62" i="5"/>
  <c r="EZ29" i="5"/>
  <c r="BO26" i="5"/>
  <c r="EZ85" i="5"/>
  <c r="EN46" i="5"/>
  <c r="EO46" i="5" s="1"/>
  <c r="BM78" i="5"/>
  <c r="BE78" i="5"/>
  <c r="BH78" i="5"/>
  <c r="BI78" i="5"/>
  <c r="BD78" i="5"/>
  <c r="BC78" i="5"/>
  <c r="BJ78" i="5"/>
  <c r="BA78" i="5"/>
  <c r="BL78" i="5"/>
  <c r="BK78" i="5"/>
  <c r="BB78" i="5"/>
  <c r="BO27" i="5"/>
  <c r="FL14" i="5"/>
  <c r="FG14" i="5"/>
  <c r="FH14" i="5"/>
  <c r="DX79" i="5"/>
  <c r="DP79" i="5"/>
  <c r="DW79" i="5"/>
  <c r="DO79" i="5"/>
  <c r="DV79" i="5"/>
  <c r="DN79" i="5"/>
  <c r="DY79" i="5"/>
  <c r="DQ79" i="5"/>
  <c r="DM79" i="5"/>
  <c r="EA79" i="5"/>
  <c r="DU79" i="5"/>
  <c r="DT79" i="5"/>
  <c r="DZ79" i="5"/>
  <c r="CU41" i="5"/>
  <c r="BO17" i="5"/>
  <c r="FL35" i="5"/>
  <c r="FH35" i="5"/>
  <c r="FG35" i="5"/>
  <c r="DZ48" i="5"/>
  <c r="DY48" i="5"/>
  <c r="DQ48" i="5"/>
  <c r="DX48" i="5"/>
  <c r="DP48" i="5"/>
  <c r="DW48" i="5"/>
  <c r="DO48" i="5"/>
  <c r="DV48" i="5"/>
  <c r="DU48" i="5"/>
  <c r="DT48" i="5"/>
  <c r="EA48" i="5"/>
  <c r="DN48" i="5"/>
  <c r="DM48" i="5"/>
  <c r="CS49" i="5"/>
  <c r="CK49" i="5"/>
  <c r="CR49" i="5"/>
  <c r="CJ49" i="5"/>
  <c r="CQ49" i="5"/>
  <c r="CI49" i="5"/>
  <c r="CP49" i="5"/>
  <c r="CH49" i="5"/>
  <c r="CN49" i="5"/>
  <c r="CG49" i="5"/>
  <c r="CT49" i="5"/>
  <c r="CO49" i="5"/>
  <c r="CU37" i="5"/>
  <c r="CN63" i="5"/>
  <c r="CO63" i="5"/>
  <c r="CG63" i="5"/>
  <c r="CR63" i="5"/>
  <c r="CH63" i="5"/>
  <c r="CQ63" i="5"/>
  <c r="CP63" i="5"/>
  <c r="CT63" i="5"/>
  <c r="CS63" i="5"/>
  <c r="CK63" i="5"/>
  <c r="CJ63" i="5"/>
  <c r="CI63" i="5"/>
  <c r="DV54" i="5"/>
  <c r="DN54" i="5"/>
  <c r="DU54" i="5"/>
  <c r="DT54" i="5"/>
  <c r="EA54" i="5"/>
  <c r="DP54" i="5"/>
  <c r="DO54" i="5"/>
  <c r="DM54" i="5"/>
  <c r="DZ54" i="5"/>
  <c r="DX54" i="5"/>
  <c r="DW54" i="5"/>
  <c r="DQ54" i="5"/>
  <c r="DY54" i="5"/>
  <c r="BJ59" i="5"/>
  <c r="BB59" i="5"/>
  <c r="BI59" i="5"/>
  <c r="BD59" i="5"/>
  <c r="BM59" i="5"/>
  <c r="BC59" i="5"/>
  <c r="BL59" i="5"/>
  <c r="BA59" i="5"/>
  <c r="BK59" i="5"/>
  <c r="BE59" i="5"/>
  <c r="BH59" i="5"/>
  <c r="BN59" i="5"/>
  <c r="DW53" i="5"/>
  <c r="DO53" i="5"/>
  <c r="DV53" i="5"/>
  <c r="DN53" i="5"/>
  <c r="DU53" i="5"/>
  <c r="DM53" i="5"/>
  <c r="DT53" i="5"/>
  <c r="DP53" i="5"/>
  <c r="EA53" i="5"/>
  <c r="DZ53" i="5"/>
  <c r="DY53" i="5"/>
  <c r="DX53" i="5"/>
  <c r="DQ53" i="5"/>
  <c r="CN52" i="5"/>
  <c r="CT52" i="5"/>
  <c r="CS52" i="5"/>
  <c r="CK52" i="5"/>
  <c r="CG52" i="5"/>
  <c r="CR52" i="5"/>
  <c r="CQ52" i="5"/>
  <c r="CP52" i="5"/>
  <c r="CO52" i="5"/>
  <c r="CJ52" i="5"/>
  <c r="CI52" i="5"/>
  <c r="CH52" i="5"/>
  <c r="CT76" i="5"/>
  <c r="CS76" i="5"/>
  <c r="CK76" i="5"/>
  <c r="CN76" i="5"/>
  <c r="CQ76" i="5"/>
  <c r="CP76" i="5"/>
  <c r="CO76" i="5"/>
  <c r="CR76" i="5"/>
  <c r="CJ76" i="5"/>
  <c r="CI76" i="5"/>
  <c r="CH76" i="5"/>
  <c r="CG76" i="5"/>
  <c r="EA49" i="5"/>
  <c r="DZ49" i="5"/>
  <c r="DY49" i="5"/>
  <c r="DQ49" i="5"/>
  <c r="DX49" i="5"/>
  <c r="DP49" i="5"/>
  <c r="DU49" i="5"/>
  <c r="DT49" i="5"/>
  <c r="DO49" i="5"/>
  <c r="DN49" i="5"/>
  <c r="DW49" i="5"/>
  <c r="DV49" i="5"/>
  <c r="DM49" i="5"/>
  <c r="FG33" i="5"/>
  <c r="FH33" i="5"/>
  <c r="FL33" i="5"/>
  <c r="EZ47" i="5"/>
  <c r="BJ63" i="5"/>
  <c r="BI63" i="5"/>
  <c r="BH63" i="5"/>
  <c r="BE63" i="5"/>
  <c r="BC63" i="5"/>
  <c r="BB63" i="5"/>
  <c r="BA63" i="5"/>
  <c r="BL63" i="5"/>
  <c r="BK63" i="5"/>
  <c r="BD63" i="5"/>
  <c r="BM63" i="5"/>
  <c r="BN63" i="5"/>
  <c r="FL23" i="5"/>
  <c r="FG23" i="5"/>
  <c r="FH23" i="5"/>
  <c r="CU47" i="5"/>
  <c r="BO10" i="5"/>
  <c r="EZ43" i="5"/>
  <c r="CQ80" i="5"/>
  <c r="CI80" i="5"/>
  <c r="CP80" i="5"/>
  <c r="CH80" i="5"/>
  <c r="CO80" i="5"/>
  <c r="CG80" i="5"/>
  <c r="CR80" i="5"/>
  <c r="CJ80" i="5"/>
  <c r="CS80" i="5"/>
  <c r="CN80" i="5"/>
  <c r="CT80" i="5"/>
  <c r="CK80" i="5"/>
  <c r="CU9" i="5"/>
  <c r="DZ81" i="5"/>
  <c r="DY81" i="5"/>
  <c r="DQ81" i="5"/>
  <c r="DX81" i="5"/>
  <c r="DP81" i="5"/>
  <c r="EA81" i="5"/>
  <c r="DU81" i="5"/>
  <c r="DT81" i="5"/>
  <c r="DO81" i="5"/>
  <c r="DV81" i="5"/>
  <c r="DW81" i="5"/>
  <c r="DN81" i="5"/>
  <c r="DM81" i="5"/>
  <c r="DV55" i="5"/>
  <c r="DN55" i="5"/>
  <c r="DX55" i="5"/>
  <c r="DO55" i="5"/>
  <c r="DY55" i="5"/>
  <c r="DM55" i="5"/>
  <c r="DW55" i="5"/>
  <c r="DU55" i="5"/>
  <c r="DT55" i="5"/>
  <c r="EA55" i="5"/>
  <c r="DZ55" i="5"/>
  <c r="DQ55" i="5"/>
  <c r="DP55" i="5"/>
  <c r="BO75" i="5" l="1"/>
  <c r="CU59" i="5"/>
  <c r="FH19" i="5"/>
  <c r="FG15" i="5"/>
  <c r="EM47" i="5"/>
  <c r="EN47" i="5" s="1"/>
  <c r="CU67" i="5"/>
  <c r="EM74" i="5"/>
  <c r="EN74" i="5" s="1"/>
  <c r="CU88" i="5"/>
  <c r="FL88" i="5" s="1"/>
  <c r="GB88" i="5" s="1"/>
  <c r="FG26" i="5"/>
  <c r="FG45" i="5"/>
  <c r="EM16" i="5"/>
  <c r="EN16" i="5" s="1"/>
  <c r="EO16" i="5" s="1"/>
  <c r="EM68" i="5"/>
  <c r="CU75" i="5"/>
  <c r="FH75" i="5" s="1"/>
  <c r="FH26" i="5"/>
  <c r="FH45" i="5"/>
  <c r="EM53" i="5"/>
  <c r="EN53" i="5" s="1"/>
  <c r="EO53" i="5" s="1"/>
  <c r="EM88" i="5"/>
  <c r="EN88" i="5" s="1"/>
  <c r="EO88" i="5" s="1"/>
  <c r="EM95" i="5"/>
  <c r="CU65" i="5"/>
  <c r="FG65" i="5" s="1"/>
  <c r="EM77" i="5"/>
  <c r="EN77" i="5" s="1"/>
  <c r="EO77" i="5" s="1"/>
  <c r="FL11" i="5"/>
  <c r="GB11" i="5" s="1"/>
  <c r="EZ91" i="5"/>
  <c r="BO87" i="5"/>
  <c r="EZ76" i="5"/>
  <c r="EZ64" i="5"/>
  <c r="BO56" i="5"/>
  <c r="CU53" i="5"/>
  <c r="FG53" i="5" s="1"/>
  <c r="EZ74" i="5"/>
  <c r="EZ90" i="5"/>
  <c r="BO68" i="5"/>
  <c r="BO88" i="5"/>
  <c r="EZ75" i="5"/>
  <c r="EM72" i="5"/>
  <c r="CU81" i="5"/>
  <c r="FG81" i="5" s="1"/>
  <c r="CU85" i="5"/>
  <c r="FL85" i="5" s="1"/>
  <c r="GB85" i="5" s="1"/>
  <c r="FG19" i="5"/>
  <c r="FH30" i="5"/>
  <c r="BO66" i="5"/>
  <c r="BO53" i="5"/>
  <c r="BO86" i="5"/>
  <c r="FH34" i="5"/>
  <c r="CU64" i="5"/>
  <c r="FG64" i="5" s="1"/>
  <c r="EM81" i="5"/>
  <c r="EN81" i="5" s="1"/>
  <c r="EO81" i="5" s="1"/>
  <c r="FG34" i="5"/>
  <c r="FG11" i="5"/>
  <c r="EM12" i="5"/>
  <c r="EN12" i="5" s="1"/>
  <c r="EO12" i="5" s="1"/>
  <c r="EM66" i="5"/>
  <c r="EN66" i="5" s="1"/>
  <c r="EO66" i="5" s="1"/>
  <c r="EL75" i="5"/>
  <c r="EM75" i="5"/>
  <c r="EN75" i="5" s="1"/>
  <c r="BO95" i="5"/>
  <c r="EZ93" i="5"/>
  <c r="EZ84" i="5"/>
  <c r="BO84" i="5"/>
  <c r="EZ68" i="5"/>
  <c r="BO74" i="5"/>
  <c r="FG75" i="5"/>
  <c r="EL92" i="5"/>
  <c r="EZ95" i="5"/>
  <c r="EZ69" i="5"/>
  <c r="CU93" i="5"/>
  <c r="FL93" i="5" s="1"/>
  <c r="GB93" i="5" s="1"/>
  <c r="BO85" i="5"/>
  <c r="FL75" i="5"/>
  <c r="GB75" i="5" s="1"/>
  <c r="EZ52" i="5"/>
  <c r="EL84" i="5"/>
  <c r="CU66" i="5"/>
  <c r="FH66" i="5" s="1"/>
  <c r="CU82" i="5"/>
  <c r="FL82" i="5" s="1"/>
  <c r="GB82" i="5" s="1"/>
  <c r="CU95" i="5"/>
  <c r="EL42" i="5"/>
  <c r="BO72" i="5"/>
  <c r="CU90" i="5"/>
  <c r="FL90" i="5" s="1"/>
  <c r="GB90" i="5" s="1"/>
  <c r="EZ50" i="5"/>
  <c r="EL32" i="5"/>
  <c r="EM86" i="5"/>
  <c r="EN86" i="5" s="1"/>
  <c r="EO86" i="5" s="1"/>
  <c r="EM87" i="5"/>
  <c r="EN87" i="5" s="1"/>
  <c r="EO87" i="5" s="1"/>
  <c r="EM93" i="5"/>
  <c r="EN93" i="5" s="1"/>
  <c r="EL93" i="5"/>
  <c r="FL95" i="5"/>
  <c r="GB95" i="5" s="1"/>
  <c r="FH95" i="5"/>
  <c r="FG95" i="5"/>
  <c r="FH15" i="5"/>
  <c r="FH40" i="5"/>
  <c r="BO90" i="5"/>
  <c r="CU92" i="5"/>
  <c r="FG92" i="5" s="1"/>
  <c r="EL69" i="5"/>
  <c r="EL67" i="5"/>
  <c r="FL40" i="5"/>
  <c r="BO69" i="5"/>
  <c r="EL82" i="5"/>
  <c r="EM33" i="5"/>
  <c r="EN33" i="5" s="1"/>
  <c r="EO33" i="5" s="1"/>
  <c r="BO93" i="5"/>
  <c r="BO82" i="5"/>
  <c r="EZ86" i="5"/>
  <c r="EL14" i="5"/>
  <c r="FG10" i="5"/>
  <c r="EL40" i="5"/>
  <c r="EL35" i="5"/>
  <c r="EM24" i="5"/>
  <c r="EN24" i="5" s="1"/>
  <c r="EO24" i="5" s="1"/>
  <c r="EL23" i="5"/>
  <c r="BO49" i="5"/>
  <c r="EL39" i="5"/>
  <c r="GB23" i="5"/>
  <c r="GB46" i="5"/>
  <c r="EL22" i="5"/>
  <c r="GB32" i="5"/>
  <c r="GB13" i="5"/>
  <c r="GB10" i="5"/>
  <c r="EZ71" i="5"/>
  <c r="GB35" i="5"/>
  <c r="GB18" i="5"/>
  <c r="GB29" i="5"/>
  <c r="GB30" i="5"/>
  <c r="CU71" i="5"/>
  <c r="FG71" i="5" s="1"/>
  <c r="GB19" i="5"/>
  <c r="GB45" i="5"/>
  <c r="BO64" i="5"/>
  <c r="GB34" i="5"/>
  <c r="GB14" i="5"/>
  <c r="GB26" i="5"/>
  <c r="EL45" i="5"/>
  <c r="CU86" i="5"/>
  <c r="FL86" i="5" s="1"/>
  <c r="GB86" i="5" s="1"/>
  <c r="CU84" i="5"/>
  <c r="FG84" i="5" s="1"/>
  <c r="GB40" i="5"/>
  <c r="GB33" i="5"/>
  <c r="GB27" i="5"/>
  <c r="GB15" i="5"/>
  <c r="BO50" i="5"/>
  <c r="CU69" i="5"/>
  <c r="FL69" i="5" s="1"/>
  <c r="GB69" i="5" s="1"/>
  <c r="EZ92" i="5"/>
  <c r="EZ82" i="5"/>
  <c r="EL90" i="5"/>
  <c r="BO81" i="5"/>
  <c r="FH10" i="5"/>
  <c r="FL20" i="5"/>
  <c r="EL34" i="5"/>
  <c r="EL79" i="5"/>
  <c r="EL49" i="5"/>
  <c r="FL22" i="5"/>
  <c r="EL88" i="5"/>
  <c r="EL28" i="5"/>
  <c r="EM50" i="5"/>
  <c r="EN50" i="5" s="1"/>
  <c r="EM73" i="5"/>
  <c r="EN34" i="5"/>
  <c r="EO34" i="5" s="1"/>
  <c r="EP34" i="5" s="1"/>
  <c r="EL11" i="5"/>
  <c r="EL18" i="5"/>
  <c r="EM70" i="5"/>
  <c r="EM80" i="5"/>
  <c r="EL26" i="5"/>
  <c r="EM15" i="5"/>
  <c r="EN15" i="5" s="1"/>
  <c r="EM62" i="5"/>
  <c r="EL30" i="5"/>
  <c r="EM30" i="5"/>
  <c r="EN30" i="5" s="1"/>
  <c r="EO30" i="5" s="1"/>
  <c r="EL78" i="5"/>
  <c r="EM65" i="5"/>
  <c r="EL89" i="5"/>
  <c r="EZ83" i="5"/>
  <c r="EM83" i="5"/>
  <c r="EN83" i="5" s="1"/>
  <c r="EO83" i="5" s="1"/>
  <c r="EL83" i="5"/>
  <c r="EZ88" i="5"/>
  <c r="CU50" i="5"/>
  <c r="FL50" i="5" s="1"/>
  <c r="EL76" i="5"/>
  <c r="EL85" i="5"/>
  <c r="EM71" i="5"/>
  <c r="CU89" i="5"/>
  <c r="FH89" i="5" s="1"/>
  <c r="CU68" i="5"/>
  <c r="FH68" i="5" s="1"/>
  <c r="BO89" i="5"/>
  <c r="EL63" i="5"/>
  <c r="BO76" i="5"/>
  <c r="CU94" i="5"/>
  <c r="FH94" i="5" s="1"/>
  <c r="BO91" i="5"/>
  <c r="EL94" i="5"/>
  <c r="EM91" i="5"/>
  <c r="EM44" i="5"/>
  <c r="EN44" i="5" s="1"/>
  <c r="EO44" i="5" s="1"/>
  <c r="EM51" i="5"/>
  <c r="EN51" i="5" s="1"/>
  <c r="EL19" i="5"/>
  <c r="EM17" i="5"/>
  <c r="EN17" i="5" s="1"/>
  <c r="EL43" i="5"/>
  <c r="EM54" i="5"/>
  <c r="EL27" i="5"/>
  <c r="EM52" i="5"/>
  <c r="EM21" i="5"/>
  <c r="EN21" i="5" s="1"/>
  <c r="EL20" i="5"/>
  <c r="EL53" i="5"/>
  <c r="EL31" i="5"/>
  <c r="FG22" i="5"/>
  <c r="EL38" i="5"/>
  <c r="EM29" i="5"/>
  <c r="EN29" i="5" s="1"/>
  <c r="EM58" i="5"/>
  <c r="EM13" i="5"/>
  <c r="EN13" i="5" s="1"/>
  <c r="EM48" i="5"/>
  <c r="EM25" i="5"/>
  <c r="EN25" i="5" s="1"/>
  <c r="EL59" i="5"/>
  <c r="EM55" i="5"/>
  <c r="FH20" i="5"/>
  <c r="EM57" i="5"/>
  <c r="CU80" i="5"/>
  <c r="FL41" i="5"/>
  <c r="FH41" i="5"/>
  <c r="FG41" i="5"/>
  <c r="CU57" i="5"/>
  <c r="FH47" i="5"/>
  <c r="FG47" i="5"/>
  <c r="FL47" i="5"/>
  <c r="CU54" i="5"/>
  <c r="EZ53" i="5"/>
  <c r="BO59" i="5"/>
  <c r="EZ48" i="5"/>
  <c r="EZ79" i="5"/>
  <c r="BO78" i="5"/>
  <c r="EP11" i="5"/>
  <c r="EZ57" i="5"/>
  <c r="FH67" i="5"/>
  <c r="FG67" i="5"/>
  <c r="FL67" i="5"/>
  <c r="GB67" i="5" s="1"/>
  <c r="EZ58" i="5"/>
  <c r="BO48" i="5"/>
  <c r="BO62" i="5"/>
  <c r="BO55" i="5"/>
  <c r="BO57" i="5"/>
  <c r="EZ77" i="5"/>
  <c r="BO71" i="5"/>
  <c r="EM41" i="5"/>
  <c r="EL41" i="5"/>
  <c r="EN40" i="5"/>
  <c r="EO40" i="5" s="1"/>
  <c r="FH17" i="5"/>
  <c r="FG17" i="5"/>
  <c r="FL17" i="5"/>
  <c r="FH36" i="5"/>
  <c r="FG36" i="5"/>
  <c r="FL36" i="5"/>
  <c r="FG24" i="5"/>
  <c r="FH24" i="5"/>
  <c r="FL24" i="5"/>
  <c r="CU72" i="5"/>
  <c r="CU48" i="5"/>
  <c r="FL38" i="5"/>
  <c r="FH38" i="5"/>
  <c r="FG38" i="5"/>
  <c r="EZ63" i="5"/>
  <c r="FH59" i="5"/>
  <c r="FG59" i="5"/>
  <c r="FL59" i="5"/>
  <c r="EZ66" i="5"/>
  <c r="BO80" i="5"/>
  <c r="FL53" i="5"/>
  <c r="EP19" i="5"/>
  <c r="EN38" i="5"/>
  <c r="EO38" i="5" s="1"/>
  <c r="BO65" i="5"/>
  <c r="FG12" i="5"/>
  <c r="FH12" i="5"/>
  <c r="FL12" i="5"/>
  <c r="FL89" i="5"/>
  <c r="GB89" i="5" s="1"/>
  <c r="BO58" i="5"/>
  <c r="BO70" i="5"/>
  <c r="EO18" i="5"/>
  <c r="EP18" i="5" s="1"/>
  <c r="CU62" i="5"/>
  <c r="EM36" i="5"/>
  <c r="EL36" i="5"/>
  <c r="EP28" i="5"/>
  <c r="BO94" i="5"/>
  <c r="CU56" i="5"/>
  <c r="EN27" i="5"/>
  <c r="FH21" i="5"/>
  <c r="FG21" i="5"/>
  <c r="FL21" i="5"/>
  <c r="CU70" i="5"/>
  <c r="FH85" i="5"/>
  <c r="FG85" i="5"/>
  <c r="CU49" i="5"/>
  <c r="EZ55" i="5"/>
  <c r="CU63" i="5"/>
  <c r="EP14" i="5"/>
  <c r="EZ62" i="5"/>
  <c r="BO73" i="5"/>
  <c r="CU74" i="5"/>
  <c r="EZ49" i="5"/>
  <c r="FG16" i="5"/>
  <c r="FH16" i="5"/>
  <c r="FL16" i="5"/>
  <c r="EP20" i="5"/>
  <c r="FL51" i="5"/>
  <c r="FH51" i="5"/>
  <c r="FG51" i="5"/>
  <c r="GA61" i="5"/>
  <c r="EZ67" i="5"/>
  <c r="EZ56" i="5"/>
  <c r="EN26" i="5"/>
  <c r="CU77" i="5"/>
  <c r="CU87" i="5"/>
  <c r="CU58" i="5"/>
  <c r="EZ72" i="5"/>
  <c r="EZ59" i="5"/>
  <c r="CU55" i="5"/>
  <c r="EL37" i="5"/>
  <c r="EM37" i="5"/>
  <c r="EM10" i="5"/>
  <c r="EL10" i="5"/>
  <c r="EN31" i="5"/>
  <c r="CU73" i="5"/>
  <c r="EM56" i="5"/>
  <c r="EL56" i="5"/>
  <c r="EN43" i="5"/>
  <c r="EO43" i="5" s="1"/>
  <c r="EP88" i="5"/>
  <c r="EP16" i="5"/>
  <c r="EZ54" i="5"/>
  <c r="EZ78" i="5"/>
  <c r="EP42" i="5"/>
  <c r="EZ65" i="5"/>
  <c r="EO23" i="5"/>
  <c r="EP23" i="5" s="1"/>
  <c r="CU76" i="5"/>
  <c r="FH37" i="5"/>
  <c r="FG37" i="5"/>
  <c r="FL37" i="5"/>
  <c r="FH25" i="5"/>
  <c r="FG25" i="5"/>
  <c r="FL25" i="5"/>
  <c r="EZ94" i="5"/>
  <c r="FG39" i="5"/>
  <c r="FH39" i="5"/>
  <c r="FL39" i="5"/>
  <c r="BO52" i="5"/>
  <c r="CU91" i="5"/>
  <c r="EZ70" i="5"/>
  <c r="EN45" i="5"/>
  <c r="FG43" i="5"/>
  <c r="FH43" i="5"/>
  <c r="FL43" i="5"/>
  <c r="EO39" i="5"/>
  <c r="EP39" i="5" s="1"/>
  <c r="FG86" i="5"/>
  <c r="FH86" i="5"/>
  <c r="FH9" i="5"/>
  <c r="FG9" i="5"/>
  <c r="CU52" i="5"/>
  <c r="EO35" i="5"/>
  <c r="EP35" i="5" s="1"/>
  <c r="BO63" i="5"/>
  <c r="EP46" i="5"/>
  <c r="BO79" i="5"/>
  <c r="BO67" i="5"/>
  <c r="BO54" i="5"/>
  <c r="EZ81" i="5"/>
  <c r="EO32" i="5"/>
  <c r="EP32" i="5" s="1"/>
  <c r="EO22" i="5"/>
  <c r="EP22" i="5" s="1"/>
  <c r="FH28" i="5"/>
  <c r="FL28" i="5"/>
  <c r="FG28" i="5"/>
  <c r="FL44" i="5"/>
  <c r="FH44" i="5"/>
  <c r="FG44" i="5"/>
  <c r="EZ73" i="5"/>
  <c r="CU78" i="5"/>
  <c r="EZ87" i="5"/>
  <c r="FH83" i="5"/>
  <c r="FL83" i="5"/>
  <c r="GB83" i="5" s="1"/>
  <c r="FG83" i="5"/>
  <c r="EN85" i="5"/>
  <c r="EZ80" i="5"/>
  <c r="CU79" i="5"/>
  <c r="FG31" i="5"/>
  <c r="FL31" i="5"/>
  <c r="FH31" i="5"/>
  <c r="EN72" i="5"/>
  <c r="EP12" i="5" l="1"/>
  <c r="AX18" i="5"/>
  <c r="BF18" i="5" s="1"/>
  <c r="AY18" i="5"/>
  <c r="AX42" i="5"/>
  <c r="AY42" i="5"/>
  <c r="AY12" i="5"/>
  <c r="AX12" i="5"/>
  <c r="BF12" i="5" s="1"/>
  <c r="AY28" i="5"/>
  <c r="AX28" i="5"/>
  <c r="BF28" i="5" s="1"/>
  <c r="EL87" i="5"/>
  <c r="AX19" i="5"/>
  <c r="AY19" i="5"/>
  <c r="AX46" i="5"/>
  <c r="BF46" i="5" s="1"/>
  <c r="AY46" i="5"/>
  <c r="AX39" i="5"/>
  <c r="AY39" i="5"/>
  <c r="AX34" i="5"/>
  <c r="BF34" i="5" s="1"/>
  <c r="AY34" i="5"/>
  <c r="AY32" i="5"/>
  <c r="AX32" i="5"/>
  <c r="AX23" i="5"/>
  <c r="AY23" i="5"/>
  <c r="AY16" i="5"/>
  <c r="AX16" i="5"/>
  <c r="BF16" i="5" s="1"/>
  <c r="EL74" i="5"/>
  <c r="AX22" i="5"/>
  <c r="AY22" i="5"/>
  <c r="AX35" i="5"/>
  <c r="AY35" i="5"/>
  <c r="GA88" i="5"/>
  <c r="AY88" i="5"/>
  <c r="AX88" i="5"/>
  <c r="BF88" i="5" s="1"/>
  <c r="AY20" i="5"/>
  <c r="AX20" i="5"/>
  <c r="AX14" i="5"/>
  <c r="AY14" i="5"/>
  <c r="AX11" i="5"/>
  <c r="AY11" i="5"/>
  <c r="FH81" i="5"/>
  <c r="FL65" i="5"/>
  <c r="GB65" i="5" s="1"/>
  <c r="EL77" i="5"/>
  <c r="FH65" i="5"/>
  <c r="FL81" i="5"/>
  <c r="GB81" i="5" s="1"/>
  <c r="EM69" i="5"/>
  <c r="EN69" i="5" s="1"/>
  <c r="EO69" i="5" s="1"/>
  <c r="EL72" i="5"/>
  <c r="FH82" i="5"/>
  <c r="EL68" i="5"/>
  <c r="EL95" i="5"/>
  <c r="FH88" i="5"/>
  <c r="FL71" i="5"/>
  <c r="GB71" i="5" s="1"/>
  <c r="FG88" i="5"/>
  <c r="FL64" i="5"/>
  <c r="GB64" i="5" s="1"/>
  <c r="EL81" i="5"/>
  <c r="FH64" i="5"/>
  <c r="EL66" i="5"/>
  <c r="FH71" i="5"/>
  <c r="EL86" i="5"/>
  <c r="EM84" i="5"/>
  <c r="EN84" i="5" s="1"/>
  <c r="FG90" i="5"/>
  <c r="EM89" i="5"/>
  <c r="EN89" i="5" s="1"/>
  <c r="EO89" i="5" s="1"/>
  <c r="FH53" i="5"/>
  <c r="EM92" i="5"/>
  <c r="EN92" i="5" s="1"/>
  <c r="EM79" i="5"/>
  <c r="EN79" i="5" s="1"/>
  <c r="EO79" i="5" s="1"/>
  <c r="GB61" i="5"/>
  <c r="FH93" i="5"/>
  <c r="FH84" i="5"/>
  <c r="FG93" i="5"/>
  <c r="EM67" i="5"/>
  <c r="EN67" i="5" s="1"/>
  <c r="EO67" i="5" s="1"/>
  <c r="FL84" i="5"/>
  <c r="GB84" i="5" s="1"/>
  <c r="FL66" i="5"/>
  <c r="GB66" i="5" s="1"/>
  <c r="FH90" i="5"/>
  <c r="FG82" i="5"/>
  <c r="FG66" i="5"/>
  <c r="FG69" i="5"/>
  <c r="EP24" i="5"/>
  <c r="EM76" i="5"/>
  <c r="EN76" i="5" s="1"/>
  <c r="EO76" i="5" s="1"/>
  <c r="EM82" i="5"/>
  <c r="EN82" i="5" s="1"/>
  <c r="FL92" i="5"/>
  <c r="GB92" i="5" s="1"/>
  <c r="FH92" i="5"/>
  <c r="FG50" i="5"/>
  <c r="EO15" i="5"/>
  <c r="EP15" i="5" s="1"/>
  <c r="EP30" i="5"/>
  <c r="GB50" i="5"/>
  <c r="GB20" i="5"/>
  <c r="GB25" i="5"/>
  <c r="EL80" i="5"/>
  <c r="GB31" i="5"/>
  <c r="GB51" i="5"/>
  <c r="EL62" i="5"/>
  <c r="GB12" i="5"/>
  <c r="GB59" i="5"/>
  <c r="GB17" i="5"/>
  <c r="GB47" i="5"/>
  <c r="GB22" i="5"/>
  <c r="EM90" i="5"/>
  <c r="EN90" i="5" s="1"/>
  <c r="GB28" i="5"/>
  <c r="GB9" i="5"/>
  <c r="GB21" i="5"/>
  <c r="GB38" i="5"/>
  <c r="GB24" i="5"/>
  <c r="GB16" i="5"/>
  <c r="GB41" i="5"/>
  <c r="GB43" i="5"/>
  <c r="FH50" i="5"/>
  <c r="GB37" i="5"/>
  <c r="EM49" i="5"/>
  <c r="EN49" i="5" s="1"/>
  <c r="EO49" i="5" s="1"/>
  <c r="FH69" i="5"/>
  <c r="EL73" i="5"/>
  <c r="GB44" i="5"/>
  <c r="GB39" i="5"/>
  <c r="FL94" i="5"/>
  <c r="GB94" i="5" s="1"/>
  <c r="GB53" i="5"/>
  <c r="GB36" i="5"/>
  <c r="EM78" i="5"/>
  <c r="EN78" i="5" s="1"/>
  <c r="FG89" i="5"/>
  <c r="EL50" i="5"/>
  <c r="EL70" i="5"/>
  <c r="EM64" i="5"/>
  <c r="EN64" i="5" s="1"/>
  <c r="EL64" i="5"/>
  <c r="FG94" i="5"/>
  <c r="EP44" i="5"/>
  <c r="EP83" i="5"/>
  <c r="EL65" i="5"/>
  <c r="FG68" i="5"/>
  <c r="FL68" i="5"/>
  <c r="GB68" i="5" s="1"/>
  <c r="EL91" i="5"/>
  <c r="EL71" i="5"/>
  <c r="EM63" i="5"/>
  <c r="EN63" i="5" s="1"/>
  <c r="EO63" i="5" s="1"/>
  <c r="EM94" i="5"/>
  <c r="EL54" i="5"/>
  <c r="EL52" i="5"/>
  <c r="EL55" i="5"/>
  <c r="EL48" i="5"/>
  <c r="EM59" i="5"/>
  <c r="EN59" i="5" s="1"/>
  <c r="EO59" i="5" s="1"/>
  <c r="EL57" i="5"/>
  <c r="EL58" i="5"/>
  <c r="GA22" i="5"/>
  <c r="BF22" i="5"/>
  <c r="DC22" i="5"/>
  <c r="DS22" i="5" s="1"/>
  <c r="DB22" i="5"/>
  <c r="DR22" i="5" s="1"/>
  <c r="FA22" i="5" s="1"/>
  <c r="FC22" i="5" s="1"/>
  <c r="FD22" i="5" s="1"/>
  <c r="GH22" i="5" s="1"/>
  <c r="BV22" i="5"/>
  <c r="CL22" i="5" s="1"/>
  <c r="BW22" i="5"/>
  <c r="CM22" i="5" s="1"/>
  <c r="GA39" i="5"/>
  <c r="BF39" i="5"/>
  <c r="BW39" i="5"/>
  <c r="CM39" i="5" s="1"/>
  <c r="DB39" i="5"/>
  <c r="DR39" i="5" s="1"/>
  <c r="FA39" i="5" s="1"/>
  <c r="FC39" i="5" s="1"/>
  <c r="FD39" i="5" s="1"/>
  <c r="GH39" i="5" s="1"/>
  <c r="DC39" i="5"/>
  <c r="DS39" i="5" s="1"/>
  <c r="BV39" i="5"/>
  <c r="CL39" i="5" s="1"/>
  <c r="GA35" i="5"/>
  <c r="DB35" i="5"/>
  <c r="DR35" i="5" s="1"/>
  <c r="FA35" i="5" s="1"/>
  <c r="FC35" i="5" s="1"/>
  <c r="FD35" i="5" s="1"/>
  <c r="GH35" i="5" s="1"/>
  <c r="BW35" i="5"/>
  <c r="CM35" i="5" s="1"/>
  <c r="DC35" i="5"/>
  <c r="DS35" i="5" s="1"/>
  <c r="BF35" i="5"/>
  <c r="BV35" i="5"/>
  <c r="CL35" i="5" s="1"/>
  <c r="GA18" i="5"/>
  <c r="DB18" i="5"/>
  <c r="DR18" i="5" s="1"/>
  <c r="FA18" i="5" s="1"/>
  <c r="FC18" i="5" s="1"/>
  <c r="FD18" i="5" s="1"/>
  <c r="GH18" i="5" s="1"/>
  <c r="BV18" i="5"/>
  <c r="CL18" i="5" s="1"/>
  <c r="BW18" i="5"/>
  <c r="CM18" i="5" s="1"/>
  <c r="DC18" i="5"/>
  <c r="DS18" i="5" s="1"/>
  <c r="FH48" i="5"/>
  <c r="FG48" i="5"/>
  <c r="FL48" i="5"/>
  <c r="GA11" i="5"/>
  <c r="BV11" i="5"/>
  <c r="CL11" i="5" s="1"/>
  <c r="DC11" i="5"/>
  <c r="DS11" i="5" s="1"/>
  <c r="BF11" i="5"/>
  <c r="BW11" i="5"/>
  <c r="CM11" i="5" s="1"/>
  <c r="DB11" i="5"/>
  <c r="DR11" i="5" s="1"/>
  <c r="FA11" i="5" s="1"/>
  <c r="FC11" i="5" s="1"/>
  <c r="FD11" i="5" s="1"/>
  <c r="GH11" i="5" s="1"/>
  <c r="FG78" i="5"/>
  <c r="FL78" i="5"/>
  <c r="GB78" i="5" s="1"/>
  <c r="FH78" i="5"/>
  <c r="FG91" i="5"/>
  <c r="FL91" i="5"/>
  <c r="GB91" i="5" s="1"/>
  <c r="FH91" i="5"/>
  <c r="GA12" i="5"/>
  <c r="DC12" i="5"/>
  <c r="DS12" i="5" s="1"/>
  <c r="BV12" i="5"/>
  <c r="CL12" i="5" s="1"/>
  <c r="DB12" i="5"/>
  <c r="DR12" i="5" s="1"/>
  <c r="FA12" i="5" s="1"/>
  <c r="FC12" i="5" s="1"/>
  <c r="FD12" i="5" s="1"/>
  <c r="GH12" i="5" s="1"/>
  <c r="BW12" i="5"/>
  <c r="CM12" i="5" s="1"/>
  <c r="EP43" i="5"/>
  <c r="FH58" i="5"/>
  <c r="FG58" i="5"/>
  <c r="FL58" i="5"/>
  <c r="EO25" i="5"/>
  <c r="EP25" i="5" s="1"/>
  <c r="EO27" i="5"/>
  <c r="EP27" i="5" s="1"/>
  <c r="EP87" i="5"/>
  <c r="EN52" i="5"/>
  <c r="EP81" i="5"/>
  <c r="EP86" i="5"/>
  <c r="EO84" i="5"/>
  <c r="EP84" i="5" s="1"/>
  <c r="EN80" i="5"/>
  <c r="EO80" i="5" s="1"/>
  <c r="EN55" i="5"/>
  <c r="EO45" i="5"/>
  <c r="EP45" i="5" s="1"/>
  <c r="DB42" i="5"/>
  <c r="DR42" i="5" s="1"/>
  <c r="FA42" i="5" s="1"/>
  <c r="FC42" i="5" s="1"/>
  <c r="FD42" i="5" s="1"/>
  <c r="GH42" i="5" s="1"/>
  <c r="BV42" i="5"/>
  <c r="CL42" i="5" s="1"/>
  <c r="GA42" i="5"/>
  <c r="BW42" i="5"/>
  <c r="CM42" i="5" s="1"/>
  <c r="BF42" i="5"/>
  <c r="DC42" i="5"/>
  <c r="DS42" i="5" s="1"/>
  <c r="GA20" i="5"/>
  <c r="DC20" i="5"/>
  <c r="DS20" i="5" s="1"/>
  <c r="BV20" i="5"/>
  <c r="CL20" i="5" s="1"/>
  <c r="DB20" i="5"/>
  <c r="DR20" i="5" s="1"/>
  <c r="FA20" i="5" s="1"/>
  <c r="FC20" i="5" s="1"/>
  <c r="FD20" i="5" s="1"/>
  <c r="GH20" i="5" s="1"/>
  <c r="BF20" i="5"/>
  <c r="BW20" i="5"/>
  <c r="CM20" i="5" s="1"/>
  <c r="GA23" i="5"/>
  <c r="DB23" i="5"/>
  <c r="DR23" i="5" s="1"/>
  <c r="FA23" i="5" s="1"/>
  <c r="FC23" i="5" s="1"/>
  <c r="FD23" i="5" s="1"/>
  <c r="GH23" i="5" s="1"/>
  <c r="BF23" i="5"/>
  <c r="BW23" i="5"/>
  <c r="CM23" i="5" s="1"/>
  <c r="BV23" i="5"/>
  <c r="CL23" i="5" s="1"/>
  <c r="DC23" i="5"/>
  <c r="DS23" i="5" s="1"/>
  <c r="GA19" i="5"/>
  <c r="BV19" i="5"/>
  <c r="CL19" i="5" s="1"/>
  <c r="DC19" i="5"/>
  <c r="DS19" i="5" s="1"/>
  <c r="BF19" i="5"/>
  <c r="DB19" i="5"/>
  <c r="DR19" i="5" s="1"/>
  <c r="FA19" i="5" s="1"/>
  <c r="FC19" i="5" s="1"/>
  <c r="FD19" i="5" s="1"/>
  <c r="GH19" i="5" s="1"/>
  <c r="BW19" i="5"/>
  <c r="CM19" i="5" s="1"/>
  <c r="EN73" i="5"/>
  <c r="EO73" i="5" s="1"/>
  <c r="FG57" i="5"/>
  <c r="FL57" i="5"/>
  <c r="FH57" i="5"/>
  <c r="EN71" i="5"/>
  <c r="EO71" i="5" s="1"/>
  <c r="DC28" i="5"/>
  <c r="DS28" i="5" s="1"/>
  <c r="BW28" i="5"/>
  <c r="CM28" i="5" s="1"/>
  <c r="DB28" i="5"/>
  <c r="DR28" i="5" s="1"/>
  <c r="FA28" i="5" s="1"/>
  <c r="FC28" i="5" s="1"/>
  <c r="FD28" i="5" s="1"/>
  <c r="GH28" i="5" s="1"/>
  <c r="BV28" i="5"/>
  <c r="CL28" i="5" s="1"/>
  <c r="GA28" i="5"/>
  <c r="EP40" i="5"/>
  <c r="EN70" i="5"/>
  <c r="EO70" i="5" s="1"/>
  <c r="EN91" i="5"/>
  <c r="EN54" i="5"/>
  <c r="FL52" i="5"/>
  <c r="FG52" i="5"/>
  <c r="FH52" i="5"/>
  <c r="FL76" i="5"/>
  <c r="GB76" i="5" s="1"/>
  <c r="FH76" i="5"/>
  <c r="FG76" i="5"/>
  <c r="GA16" i="5"/>
  <c r="DC16" i="5"/>
  <c r="DS16" i="5" s="1"/>
  <c r="BV16" i="5"/>
  <c r="CL16" i="5" s="1"/>
  <c r="DB16" i="5"/>
  <c r="DR16" i="5" s="1"/>
  <c r="FA16" i="5" s="1"/>
  <c r="FC16" i="5" s="1"/>
  <c r="FD16" i="5" s="1"/>
  <c r="GH16" i="5" s="1"/>
  <c r="BW16" i="5"/>
  <c r="CM16" i="5" s="1"/>
  <c r="EN56" i="5"/>
  <c r="EO56" i="5" s="1"/>
  <c r="FG63" i="5"/>
  <c r="FH63" i="5"/>
  <c r="FL63" i="5"/>
  <c r="GB63" i="5" s="1"/>
  <c r="EO75" i="5"/>
  <c r="EP75" i="5" s="1"/>
  <c r="FH56" i="5"/>
  <c r="FG56" i="5"/>
  <c r="FL56" i="5"/>
  <c r="EP66" i="5"/>
  <c r="FH72" i="5"/>
  <c r="FG72" i="5"/>
  <c r="FL72" i="5"/>
  <c r="GB72" i="5" s="1"/>
  <c r="EP33" i="5"/>
  <c r="EO51" i="5"/>
  <c r="EP51" i="5" s="1"/>
  <c r="FL87" i="5"/>
  <c r="GB87" i="5" s="1"/>
  <c r="FH87" i="5"/>
  <c r="FG87" i="5"/>
  <c r="EO50" i="5"/>
  <c r="EP50" i="5" s="1"/>
  <c r="GA46" i="5"/>
  <c r="BV46" i="5"/>
  <c r="CL46" i="5" s="1"/>
  <c r="DC46" i="5"/>
  <c r="DS46" i="5" s="1"/>
  <c r="DB46" i="5"/>
  <c r="DR46" i="5" s="1"/>
  <c r="FA46" i="5" s="1"/>
  <c r="FC46" i="5" s="1"/>
  <c r="FD46" i="5" s="1"/>
  <c r="GH46" i="5" s="1"/>
  <c r="BW46" i="5"/>
  <c r="CM46" i="5" s="1"/>
  <c r="EN37" i="5"/>
  <c r="EO26" i="5"/>
  <c r="EP26" i="5" s="1"/>
  <c r="FL74" i="5"/>
  <c r="GB74" i="5" s="1"/>
  <c r="FH74" i="5"/>
  <c r="FG74" i="5"/>
  <c r="FH49" i="5"/>
  <c r="FG49" i="5"/>
  <c r="FL49" i="5"/>
  <c r="EN68" i="5"/>
  <c r="EO68" i="5" s="1"/>
  <c r="EN95" i="5"/>
  <c r="EO95" i="5" s="1"/>
  <c r="EN62" i="5"/>
  <c r="EO62" i="5" s="1"/>
  <c r="EO21" i="5"/>
  <c r="EP21" i="5" s="1"/>
  <c r="EO17" i="5"/>
  <c r="EP17" i="5" s="1"/>
  <c r="EP77" i="5"/>
  <c r="EO74" i="5"/>
  <c r="EP74" i="5" s="1"/>
  <c r="FH54" i="5"/>
  <c r="FG54" i="5"/>
  <c r="FL54" i="5"/>
  <c r="EN58" i="5"/>
  <c r="EO58" i="5" s="1"/>
  <c r="EN65" i="5"/>
  <c r="EN10" i="5"/>
  <c r="GA24" i="5"/>
  <c r="DB88" i="5"/>
  <c r="DR88" i="5" s="1"/>
  <c r="FA88" i="5" s="1"/>
  <c r="FC88" i="5" s="1"/>
  <c r="FD88" i="5" s="1"/>
  <c r="GH88" i="5" s="1"/>
  <c r="BV88" i="5"/>
  <c r="CL88" i="5" s="1"/>
  <c r="BW88" i="5"/>
  <c r="CM88" i="5" s="1"/>
  <c r="DC88" i="5"/>
  <c r="DS88" i="5" s="1"/>
  <c r="FH73" i="5"/>
  <c r="FL73" i="5"/>
  <c r="GB73" i="5" s="1"/>
  <c r="FG73" i="5"/>
  <c r="GH61" i="5"/>
  <c r="FG62" i="5"/>
  <c r="FL62" i="5"/>
  <c r="GB62" i="5" s="1"/>
  <c r="FH62" i="5"/>
  <c r="EN41" i="5"/>
  <c r="EO41" i="5" s="1"/>
  <c r="DC32" i="5"/>
  <c r="DS32" i="5" s="1"/>
  <c r="DB32" i="5"/>
  <c r="DR32" i="5" s="1"/>
  <c r="FA32" i="5" s="1"/>
  <c r="FC32" i="5" s="1"/>
  <c r="FD32" i="5" s="1"/>
  <c r="GH32" i="5" s="1"/>
  <c r="BF32" i="5"/>
  <c r="GA32" i="5"/>
  <c r="BW32" i="5"/>
  <c r="CM32" i="5" s="1"/>
  <c r="BV32" i="5"/>
  <c r="CL32" i="5" s="1"/>
  <c r="FL77" i="5"/>
  <c r="GB77" i="5" s="1"/>
  <c r="FH77" i="5"/>
  <c r="FG77" i="5"/>
  <c r="BF14" i="5"/>
  <c r="BW14" i="5"/>
  <c r="CM14" i="5" s="1"/>
  <c r="GA14" i="5"/>
  <c r="DC14" i="5"/>
  <c r="DS14" i="5" s="1"/>
  <c r="DB14" i="5"/>
  <c r="DR14" i="5" s="1"/>
  <c r="FA14" i="5" s="1"/>
  <c r="FC14" i="5" s="1"/>
  <c r="FD14" i="5" s="1"/>
  <c r="GH14" i="5" s="1"/>
  <c r="BV14" i="5"/>
  <c r="CL14" i="5" s="1"/>
  <c r="EO72" i="5"/>
  <c r="EP72" i="5" s="1"/>
  <c r="FG79" i="5"/>
  <c r="FH79" i="5"/>
  <c r="FL79" i="5"/>
  <c r="GB79" i="5" s="1"/>
  <c r="EO85" i="5"/>
  <c r="EP85" i="5" s="1"/>
  <c r="EO93" i="5"/>
  <c r="EP93" i="5" s="1"/>
  <c r="EO13" i="5"/>
  <c r="EP13" i="5" s="1"/>
  <c r="EO29" i="5"/>
  <c r="EP29" i="5" s="1"/>
  <c r="EP53" i="5"/>
  <c r="EO31" i="5"/>
  <c r="EP31" i="5" s="1"/>
  <c r="FL55" i="5"/>
  <c r="FH55" i="5"/>
  <c r="FG55" i="5"/>
  <c r="GA34" i="5"/>
  <c r="BV34" i="5"/>
  <c r="CL34" i="5" s="1"/>
  <c r="DC34" i="5"/>
  <c r="DS34" i="5" s="1"/>
  <c r="DB34" i="5"/>
  <c r="DR34" i="5" s="1"/>
  <c r="FA34" i="5" s="1"/>
  <c r="FC34" i="5" s="1"/>
  <c r="FD34" i="5" s="1"/>
  <c r="GH34" i="5" s="1"/>
  <c r="BW34" i="5"/>
  <c r="CM34" i="5" s="1"/>
  <c r="FG70" i="5"/>
  <c r="FH70" i="5"/>
  <c r="FL70" i="5"/>
  <c r="GB70" i="5" s="1"/>
  <c r="EN36" i="5"/>
  <c r="EP69" i="5"/>
  <c r="EP38" i="5"/>
  <c r="EO47" i="5"/>
  <c r="EP47" i="5" s="1"/>
  <c r="FH80" i="5"/>
  <c r="FG80" i="5"/>
  <c r="FL80" i="5"/>
  <c r="GB80" i="5" s="1"/>
  <c r="EN48" i="5"/>
  <c r="EN57" i="5"/>
  <c r="BW9" i="5" l="1"/>
  <c r="CM9" i="5" s="1"/>
  <c r="BV9" i="5"/>
  <c r="CL9" i="5" s="1"/>
  <c r="FM9" i="5" s="1"/>
  <c r="AX29" i="5"/>
  <c r="AY29" i="5"/>
  <c r="BV15" i="5"/>
  <c r="CL15" i="5" s="1"/>
  <c r="AX15" i="5"/>
  <c r="AY15" i="5"/>
  <c r="AX13" i="5"/>
  <c r="AY13" i="5"/>
  <c r="AY40" i="5"/>
  <c r="AX40" i="5"/>
  <c r="GA77" i="5"/>
  <c r="AX77" i="5"/>
  <c r="AY77" i="5"/>
  <c r="AX51" i="5"/>
  <c r="BF51" i="5" s="1"/>
  <c r="AY51" i="5"/>
  <c r="GA87" i="5"/>
  <c r="AX87" i="5"/>
  <c r="BF87" i="5" s="1"/>
  <c r="AY87" i="5"/>
  <c r="AX50" i="5"/>
  <c r="AY50" i="5"/>
  <c r="GA84" i="5"/>
  <c r="AY84" i="5"/>
  <c r="AX84" i="5"/>
  <c r="BF84" i="5" s="1"/>
  <c r="DB44" i="5"/>
  <c r="DR44" i="5" s="1"/>
  <c r="FA44" i="5" s="1"/>
  <c r="FC44" i="5" s="1"/>
  <c r="FD44" i="5" s="1"/>
  <c r="GH44" i="5" s="1"/>
  <c r="AY44" i="5"/>
  <c r="AX44" i="5"/>
  <c r="GA81" i="5"/>
  <c r="AX81" i="5"/>
  <c r="AY81" i="5"/>
  <c r="AX47" i="5"/>
  <c r="BF47" i="5" s="1"/>
  <c r="AY47" i="5"/>
  <c r="AX17" i="5"/>
  <c r="BF17" i="5" s="1"/>
  <c r="AY17" i="5"/>
  <c r="AX33" i="5"/>
  <c r="AY33" i="5"/>
  <c r="GA75" i="5"/>
  <c r="AX75" i="5"/>
  <c r="BF75" i="5" s="1"/>
  <c r="AY75" i="5"/>
  <c r="AX45" i="5"/>
  <c r="BF45" i="5" s="1"/>
  <c r="AY45" i="5"/>
  <c r="AY27" i="5"/>
  <c r="AX27" i="5"/>
  <c r="AX26" i="5"/>
  <c r="AY26" i="5"/>
  <c r="GA93" i="5"/>
  <c r="AX93" i="5"/>
  <c r="AY93" i="5"/>
  <c r="AX43" i="5"/>
  <c r="BF43" i="5" s="1"/>
  <c r="AY43" i="5"/>
  <c r="GA74" i="5"/>
  <c r="AX74" i="5"/>
  <c r="AY74" i="5"/>
  <c r="AX38" i="5"/>
  <c r="BF38" i="5" s="1"/>
  <c r="AY38" i="5"/>
  <c r="AX31" i="5"/>
  <c r="BF31" i="5" s="1"/>
  <c r="AY31" i="5"/>
  <c r="AX21" i="5"/>
  <c r="BF21" i="5" s="1"/>
  <c r="AY21" i="5"/>
  <c r="AX25" i="5"/>
  <c r="AY25" i="5"/>
  <c r="BW15" i="5"/>
  <c r="CM15" i="5" s="1"/>
  <c r="DB24" i="5"/>
  <c r="DR24" i="5" s="1"/>
  <c r="FA24" i="5" s="1"/>
  <c r="FC24" i="5" s="1"/>
  <c r="FD24" i="5" s="1"/>
  <c r="GH24" i="5" s="1"/>
  <c r="AY24" i="5"/>
  <c r="EQ24" i="5" s="1"/>
  <c r="ER24" i="5" s="1"/>
  <c r="ES24" i="5" s="1"/>
  <c r="AX24" i="5"/>
  <c r="BF24" i="5" s="1"/>
  <c r="GA69" i="5"/>
  <c r="AX69" i="5"/>
  <c r="AY69" i="5"/>
  <c r="GA66" i="5"/>
  <c r="AX66" i="5"/>
  <c r="BF66" i="5" s="1"/>
  <c r="AY66" i="5"/>
  <c r="GA86" i="5"/>
  <c r="AX86" i="5"/>
  <c r="BF86" i="5" s="1"/>
  <c r="AY86" i="5"/>
  <c r="GA85" i="5"/>
  <c r="AX85" i="5"/>
  <c r="AY85" i="5"/>
  <c r="AX53" i="5"/>
  <c r="BF53" i="5" s="1"/>
  <c r="AY53" i="5"/>
  <c r="GA72" i="5"/>
  <c r="AY72" i="5"/>
  <c r="AX72" i="5"/>
  <c r="BF72" i="5" s="1"/>
  <c r="AX83" i="5"/>
  <c r="AY83" i="5"/>
  <c r="EQ83" i="5" s="1"/>
  <c r="ER83" i="5" s="1"/>
  <c r="ES83" i="5" s="1"/>
  <c r="AX30" i="5"/>
  <c r="BF30" i="5" s="1"/>
  <c r="AY30" i="5"/>
  <c r="EQ30" i="5" s="1"/>
  <c r="ER30" i="5" s="1"/>
  <c r="ES30" i="5" s="1"/>
  <c r="DB15" i="5"/>
  <c r="DR15" i="5" s="1"/>
  <c r="FA15" i="5" s="1"/>
  <c r="FC15" i="5" s="1"/>
  <c r="FD15" i="5" s="1"/>
  <c r="GH15" i="5" s="1"/>
  <c r="EO90" i="5"/>
  <c r="EP90" i="5" s="1"/>
  <c r="BW90" i="5" s="1"/>
  <c r="CM90" i="5" s="1"/>
  <c r="EO92" i="5"/>
  <c r="EP92" i="5" s="1"/>
  <c r="DB30" i="5"/>
  <c r="DR30" i="5" s="1"/>
  <c r="FA30" i="5" s="1"/>
  <c r="FC30" i="5" s="1"/>
  <c r="FD30" i="5" s="1"/>
  <c r="GH30" i="5" s="1"/>
  <c r="BW24" i="5"/>
  <c r="CM24" i="5" s="1"/>
  <c r="BW30" i="5"/>
  <c r="CM30" i="5" s="1"/>
  <c r="BV24" i="5"/>
  <c r="CL24" i="5" s="1"/>
  <c r="EO82" i="5"/>
  <c r="EP82" i="5" s="1"/>
  <c r="GA30" i="5"/>
  <c r="BF15" i="5"/>
  <c r="BV30" i="5"/>
  <c r="CL30" i="5" s="1"/>
  <c r="FF30" i="5" s="1"/>
  <c r="DC24" i="5"/>
  <c r="DS24" i="5" s="1"/>
  <c r="DC15" i="5"/>
  <c r="DS15" i="5" s="1"/>
  <c r="DC30" i="5"/>
  <c r="DS30" i="5" s="1"/>
  <c r="GA15" i="5"/>
  <c r="DC83" i="5"/>
  <c r="DS83" i="5" s="1"/>
  <c r="GA83" i="5"/>
  <c r="BG44" i="5"/>
  <c r="DC44" i="5"/>
  <c r="DS44" i="5" s="1"/>
  <c r="BW44" i="5"/>
  <c r="CM44" i="5" s="1"/>
  <c r="BF44" i="5"/>
  <c r="BV44" i="5"/>
  <c r="CL44" i="5" s="1"/>
  <c r="FF44" i="5" s="1"/>
  <c r="GA44" i="5"/>
  <c r="BW83" i="5"/>
  <c r="CM83" i="5" s="1"/>
  <c r="GB49" i="5"/>
  <c r="GB55" i="5"/>
  <c r="BV83" i="5"/>
  <c r="CL83" i="5" s="1"/>
  <c r="FM83" i="5" s="1"/>
  <c r="GC83" i="5" s="1"/>
  <c r="BF83" i="5"/>
  <c r="GB52" i="5"/>
  <c r="GB56" i="5"/>
  <c r="DB83" i="5"/>
  <c r="DR83" i="5" s="1"/>
  <c r="FA83" i="5" s="1"/>
  <c r="FC83" i="5" s="1"/>
  <c r="FD83" i="5" s="1"/>
  <c r="GH83" i="5" s="1"/>
  <c r="GB54" i="5"/>
  <c r="EO64" i="5"/>
  <c r="EP64" i="5" s="1"/>
  <c r="GB58" i="5"/>
  <c r="GB48" i="5"/>
  <c r="GB57" i="5"/>
  <c r="EN94" i="5"/>
  <c r="EO94" i="5" s="1"/>
  <c r="EP94" i="5" s="1"/>
  <c r="GA27" i="5"/>
  <c r="DB27" i="5"/>
  <c r="DR27" i="5" s="1"/>
  <c r="FA27" i="5" s="1"/>
  <c r="FC27" i="5" s="1"/>
  <c r="FD27" i="5" s="1"/>
  <c r="GH27" i="5" s="1"/>
  <c r="DC27" i="5"/>
  <c r="DS27" i="5" s="1"/>
  <c r="BF27" i="5"/>
  <c r="BV27" i="5"/>
  <c r="CL27" i="5" s="1"/>
  <c r="BW27" i="5"/>
  <c r="CM27" i="5" s="1"/>
  <c r="GA13" i="5"/>
  <c r="DB13" i="5"/>
  <c r="DR13" i="5" s="1"/>
  <c r="FA13" i="5" s="1"/>
  <c r="FC13" i="5" s="1"/>
  <c r="FD13" i="5" s="1"/>
  <c r="GH13" i="5" s="1"/>
  <c r="BW13" i="5"/>
  <c r="CM13" i="5" s="1"/>
  <c r="DC13" i="5"/>
  <c r="DS13" i="5" s="1"/>
  <c r="BV13" i="5"/>
  <c r="CL13" i="5" s="1"/>
  <c r="BF13" i="5"/>
  <c r="GA17" i="5"/>
  <c r="DB17" i="5"/>
  <c r="DR17" i="5" s="1"/>
  <c r="FA17" i="5" s="1"/>
  <c r="FC17" i="5" s="1"/>
  <c r="FD17" i="5" s="1"/>
  <c r="GH17" i="5" s="1"/>
  <c r="DC17" i="5"/>
  <c r="DS17" i="5" s="1"/>
  <c r="BV17" i="5"/>
  <c r="CL17" i="5" s="1"/>
  <c r="BW17" i="5"/>
  <c r="CM17" i="5" s="1"/>
  <c r="BF93" i="5"/>
  <c r="DC93" i="5"/>
  <c r="DS93" i="5" s="1"/>
  <c r="BV93" i="5"/>
  <c r="CL93" i="5" s="1"/>
  <c r="DB93" i="5"/>
  <c r="DR93" i="5" s="1"/>
  <c r="FA93" i="5" s="1"/>
  <c r="FC93" i="5" s="1"/>
  <c r="FD93" i="5" s="1"/>
  <c r="GH93" i="5" s="1"/>
  <c r="BW93" i="5"/>
  <c r="CM93" i="5" s="1"/>
  <c r="GA21" i="5"/>
  <c r="DB21" i="5"/>
  <c r="DR21" i="5" s="1"/>
  <c r="FA21" i="5" s="1"/>
  <c r="FC21" i="5" s="1"/>
  <c r="FD21" i="5" s="1"/>
  <c r="GH21" i="5" s="1"/>
  <c r="DC21" i="5"/>
  <c r="DS21" i="5" s="1"/>
  <c r="BV21" i="5"/>
  <c r="CL21" i="5" s="1"/>
  <c r="BW21" i="5"/>
  <c r="CM21" i="5" s="1"/>
  <c r="GA31" i="5"/>
  <c r="BW31" i="5"/>
  <c r="CM31" i="5" s="1"/>
  <c r="DC31" i="5"/>
  <c r="DS31" i="5" s="1"/>
  <c r="DB31" i="5"/>
  <c r="DR31" i="5" s="1"/>
  <c r="FA31" i="5" s="1"/>
  <c r="FC31" i="5" s="1"/>
  <c r="FD31" i="5" s="1"/>
  <c r="GH31" i="5" s="1"/>
  <c r="BV31" i="5"/>
  <c r="CL31" i="5" s="1"/>
  <c r="BW85" i="5"/>
  <c r="CM85" i="5" s="1"/>
  <c r="DC85" i="5"/>
  <c r="DS85" i="5" s="1"/>
  <c r="BV85" i="5"/>
  <c r="CL85" i="5" s="1"/>
  <c r="DB85" i="5"/>
  <c r="DR85" i="5" s="1"/>
  <c r="FA85" i="5" s="1"/>
  <c r="FC85" i="5" s="1"/>
  <c r="FD85" i="5" s="1"/>
  <c r="GH85" i="5" s="1"/>
  <c r="BF85" i="5"/>
  <c r="GA45" i="5"/>
  <c r="BV45" i="5"/>
  <c r="CL45" i="5" s="1"/>
  <c r="DB45" i="5"/>
  <c r="DR45" i="5" s="1"/>
  <c r="FA45" i="5" s="1"/>
  <c r="FC45" i="5" s="1"/>
  <c r="FD45" i="5" s="1"/>
  <c r="GH45" i="5" s="1"/>
  <c r="BW45" i="5"/>
  <c r="CM45" i="5" s="1"/>
  <c r="DC45" i="5"/>
  <c r="DS45" i="5" s="1"/>
  <c r="GA9" i="5"/>
  <c r="AY9" i="5"/>
  <c r="DB9" i="5"/>
  <c r="DR9" i="5" s="1"/>
  <c r="FA9" i="5" s="1"/>
  <c r="FC9" i="5" s="1"/>
  <c r="FD9" i="5" s="1"/>
  <c r="GH9" i="5" s="1"/>
  <c r="AX9" i="5"/>
  <c r="BF9" i="5" s="1"/>
  <c r="DC9" i="5"/>
  <c r="DS9" i="5" s="1"/>
  <c r="BV29" i="5"/>
  <c r="CL29" i="5" s="1"/>
  <c r="DC29" i="5"/>
  <c r="DS29" i="5" s="1"/>
  <c r="GA29" i="5"/>
  <c r="BF29" i="5"/>
  <c r="BW29" i="5"/>
  <c r="CM29" i="5" s="1"/>
  <c r="DB29" i="5"/>
  <c r="DR29" i="5" s="1"/>
  <c r="FA29" i="5" s="1"/>
  <c r="FC29" i="5" s="1"/>
  <c r="FD29" i="5" s="1"/>
  <c r="GH29" i="5" s="1"/>
  <c r="DC72" i="5"/>
  <c r="DS72" i="5" s="1"/>
  <c r="DB72" i="5"/>
  <c r="DR72" i="5" s="1"/>
  <c r="FA72" i="5" s="1"/>
  <c r="FC72" i="5" s="1"/>
  <c r="FD72" i="5" s="1"/>
  <c r="GH72" i="5" s="1"/>
  <c r="BW72" i="5"/>
  <c r="CM72" i="5" s="1"/>
  <c r="BV72" i="5"/>
  <c r="CL72" i="5" s="1"/>
  <c r="BF74" i="5"/>
  <c r="DC74" i="5"/>
  <c r="DS74" i="5" s="1"/>
  <c r="DB74" i="5"/>
  <c r="DR74" i="5" s="1"/>
  <c r="FA74" i="5" s="1"/>
  <c r="FC74" i="5" s="1"/>
  <c r="FD74" i="5" s="1"/>
  <c r="GH74" i="5" s="1"/>
  <c r="BV74" i="5"/>
  <c r="CL74" i="5" s="1"/>
  <c r="BW74" i="5"/>
  <c r="CM74" i="5" s="1"/>
  <c r="GA26" i="5"/>
  <c r="DC26" i="5"/>
  <c r="DS26" i="5" s="1"/>
  <c r="DB26" i="5"/>
  <c r="DR26" i="5" s="1"/>
  <c r="FA26" i="5" s="1"/>
  <c r="FC26" i="5" s="1"/>
  <c r="FD26" i="5" s="1"/>
  <c r="GH26" i="5" s="1"/>
  <c r="BV26" i="5"/>
  <c r="CL26" i="5" s="1"/>
  <c r="BF26" i="5"/>
  <c r="BW26" i="5"/>
  <c r="CM26" i="5" s="1"/>
  <c r="GA47" i="5"/>
  <c r="DC47" i="5"/>
  <c r="DS47" i="5" s="1"/>
  <c r="DB47" i="5"/>
  <c r="DR47" i="5" s="1"/>
  <c r="FA47" i="5" s="1"/>
  <c r="FC47" i="5" s="1"/>
  <c r="FD47" i="5" s="1"/>
  <c r="GH47" i="5" s="1"/>
  <c r="BV47" i="5"/>
  <c r="CL47" i="5" s="1"/>
  <c r="BW47" i="5"/>
  <c r="CM47" i="5" s="1"/>
  <c r="BF25" i="5"/>
  <c r="GA25" i="5"/>
  <c r="BW25" i="5"/>
  <c r="CM25" i="5" s="1"/>
  <c r="BV25" i="5"/>
  <c r="CL25" i="5" s="1"/>
  <c r="DB25" i="5"/>
  <c r="DR25" i="5" s="1"/>
  <c r="FA25" i="5" s="1"/>
  <c r="FC25" i="5" s="1"/>
  <c r="FD25" i="5" s="1"/>
  <c r="GH25" i="5" s="1"/>
  <c r="DC25" i="5"/>
  <c r="DS25" i="5" s="1"/>
  <c r="BV69" i="5"/>
  <c r="CL69" i="5" s="1"/>
  <c r="DB69" i="5"/>
  <c r="DR69" i="5" s="1"/>
  <c r="FA69" i="5" s="1"/>
  <c r="FC69" i="5" s="1"/>
  <c r="FD69" i="5" s="1"/>
  <c r="GH69" i="5" s="1"/>
  <c r="BW69" i="5"/>
  <c r="CM69" i="5" s="1"/>
  <c r="DC69" i="5"/>
  <c r="DS69" i="5" s="1"/>
  <c r="BF69" i="5"/>
  <c r="GA50" i="5"/>
  <c r="BV50" i="5"/>
  <c r="CL50" i="5" s="1"/>
  <c r="DC50" i="5"/>
  <c r="DS50" i="5" s="1"/>
  <c r="BW50" i="5"/>
  <c r="CM50" i="5" s="1"/>
  <c r="BF50" i="5"/>
  <c r="DB50" i="5"/>
  <c r="DR50" i="5" s="1"/>
  <c r="FA50" i="5" s="1"/>
  <c r="FC50" i="5" s="1"/>
  <c r="FD50" i="5" s="1"/>
  <c r="GH50" i="5" s="1"/>
  <c r="GC61" i="5"/>
  <c r="FM88" i="5"/>
  <c r="GC88" i="5" s="1"/>
  <c r="FF88" i="5"/>
  <c r="DB77" i="5"/>
  <c r="DR77" i="5" s="1"/>
  <c r="FA77" i="5" s="1"/>
  <c r="FC77" i="5" s="1"/>
  <c r="FD77" i="5" s="1"/>
  <c r="GH77" i="5" s="1"/>
  <c r="BV77" i="5"/>
  <c r="CL77" i="5" s="1"/>
  <c r="DC77" i="5"/>
  <c r="DS77" i="5" s="1"/>
  <c r="BF77" i="5"/>
  <c r="BW77" i="5"/>
  <c r="CM77" i="5" s="1"/>
  <c r="FM35" i="5"/>
  <c r="FF35" i="5"/>
  <c r="FF39" i="5"/>
  <c r="FM39" i="5"/>
  <c r="GJ61" i="5"/>
  <c r="EP58" i="5"/>
  <c r="EP95" i="5"/>
  <c r="FM46" i="5"/>
  <c r="FF46" i="5"/>
  <c r="FM16" i="5"/>
  <c r="FF16" i="5"/>
  <c r="GA40" i="5"/>
  <c r="BW40" i="5"/>
  <c r="CM40" i="5" s="1"/>
  <c r="BV40" i="5"/>
  <c r="CL40" i="5" s="1"/>
  <c r="DB40" i="5"/>
  <c r="DR40" i="5" s="1"/>
  <c r="FA40" i="5" s="1"/>
  <c r="FC40" i="5" s="1"/>
  <c r="FD40" i="5" s="1"/>
  <c r="GH40" i="5" s="1"/>
  <c r="DC40" i="5"/>
  <c r="DS40" i="5" s="1"/>
  <c r="BF40" i="5"/>
  <c r="EP71" i="5"/>
  <c r="FF23" i="5"/>
  <c r="FM23" i="5"/>
  <c r="EQ20" i="5"/>
  <c r="ER20" i="5" s="1"/>
  <c r="ES20" i="5" s="1"/>
  <c r="BG20" i="5"/>
  <c r="EU20" i="5" s="1"/>
  <c r="EV20" i="5" s="1"/>
  <c r="GJ20" i="5" s="1"/>
  <c r="FM42" i="5"/>
  <c r="FF42" i="5"/>
  <c r="EP80" i="5"/>
  <c r="DC87" i="5"/>
  <c r="DS87" i="5" s="1"/>
  <c r="BW87" i="5"/>
  <c r="CM87" i="5" s="1"/>
  <c r="BV87" i="5"/>
  <c r="CL87" i="5" s="1"/>
  <c r="DB87" i="5"/>
  <c r="DR87" i="5" s="1"/>
  <c r="FA87" i="5" s="1"/>
  <c r="FC87" i="5" s="1"/>
  <c r="FD87" i="5" s="1"/>
  <c r="GH87" i="5" s="1"/>
  <c r="FF12" i="5"/>
  <c r="FM12" i="5"/>
  <c r="FF11" i="5"/>
  <c r="FM11" i="5"/>
  <c r="FF22" i="5"/>
  <c r="FM22" i="5"/>
  <c r="EQ46" i="5"/>
  <c r="ER46" i="5" s="1"/>
  <c r="ES46" i="5" s="1"/>
  <c r="BG46" i="5"/>
  <c r="EU46" i="5" s="1"/>
  <c r="EV46" i="5" s="1"/>
  <c r="GJ46" i="5" s="1"/>
  <c r="EP56" i="5"/>
  <c r="EO91" i="5"/>
  <c r="EP91" i="5" s="1"/>
  <c r="BW75" i="5"/>
  <c r="CM75" i="5" s="1"/>
  <c r="DC75" i="5"/>
  <c r="DS75" i="5" s="1"/>
  <c r="BV75" i="5"/>
  <c r="CL75" i="5" s="1"/>
  <c r="DB75" i="5"/>
  <c r="DR75" i="5" s="1"/>
  <c r="FA75" i="5" s="1"/>
  <c r="FC75" i="5" s="1"/>
  <c r="FD75" i="5" s="1"/>
  <c r="GH75" i="5" s="1"/>
  <c r="FF19" i="5"/>
  <c r="FM19" i="5"/>
  <c r="EO78" i="5"/>
  <c r="EP78" i="5" s="1"/>
  <c r="EQ11" i="5"/>
  <c r="ER11" i="5" s="1"/>
  <c r="ES11" i="5" s="1"/>
  <c r="BG11" i="5"/>
  <c r="EU11" i="5" s="1"/>
  <c r="EV11" i="5" s="1"/>
  <c r="GJ11" i="5" s="1"/>
  <c r="EQ39" i="5"/>
  <c r="ER39" i="5" s="1"/>
  <c r="ES39" i="5" s="1"/>
  <c r="BG39" i="5"/>
  <c r="EU39" i="5" s="1"/>
  <c r="EV39" i="5" s="1"/>
  <c r="GJ39" i="5" s="1"/>
  <c r="EP79" i="5"/>
  <c r="EP68" i="5"/>
  <c r="EP89" i="5"/>
  <c r="GA51" i="5"/>
  <c r="DC51" i="5"/>
  <c r="DS51" i="5" s="1"/>
  <c r="BW51" i="5"/>
  <c r="CM51" i="5" s="1"/>
  <c r="DB51" i="5"/>
  <c r="DR51" i="5" s="1"/>
  <c r="FA51" i="5" s="1"/>
  <c r="FC51" i="5" s="1"/>
  <c r="FD51" i="5" s="1"/>
  <c r="GH51" i="5" s="1"/>
  <c r="BV51" i="5"/>
  <c r="CL51" i="5" s="1"/>
  <c r="EP70" i="5"/>
  <c r="FM28" i="5"/>
  <c r="FF28" i="5"/>
  <c r="EP73" i="5"/>
  <c r="EQ19" i="5"/>
  <c r="ER19" i="5" s="1"/>
  <c r="ES19" i="5" s="1"/>
  <c r="BG19" i="5"/>
  <c r="EU19" i="5" s="1"/>
  <c r="EV19" i="5" s="1"/>
  <c r="GJ19" i="5" s="1"/>
  <c r="EP67" i="5"/>
  <c r="FF18" i="5"/>
  <c r="FM18" i="5"/>
  <c r="EQ12" i="5"/>
  <c r="ER12" i="5" s="1"/>
  <c r="ES12" i="5" s="1"/>
  <c r="BG12" i="5"/>
  <c r="EU12" i="5" s="1"/>
  <c r="EV12" i="5" s="1"/>
  <c r="GJ12" i="5" s="1"/>
  <c r="FF15" i="5"/>
  <c r="FM15" i="5"/>
  <c r="EQ14" i="5"/>
  <c r="ER14" i="5" s="1"/>
  <c r="ES14" i="5" s="1"/>
  <c r="BG14" i="5"/>
  <c r="EU14" i="5" s="1"/>
  <c r="EV14" i="5" s="1"/>
  <c r="GJ14" i="5" s="1"/>
  <c r="FM44" i="5"/>
  <c r="EP76" i="5"/>
  <c r="EQ34" i="5"/>
  <c r="ER34" i="5" s="1"/>
  <c r="ES34" i="5" s="1"/>
  <c r="BG34" i="5"/>
  <c r="EU34" i="5" s="1"/>
  <c r="EV34" i="5" s="1"/>
  <c r="GJ34" i="5" s="1"/>
  <c r="DC86" i="5"/>
  <c r="DS86" i="5" s="1"/>
  <c r="DB86" i="5"/>
  <c r="DR86" i="5" s="1"/>
  <c r="FA86" i="5" s="1"/>
  <c r="FC86" i="5" s="1"/>
  <c r="FD86" i="5" s="1"/>
  <c r="GH86" i="5" s="1"/>
  <c r="BW86" i="5"/>
  <c r="CM86" i="5" s="1"/>
  <c r="BV86" i="5"/>
  <c r="CL86" i="5" s="1"/>
  <c r="EQ22" i="5"/>
  <c r="ER22" i="5" s="1"/>
  <c r="ES22" i="5" s="1"/>
  <c r="BG22" i="5"/>
  <c r="EU22" i="5" s="1"/>
  <c r="EV22" i="5" s="1"/>
  <c r="GJ22" i="5" s="1"/>
  <c r="FM34" i="5"/>
  <c r="FF34" i="5"/>
  <c r="BV33" i="5"/>
  <c r="CL33" i="5" s="1"/>
  <c r="GA33" i="5"/>
  <c r="DC33" i="5"/>
  <c r="DS33" i="5" s="1"/>
  <c r="BF33" i="5"/>
  <c r="DB33" i="5"/>
  <c r="DR33" i="5" s="1"/>
  <c r="FA33" i="5" s="1"/>
  <c r="FC33" i="5" s="1"/>
  <c r="FD33" i="5" s="1"/>
  <c r="GH33" i="5" s="1"/>
  <c r="BW33" i="5"/>
  <c r="CM33" i="5" s="1"/>
  <c r="EP49" i="5"/>
  <c r="EO36" i="5"/>
  <c r="EP36" i="5" s="1"/>
  <c r="FM14" i="5"/>
  <c r="FF14" i="5"/>
  <c r="EQ32" i="5"/>
  <c r="ER32" i="5" s="1"/>
  <c r="ES32" i="5" s="1"/>
  <c r="BG32" i="5"/>
  <c r="EU32" i="5" s="1"/>
  <c r="EV32" i="5" s="1"/>
  <c r="GJ32" i="5" s="1"/>
  <c r="EO10" i="5"/>
  <c r="EP10" i="5" s="1"/>
  <c r="EP62" i="5"/>
  <c r="BW66" i="5"/>
  <c r="CM66" i="5" s="1"/>
  <c r="BV66" i="5"/>
  <c r="CL66" i="5" s="1"/>
  <c r="DC66" i="5"/>
  <c r="DS66" i="5" s="1"/>
  <c r="DB66" i="5"/>
  <c r="DR66" i="5" s="1"/>
  <c r="FA66" i="5" s="1"/>
  <c r="FC66" i="5" s="1"/>
  <c r="FD66" i="5" s="1"/>
  <c r="GH66" i="5" s="1"/>
  <c r="EQ28" i="5"/>
  <c r="ER28" i="5" s="1"/>
  <c r="ES28" i="5" s="1"/>
  <c r="BG28" i="5"/>
  <c r="EU28" i="5" s="1"/>
  <c r="EV28" i="5" s="1"/>
  <c r="GJ28" i="5" s="1"/>
  <c r="FM20" i="5"/>
  <c r="FF20" i="5"/>
  <c r="DC81" i="5"/>
  <c r="DS81" i="5" s="1"/>
  <c r="BV81" i="5"/>
  <c r="CL81" i="5" s="1"/>
  <c r="DB81" i="5"/>
  <c r="DR81" i="5" s="1"/>
  <c r="FA81" i="5" s="1"/>
  <c r="FC81" i="5" s="1"/>
  <c r="FD81" i="5" s="1"/>
  <c r="GH81" i="5" s="1"/>
  <c r="BF81" i="5"/>
  <c r="BW81" i="5"/>
  <c r="CM81" i="5" s="1"/>
  <c r="BW84" i="5"/>
  <c r="CM84" i="5" s="1"/>
  <c r="DC84" i="5"/>
  <c r="DS84" i="5" s="1"/>
  <c r="BV84" i="5"/>
  <c r="CL84" i="5" s="1"/>
  <c r="DB84" i="5"/>
  <c r="DR84" i="5" s="1"/>
  <c r="FA84" i="5" s="1"/>
  <c r="FC84" i="5" s="1"/>
  <c r="FD84" i="5" s="1"/>
  <c r="GH84" i="5" s="1"/>
  <c r="EQ18" i="5"/>
  <c r="ER18" i="5" s="1"/>
  <c r="ES18" i="5" s="1"/>
  <c r="BG18" i="5"/>
  <c r="EU18" i="5" s="1"/>
  <c r="EV18" i="5" s="1"/>
  <c r="GJ18" i="5" s="1"/>
  <c r="GA53" i="5"/>
  <c r="DB53" i="5"/>
  <c r="DR53" i="5" s="1"/>
  <c r="FA53" i="5" s="1"/>
  <c r="FC53" i="5" s="1"/>
  <c r="FD53" i="5" s="1"/>
  <c r="GH53" i="5" s="1"/>
  <c r="BW53" i="5"/>
  <c r="CM53" i="5" s="1"/>
  <c r="BV53" i="5"/>
  <c r="CL53" i="5" s="1"/>
  <c r="DC53" i="5"/>
  <c r="DS53" i="5" s="1"/>
  <c r="BG83" i="5"/>
  <c r="EU83" i="5" s="1"/>
  <c r="EV83" i="5" s="1"/>
  <c r="GJ83" i="5" s="1"/>
  <c r="EO57" i="5"/>
  <c r="EP57" i="5" s="1"/>
  <c r="FM24" i="5"/>
  <c r="FF24" i="5"/>
  <c r="FF32" i="5"/>
  <c r="FM32" i="5"/>
  <c r="EP59" i="5"/>
  <c r="EQ16" i="5"/>
  <c r="ER16" i="5" s="1"/>
  <c r="ES16" i="5" s="1"/>
  <c r="BG16" i="5"/>
  <c r="EU16" i="5" s="1"/>
  <c r="EV16" i="5" s="1"/>
  <c r="GJ16" i="5" s="1"/>
  <c r="EO48" i="5"/>
  <c r="EP48" i="5" s="1"/>
  <c r="GA38" i="5"/>
  <c r="BW38" i="5"/>
  <c r="CM38" i="5" s="1"/>
  <c r="BV38" i="5"/>
  <c r="CL38" i="5" s="1"/>
  <c r="DC38" i="5"/>
  <c r="DS38" i="5" s="1"/>
  <c r="DB38" i="5"/>
  <c r="DR38" i="5" s="1"/>
  <c r="FA38" i="5" s="1"/>
  <c r="FC38" i="5" s="1"/>
  <c r="FD38" i="5" s="1"/>
  <c r="GH38" i="5" s="1"/>
  <c r="EP63" i="5"/>
  <c r="EP41" i="5"/>
  <c r="EQ88" i="5"/>
  <c r="ER88" i="5" s="1"/>
  <c r="ES88" i="5" s="1"/>
  <c r="BG88" i="5"/>
  <c r="EU88" i="5" s="1"/>
  <c r="EV88" i="5" s="1"/>
  <c r="GJ88" i="5" s="1"/>
  <c r="EO65" i="5"/>
  <c r="EP65" i="5" s="1"/>
  <c r="EO37" i="5"/>
  <c r="EP37" i="5" s="1"/>
  <c r="EO54" i="5"/>
  <c r="EP54" i="5" s="1"/>
  <c r="EQ23" i="5"/>
  <c r="ER23" i="5" s="1"/>
  <c r="ES23" i="5" s="1"/>
  <c r="BG23" i="5"/>
  <c r="EU23" i="5" s="1"/>
  <c r="EV23" i="5" s="1"/>
  <c r="GJ23" i="5" s="1"/>
  <c r="EQ42" i="5"/>
  <c r="ER42" i="5" s="1"/>
  <c r="ES42" i="5" s="1"/>
  <c r="BG42" i="5"/>
  <c r="EU42" i="5" s="1"/>
  <c r="EV42" i="5" s="1"/>
  <c r="GJ42" i="5" s="1"/>
  <c r="EO55" i="5"/>
  <c r="EP55" i="5" s="1"/>
  <c r="EO52" i="5"/>
  <c r="EP52" i="5" s="1"/>
  <c r="GA43" i="5"/>
  <c r="DC43" i="5"/>
  <c r="DS43" i="5" s="1"/>
  <c r="DB43" i="5"/>
  <c r="DR43" i="5" s="1"/>
  <c r="FA43" i="5" s="1"/>
  <c r="FC43" i="5" s="1"/>
  <c r="FD43" i="5" s="1"/>
  <c r="GH43" i="5" s="1"/>
  <c r="BV43" i="5"/>
  <c r="CL43" i="5" s="1"/>
  <c r="BW43" i="5"/>
  <c r="CM43" i="5" s="1"/>
  <c r="BG15" i="5"/>
  <c r="EQ35" i="5"/>
  <c r="ER35" i="5" s="1"/>
  <c r="ES35" i="5" s="1"/>
  <c r="BG35" i="5"/>
  <c r="EU35" i="5" s="1"/>
  <c r="EV35" i="5" s="1"/>
  <c r="GJ35" i="5" s="1"/>
  <c r="EU15" i="5" l="1"/>
  <c r="EV15" i="5" s="1"/>
  <c r="GJ15" i="5" s="1"/>
  <c r="BG30" i="5"/>
  <c r="DC90" i="5"/>
  <c r="DS90" i="5" s="1"/>
  <c r="EQ9" i="5"/>
  <c r="FN9" i="5"/>
  <c r="FO9" i="5" s="1"/>
  <c r="FP9" i="5"/>
  <c r="FQ9" i="5" s="1"/>
  <c r="FT9" i="5"/>
  <c r="FR9" i="5"/>
  <c r="GA91" i="5"/>
  <c r="AY91" i="5"/>
  <c r="AX91" i="5"/>
  <c r="GA92" i="5"/>
  <c r="AY92" i="5"/>
  <c r="AX92" i="5"/>
  <c r="BF92" i="5" s="1"/>
  <c r="EU30" i="5"/>
  <c r="EV30" i="5" s="1"/>
  <c r="GJ30" i="5" s="1"/>
  <c r="GA62" i="5"/>
  <c r="AX62" i="5"/>
  <c r="AY62" i="5"/>
  <c r="GA89" i="5"/>
  <c r="AY89" i="5"/>
  <c r="AX89" i="5"/>
  <c r="GA90" i="5"/>
  <c r="AX90" i="5"/>
  <c r="BF90" i="5" s="1"/>
  <c r="AY90" i="5"/>
  <c r="BG90" i="5" s="1"/>
  <c r="GA70" i="5"/>
  <c r="AX70" i="5"/>
  <c r="AY70" i="5"/>
  <c r="BV90" i="5"/>
  <c r="CL90" i="5" s="1"/>
  <c r="DB90" i="5"/>
  <c r="DR90" i="5" s="1"/>
  <c r="FA90" i="5" s="1"/>
  <c r="FC90" i="5" s="1"/>
  <c r="FD90" i="5" s="1"/>
  <c r="GH90" i="5" s="1"/>
  <c r="GA82" i="5"/>
  <c r="AX82" i="5"/>
  <c r="BF82" i="5" s="1"/>
  <c r="AY82" i="5"/>
  <c r="BG82" i="5" s="1"/>
  <c r="EU82" i="5" s="1"/>
  <c r="EV82" i="5" s="1"/>
  <c r="GJ82" i="5" s="1"/>
  <c r="AX41" i="5"/>
  <c r="AY41" i="5"/>
  <c r="AY48" i="5"/>
  <c r="AX48" i="5"/>
  <c r="AX57" i="5"/>
  <c r="AY57" i="5"/>
  <c r="GA67" i="5"/>
  <c r="AX67" i="5"/>
  <c r="BF67" i="5" s="1"/>
  <c r="AY67" i="5"/>
  <c r="GA94" i="5"/>
  <c r="AX94" i="5"/>
  <c r="AY94" i="5"/>
  <c r="AX55" i="5"/>
  <c r="AY55" i="5"/>
  <c r="GA95" i="5"/>
  <c r="AX95" i="5"/>
  <c r="BF95" i="5" s="1"/>
  <c r="AY95" i="5"/>
  <c r="GA63" i="5"/>
  <c r="AX63" i="5"/>
  <c r="AY63" i="5"/>
  <c r="BG24" i="5"/>
  <c r="AX49" i="5"/>
  <c r="AY49" i="5"/>
  <c r="GA65" i="5"/>
  <c r="AX65" i="5"/>
  <c r="AY65" i="5"/>
  <c r="AY56" i="5"/>
  <c r="AX56" i="5"/>
  <c r="AX58" i="5"/>
  <c r="AY58" i="5"/>
  <c r="GA71" i="5"/>
  <c r="AX71" i="5"/>
  <c r="BF71" i="5" s="1"/>
  <c r="AY71" i="5"/>
  <c r="AX37" i="5"/>
  <c r="AY37" i="5"/>
  <c r="GA78" i="5"/>
  <c r="AX78" i="5"/>
  <c r="AY78" i="5"/>
  <c r="BV64" i="5"/>
  <c r="CL64" i="5" s="1"/>
  <c r="FF64" i="5" s="1"/>
  <c r="AY64" i="5"/>
  <c r="EQ64" i="5" s="1"/>
  <c r="ER64" i="5" s="1"/>
  <c r="ES64" i="5" s="1"/>
  <c r="AX64" i="5"/>
  <c r="AX10" i="5"/>
  <c r="BF10" i="5" s="1"/>
  <c r="AY10" i="5"/>
  <c r="GA76" i="5"/>
  <c r="AY76" i="5"/>
  <c r="AX76" i="5"/>
  <c r="GA68" i="5"/>
  <c r="AY68" i="5"/>
  <c r="AX68" i="5"/>
  <c r="GA79" i="5"/>
  <c r="AX79" i="5"/>
  <c r="AY79" i="5"/>
  <c r="AY52" i="5"/>
  <c r="AX52" i="5"/>
  <c r="BF52" i="5" s="1"/>
  <c r="AX54" i="5"/>
  <c r="BF54" i="5" s="1"/>
  <c r="AY54" i="5"/>
  <c r="AY59" i="5"/>
  <c r="AX59" i="5"/>
  <c r="AX36" i="5"/>
  <c r="AY36" i="5"/>
  <c r="GA73" i="5"/>
  <c r="AX73" i="5"/>
  <c r="BF73" i="5" s="1"/>
  <c r="AY73" i="5"/>
  <c r="GA80" i="5"/>
  <c r="AY80" i="5"/>
  <c r="AX80" i="5"/>
  <c r="BV92" i="5"/>
  <c r="CL92" i="5" s="1"/>
  <c r="BW92" i="5"/>
  <c r="CM92" i="5" s="1"/>
  <c r="BV82" i="5"/>
  <c r="CL82" i="5" s="1"/>
  <c r="DC82" i="5"/>
  <c r="DS82" i="5" s="1"/>
  <c r="DB92" i="5"/>
  <c r="DR92" i="5" s="1"/>
  <c r="FA92" i="5" s="1"/>
  <c r="FC92" i="5" s="1"/>
  <c r="FD92" i="5" s="1"/>
  <c r="GH92" i="5" s="1"/>
  <c r="EU44" i="5"/>
  <c r="EV44" i="5" s="1"/>
  <c r="GJ44" i="5" s="1"/>
  <c r="DC92" i="5"/>
  <c r="DS92" i="5" s="1"/>
  <c r="FM30" i="5"/>
  <c r="GC30" i="5" s="1"/>
  <c r="EQ44" i="5"/>
  <c r="ER44" i="5" s="1"/>
  <c r="ES44" i="5" s="1"/>
  <c r="EQ15" i="5"/>
  <c r="ER15" i="5" s="1"/>
  <c r="ES15" i="5" s="1"/>
  <c r="DB82" i="5"/>
  <c r="DR82" i="5" s="1"/>
  <c r="FA82" i="5" s="1"/>
  <c r="FC82" i="5" s="1"/>
  <c r="FD82" i="5" s="1"/>
  <c r="GH82" i="5" s="1"/>
  <c r="EU24" i="5"/>
  <c r="EV24" i="5" s="1"/>
  <c r="GJ24" i="5" s="1"/>
  <c r="BW82" i="5"/>
  <c r="CM82" i="5" s="1"/>
  <c r="FF83" i="5"/>
  <c r="FI83" i="5" s="1"/>
  <c r="GF83" i="5" s="1"/>
  <c r="BF64" i="5"/>
  <c r="DB64" i="5"/>
  <c r="DR64" i="5" s="1"/>
  <c r="FA64" i="5" s="1"/>
  <c r="FC64" i="5" s="1"/>
  <c r="FD64" i="5" s="1"/>
  <c r="GH64" i="5" s="1"/>
  <c r="GA64" i="5"/>
  <c r="DC64" i="5"/>
  <c r="DS64" i="5" s="1"/>
  <c r="GC14" i="5"/>
  <c r="FR14" i="5"/>
  <c r="GC34" i="5"/>
  <c r="FR34" i="5"/>
  <c r="GC42" i="5"/>
  <c r="FR42" i="5"/>
  <c r="GC39" i="5"/>
  <c r="FR39" i="5"/>
  <c r="GC20" i="5"/>
  <c r="FR20" i="5"/>
  <c r="GC22" i="5"/>
  <c r="FR22" i="5"/>
  <c r="GC32" i="5"/>
  <c r="FR32" i="5"/>
  <c r="GC19" i="5"/>
  <c r="FR19" i="5"/>
  <c r="GC16" i="5"/>
  <c r="FR16" i="5"/>
  <c r="FR83" i="5"/>
  <c r="GC18" i="5"/>
  <c r="FR18" i="5"/>
  <c r="GC11" i="5"/>
  <c r="FR11" i="5"/>
  <c r="GC46" i="5"/>
  <c r="FR46" i="5"/>
  <c r="GC24" i="5"/>
  <c r="FR24" i="5"/>
  <c r="GC28" i="5"/>
  <c r="FR28" i="5"/>
  <c r="BW64" i="5"/>
  <c r="CM64" i="5" s="1"/>
  <c r="GC44" i="5"/>
  <c r="FR44" i="5"/>
  <c r="GC15" i="5"/>
  <c r="FR15" i="5"/>
  <c r="GC12" i="5"/>
  <c r="FR12" i="5"/>
  <c r="GC23" i="5"/>
  <c r="FR23" i="5"/>
  <c r="GC35" i="5"/>
  <c r="FR35" i="5"/>
  <c r="FR88" i="5"/>
  <c r="FT14" i="5"/>
  <c r="FU14" i="5" s="1"/>
  <c r="FP14" i="5"/>
  <c r="FN14" i="5"/>
  <c r="FP15" i="5"/>
  <c r="FN15" i="5"/>
  <c r="FO15" i="5" s="1"/>
  <c r="GD15" i="5" s="1"/>
  <c r="FT15" i="5"/>
  <c r="FN28" i="5"/>
  <c r="FO28" i="5" s="1"/>
  <c r="GD28" i="5" s="1"/>
  <c r="FT28" i="5"/>
  <c r="FP28" i="5"/>
  <c r="FT44" i="5"/>
  <c r="FN44" i="5"/>
  <c r="FO44" i="5" s="1"/>
  <c r="GD44" i="5" s="1"/>
  <c r="FP44" i="5"/>
  <c r="FT42" i="5"/>
  <c r="FU42" i="5" s="1"/>
  <c r="FN42" i="5"/>
  <c r="FO42" i="5" s="1"/>
  <c r="GD42" i="5" s="1"/>
  <c r="FP42" i="5"/>
  <c r="FT35" i="5"/>
  <c r="FN35" i="5"/>
  <c r="FO35" i="5" s="1"/>
  <c r="GD35" i="5" s="1"/>
  <c r="FP35" i="5"/>
  <c r="FT22" i="5"/>
  <c r="FU22" i="5" s="1"/>
  <c r="FN22" i="5"/>
  <c r="FO22" i="5" s="1"/>
  <c r="GD22" i="5" s="1"/>
  <c r="FP22" i="5"/>
  <c r="FN83" i="5"/>
  <c r="FO83" i="5" s="1"/>
  <c r="GD83" i="5" s="1"/>
  <c r="FP83" i="5"/>
  <c r="FQ83" i="5" s="1"/>
  <c r="GE83" i="5" s="1"/>
  <c r="FT83" i="5"/>
  <c r="FU83" i="5" s="1"/>
  <c r="FT24" i="5"/>
  <c r="FN24" i="5"/>
  <c r="FO24" i="5" s="1"/>
  <c r="GD24" i="5" s="1"/>
  <c r="FP24" i="5"/>
  <c r="FP88" i="5"/>
  <c r="FQ88" i="5" s="1"/>
  <c r="GE88" i="5" s="1"/>
  <c r="FT88" i="5"/>
  <c r="FT20" i="5"/>
  <c r="FN20" i="5"/>
  <c r="FO20" i="5" s="1"/>
  <c r="GD20" i="5" s="1"/>
  <c r="FP20" i="5"/>
  <c r="FT34" i="5"/>
  <c r="FU34" i="5" s="1"/>
  <c r="FN34" i="5"/>
  <c r="FO34" i="5" s="1"/>
  <c r="GD34" i="5" s="1"/>
  <c r="FP34" i="5"/>
  <c r="FP39" i="5"/>
  <c r="FN39" i="5"/>
  <c r="FO39" i="5" s="1"/>
  <c r="GD39" i="5" s="1"/>
  <c r="FT39" i="5"/>
  <c r="FP30" i="5"/>
  <c r="FT30" i="5"/>
  <c r="FU30" i="5" s="1"/>
  <c r="FN30" i="5"/>
  <c r="FO30" i="5" s="1"/>
  <c r="GD30" i="5" s="1"/>
  <c r="FN11" i="5"/>
  <c r="FO11" i="5" s="1"/>
  <c r="GD11" i="5" s="1"/>
  <c r="FP11" i="5"/>
  <c r="FT11" i="5"/>
  <c r="FN16" i="5"/>
  <c r="FO16" i="5" s="1"/>
  <c r="GD16" i="5" s="1"/>
  <c r="FT16" i="5"/>
  <c r="FP16" i="5"/>
  <c r="GE61" i="5"/>
  <c r="FP12" i="5"/>
  <c r="FT12" i="5"/>
  <c r="FN12" i="5"/>
  <c r="FO12" i="5" s="1"/>
  <c r="GD12" i="5" s="1"/>
  <c r="FP46" i="5"/>
  <c r="FN46" i="5"/>
  <c r="FT46" i="5"/>
  <c r="FU46" i="5" s="1"/>
  <c r="FP32" i="5"/>
  <c r="FT32" i="5"/>
  <c r="FN32" i="5"/>
  <c r="FO32" i="5" s="1"/>
  <c r="GD32" i="5" s="1"/>
  <c r="FN18" i="5"/>
  <c r="FO18" i="5" s="1"/>
  <c r="GD18" i="5" s="1"/>
  <c r="FP18" i="5"/>
  <c r="FT18" i="5"/>
  <c r="FU18" i="5" s="1"/>
  <c r="FN19" i="5"/>
  <c r="FP19" i="5"/>
  <c r="FT19" i="5"/>
  <c r="FP23" i="5"/>
  <c r="FT23" i="5"/>
  <c r="FN23" i="5"/>
  <c r="FO23" i="5" s="1"/>
  <c r="GD23" i="5" s="1"/>
  <c r="GA36" i="5"/>
  <c r="BF36" i="5"/>
  <c r="BW36" i="5"/>
  <c r="CM36" i="5" s="1"/>
  <c r="DB36" i="5"/>
  <c r="DR36" i="5" s="1"/>
  <c r="FA36" i="5" s="1"/>
  <c r="FC36" i="5" s="1"/>
  <c r="FD36" i="5" s="1"/>
  <c r="GH36" i="5" s="1"/>
  <c r="DC36" i="5"/>
  <c r="DS36" i="5" s="1"/>
  <c r="BV36" i="5"/>
  <c r="CL36" i="5" s="1"/>
  <c r="BV65" i="5"/>
  <c r="CL65" i="5" s="1"/>
  <c r="DC65" i="5"/>
  <c r="DS65" i="5" s="1"/>
  <c r="BW65" i="5"/>
  <c r="CM65" i="5" s="1"/>
  <c r="BF65" i="5"/>
  <c r="DB65" i="5"/>
  <c r="DR65" i="5" s="1"/>
  <c r="FA65" i="5" s="1"/>
  <c r="FC65" i="5" s="1"/>
  <c r="FD65" i="5" s="1"/>
  <c r="GH65" i="5" s="1"/>
  <c r="GA52" i="5"/>
  <c r="DB52" i="5"/>
  <c r="DR52" i="5" s="1"/>
  <c r="FA52" i="5" s="1"/>
  <c r="FC52" i="5" s="1"/>
  <c r="FD52" i="5" s="1"/>
  <c r="GH52" i="5" s="1"/>
  <c r="BW52" i="5"/>
  <c r="CM52" i="5" s="1"/>
  <c r="DC52" i="5"/>
  <c r="DS52" i="5" s="1"/>
  <c r="BV52" i="5"/>
  <c r="CL52" i="5" s="1"/>
  <c r="GA54" i="5"/>
  <c r="BW54" i="5"/>
  <c r="CM54" i="5" s="1"/>
  <c r="BV54" i="5"/>
  <c r="CL54" i="5" s="1"/>
  <c r="DB54" i="5"/>
  <c r="DR54" i="5" s="1"/>
  <c r="FA54" i="5" s="1"/>
  <c r="FC54" i="5" s="1"/>
  <c r="FD54" i="5" s="1"/>
  <c r="GH54" i="5" s="1"/>
  <c r="DC54" i="5"/>
  <c r="DS54" i="5" s="1"/>
  <c r="GA10" i="5"/>
  <c r="DB10" i="5"/>
  <c r="DR10" i="5" s="1"/>
  <c r="FA10" i="5" s="1"/>
  <c r="FC10" i="5" s="1"/>
  <c r="FD10" i="5" s="1"/>
  <c r="GH10" i="5" s="1"/>
  <c r="BW10" i="5"/>
  <c r="CM10" i="5" s="1"/>
  <c r="BV10" i="5"/>
  <c r="CL10" i="5" s="1"/>
  <c r="FM10" i="5" s="1"/>
  <c r="DC10" i="5"/>
  <c r="DS10" i="5" s="1"/>
  <c r="GA57" i="5"/>
  <c r="BF57" i="5"/>
  <c r="BW57" i="5"/>
  <c r="CM57" i="5" s="1"/>
  <c r="DC57" i="5"/>
  <c r="DS57" i="5" s="1"/>
  <c r="BV57" i="5"/>
  <c r="CL57" i="5" s="1"/>
  <c r="DB57" i="5"/>
  <c r="DR57" i="5" s="1"/>
  <c r="FA57" i="5" s="1"/>
  <c r="FC57" i="5" s="1"/>
  <c r="FD57" i="5" s="1"/>
  <c r="GH57" i="5" s="1"/>
  <c r="GA37" i="5"/>
  <c r="BF37" i="5"/>
  <c r="BV37" i="5"/>
  <c r="CL37" i="5" s="1"/>
  <c r="DC37" i="5"/>
  <c r="DS37" i="5" s="1"/>
  <c r="BW37" i="5"/>
  <c r="CM37" i="5" s="1"/>
  <c r="DB37" i="5"/>
  <c r="DR37" i="5" s="1"/>
  <c r="FA37" i="5" s="1"/>
  <c r="FC37" i="5" s="1"/>
  <c r="FD37" i="5" s="1"/>
  <c r="GH37" i="5" s="1"/>
  <c r="FF75" i="5"/>
  <c r="FM75" i="5"/>
  <c r="GC75" i="5" s="1"/>
  <c r="FF72" i="5"/>
  <c r="FM72" i="5"/>
  <c r="GC72" i="5" s="1"/>
  <c r="FF31" i="5"/>
  <c r="FM31" i="5"/>
  <c r="FF92" i="5"/>
  <c r="FM92" i="5"/>
  <c r="GC92" i="5" s="1"/>
  <c r="BW71" i="5"/>
  <c r="CM71" i="5" s="1"/>
  <c r="DC71" i="5"/>
  <c r="DS71" i="5" s="1"/>
  <c r="BV71" i="5"/>
  <c r="CL71" i="5" s="1"/>
  <c r="DB71" i="5"/>
  <c r="DR71" i="5" s="1"/>
  <c r="FA71" i="5" s="1"/>
  <c r="FC71" i="5" s="1"/>
  <c r="FD71" i="5" s="1"/>
  <c r="GH71" i="5" s="1"/>
  <c r="FI39" i="5"/>
  <c r="GF39" i="5" s="1"/>
  <c r="FJ39" i="5"/>
  <c r="GG39" i="5" s="1"/>
  <c r="GD61" i="5"/>
  <c r="EQ47" i="5"/>
  <c r="ER47" i="5" s="1"/>
  <c r="ES47" i="5" s="1"/>
  <c r="BG47" i="5"/>
  <c r="EU47" i="5" s="1"/>
  <c r="EV47" i="5" s="1"/>
  <c r="GJ47" i="5" s="1"/>
  <c r="FM74" i="5"/>
  <c r="GC74" i="5" s="1"/>
  <c r="FF74" i="5"/>
  <c r="FM21" i="5"/>
  <c r="FF21" i="5"/>
  <c r="FF13" i="5"/>
  <c r="FM13" i="5"/>
  <c r="FM27" i="5"/>
  <c r="FF27" i="5"/>
  <c r="FF25" i="5"/>
  <c r="FM25" i="5"/>
  <c r="FF9" i="5"/>
  <c r="FI9" i="5" s="1"/>
  <c r="EQ31" i="5"/>
  <c r="ER31" i="5" s="1"/>
  <c r="ES31" i="5" s="1"/>
  <c r="BG31" i="5"/>
  <c r="EU31" i="5" s="1"/>
  <c r="EV31" i="5" s="1"/>
  <c r="GJ31" i="5" s="1"/>
  <c r="EQ93" i="5"/>
  <c r="ER93" i="5" s="1"/>
  <c r="ES93" i="5" s="1"/>
  <c r="BG93" i="5"/>
  <c r="EU93" i="5" s="1"/>
  <c r="EV93" i="5" s="1"/>
  <c r="GJ93" i="5" s="1"/>
  <c r="FF17" i="5"/>
  <c r="FM17" i="5"/>
  <c r="FF82" i="5"/>
  <c r="FM82" i="5"/>
  <c r="GC82" i="5" s="1"/>
  <c r="EQ92" i="5"/>
  <c r="ER92" i="5" s="1"/>
  <c r="ES92" i="5" s="1"/>
  <c r="BG92" i="5"/>
  <c r="EU92" i="5" s="1"/>
  <c r="EV92" i="5" s="1"/>
  <c r="GJ92" i="5" s="1"/>
  <c r="FI12" i="5"/>
  <c r="GF12" i="5" s="1"/>
  <c r="FJ12" i="5"/>
  <c r="GG12" i="5" s="1"/>
  <c r="EQ85" i="5"/>
  <c r="ER85" i="5" s="1"/>
  <c r="ES85" i="5" s="1"/>
  <c r="BG85" i="5"/>
  <c r="EU85" i="5" s="1"/>
  <c r="EV85" i="5" s="1"/>
  <c r="GJ85" i="5" s="1"/>
  <c r="FM93" i="5"/>
  <c r="GC93" i="5" s="1"/>
  <c r="FF93" i="5"/>
  <c r="FF38" i="5"/>
  <c r="FM38" i="5"/>
  <c r="FI32" i="5"/>
  <c r="GF32" i="5" s="1"/>
  <c r="FJ32" i="5"/>
  <c r="GG32" i="5" s="1"/>
  <c r="GA55" i="5"/>
  <c r="BF55" i="5"/>
  <c r="BW55" i="5"/>
  <c r="CM55" i="5" s="1"/>
  <c r="DC55" i="5"/>
  <c r="DS55" i="5" s="1"/>
  <c r="BV55" i="5"/>
  <c r="CL55" i="5" s="1"/>
  <c r="DB55" i="5"/>
  <c r="DR55" i="5" s="1"/>
  <c r="FA55" i="5" s="1"/>
  <c r="FC55" i="5" s="1"/>
  <c r="FD55" i="5" s="1"/>
  <c r="GH55" i="5" s="1"/>
  <c r="BV78" i="5"/>
  <c r="CL78" i="5" s="1"/>
  <c r="BF78" i="5"/>
  <c r="DC78" i="5"/>
  <c r="DS78" i="5" s="1"/>
  <c r="BW78" i="5"/>
  <c r="CM78" i="5" s="1"/>
  <c r="DB78" i="5"/>
  <c r="DR78" i="5" s="1"/>
  <c r="FA78" i="5" s="1"/>
  <c r="FC78" i="5" s="1"/>
  <c r="FD78" i="5" s="1"/>
  <c r="GH78" i="5" s="1"/>
  <c r="FF66" i="5"/>
  <c r="FM66" i="5"/>
  <c r="GC66" i="5" s="1"/>
  <c r="FO19" i="5"/>
  <c r="GD19" i="5" s="1"/>
  <c r="BF76" i="5"/>
  <c r="DB76" i="5"/>
  <c r="DR76" i="5" s="1"/>
  <c r="FA76" i="5" s="1"/>
  <c r="FC76" i="5" s="1"/>
  <c r="FD76" i="5" s="1"/>
  <c r="GH76" i="5" s="1"/>
  <c r="BV76" i="5"/>
  <c r="CL76" i="5" s="1"/>
  <c r="DC76" i="5"/>
  <c r="DS76" i="5" s="1"/>
  <c r="BW76" i="5"/>
  <c r="CM76" i="5" s="1"/>
  <c r="FI15" i="5"/>
  <c r="GF15" i="5" s="1"/>
  <c r="FJ15" i="5"/>
  <c r="GG15" i="5" s="1"/>
  <c r="DB94" i="5"/>
  <c r="DR94" i="5" s="1"/>
  <c r="FA94" i="5" s="1"/>
  <c r="FC94" i="5" s="1"/>
  <c r="FD94" i="5" s="1"/>
  <c r="GH94" i="5" s="1"/>
  <c r="DC94" i="5"/>
  <c r="DS94" i="5" s="1"/>
  <c r="BW94" i="5"/>
  <c r="CM94" i="5" s="1"/>
  <c r="BV94" i="5"/>
  <c r="CL94" i="5" s="1"/>
  <c r="BF94" i="5"/>
  <c r="FI24" i="5"/>
  <c r="GF24" i="5" s="1"/>
  <c r="FJ24" i="5"/>
  <c r="GG24" i="5" s="1"/>
  <c r="GA56" i="5"/>
  <c r="BW56" i="5"/>
  <c r="CM56" i="5" s="1"/>
  <c r="BV56" i="5"/>
  <c r="CL56" i="5" s="1"/>
  <c r="DC56" i="5"/>
  <c r="DS56" i="5" s="1"/>
  <c r="DB56" i="5"/>
  <c r="DR56" i="5" s="1"/>
  <c r="FA56" i="5" s="1"/>
  <c r="FC56" i="5" s="1"/>
  <c r="FD56" i="5" s="1"/>
  <c r="GH56" i="5" s="1"/>
  <c r="BF56" i="5"/>
  <c r="EQ40" i="5"/>
  <c r="ER40" i="5" s="1"/>
  <c r="ES40" i="5" s="1"/>
  <c r="BG40" i="5"/>
  <c r="EU40" i="5" s="1"/>
  <c r="EV40" i="5" s="1"/>
  <c r="GJ40" i="5" s="1"/>
  <c r="DB63" i="5"/>
  <c r="DR63" i="5" s="1"/>
  <c r="FA63" i="5" s="1"/>
  <c r="FC63" i="5" s="1"/>
  <c r="FD63" i="5" s="1"/>
  <c r="GH63" i="5" s="1"/>
  <c r="BW63" i="5"/>
  <c r="CM63" i="5" s="1"/>
  <c r="DC63" i="5"/>
  <c r="DS63" i="5" s="1"/>
  <c r="BF63" i="5"/>
  <c r="BV63" i="5"/>
  <c r="CL63" i="5" s="1"/>
  <c r="GA49" i="5"/>
  <c r="BW49" i="5"/>
  <c r="CM49" i="5" s="1"/>
  <c r="DC49" i="5"/>
  <c r="DS49" i="5" s="1"/>
  <c r="BF49" i="5"/>
  <c r="BV49" i="5"/>
  <c r="CL49" i="5" s="1"/>
  <c r="DB49" i="5"/>
  <c r="DR49" i="5" s="1"/>
  <c r="FA49" i="5" s="1"/>
  <c r="FC49" i="5" s="1"/>
  <c r="FD49" i="5" s="1"/>
  <c r="GH49" i="5" s="1"/>
  <c r="FF33" i="5"/>
  <c r="FM33" i="5"/>
  <c r="FF86" i="5"/>
  <c r="FM86" i="5"/>
  <c r="GC86" i="5" s="1"/>
  <c r="DB67" i="5"/>
  <c r="DR67" i="5" s="1"/>
  <c r="FA67" i="5" s="1"/>
  <c r="FC67" i="5" s="1"/>
  <c r="FD67" i="5" s="1"/>
  <c r="GH67" i="5" s="1"/>
  <c r="BW67" i="5"/>
  <c r="CM67" i="5" s="1"/>
  <c r="DC67" i="5"/>
  <c r="DS67" i="5" s="1"/>
  <c r="BV67" i="5"/>
  <c r="CL67" i="5" s="1"/>
  <c r="DB70" i="5"/>
  <c r="DR70" i="5" s="1"/>
  <c r="FA70" i="5" s="1"/>
  <c r="FC70" i="5" s="1"/>
  <c r="FD70" i="5" s="1"/>
  <c r="GH70" i="5" s="1"/>
  <c r="BW70" i="5"/>
  <c r="CM70" i="5" s="1"/>
  <c r="BF70" i="5"/>
  <c r="BV70" i="5"/>
  <c r="CL70" i="5" s="1"/>
  <c r="DC70" i="5"/>
  <c r="DS70" i="5" s="1"/>
  <c r="FI16" i="5"/>
  <c r="GF16" i="5" s="1"/>
  <c r="FJ16" i="5"/>
  <c r="GG16" i="5" s="1"/>
  <c r="FI35" i="5"/>
  <c r="GF35" i="5" s="1"/>
  <c r="FJ35" i="5"/>
  <c r="GG35" i="5" s="1"/>
  <c r="EQ74" i="5"/>
  <c r="ER74" i="5" s="1"/>
  <c r="ES74" i="5" s="1"/>
  <c r="BG74" i="5"/>
  <c r="EU74" i="5" s="1"/>
  <c r="EV74" i="5" s="1"/>
  <c r="GJ74" i="5" s="1"/>
  <c r="FM85" i="5"/>
  <c r="GC85" i="5" s="1"/>
  <c r="FF85" i="5"/>
  <c r="FF90" i="5"/>
  <c r="FM90" i="5"/>
  <c r="GC90" i="5" s="1"/>
  <c r="BW89" i="5"/>
  <c r="CM89" i="5" s="1"/>
  <c r="BV89" i="5"/>
  <c r="CL89" i="5" s="1"/>
  <c r="DB89" i="5"/>
  <c r="DR89" i="5" s="1"/>
  <c r="FA89" i="5" s="1"/>
  <c r="FC89" i="5" s="1"/>
  <c r="FD89" i="5" s="1"/>
  <c r="GH89" i="5" s="1"/>
  <c r="DC89" i="5"/>
  <c r="DS89" i="5" s="1"/>
  <c r="BF89" i="5"/>
  <c r="FF87" i="5"/>
  <c r="FM87" i="5"/>
  <c r="GC87" i="5" s="1"/>
  <c r="FI20" i="5"/>
  <c r="GF20" i="5" s="1"/>
  <c r="FJ20" i="5"/>
  <c r="GG20" i="5" s="1"/>
  <c r="EQ84" i="5"/>
  <c r="ER84" i="5" s="1"/>
  <c r="ES84" i="5" s="1"/>
  <c r="BG84" i="5"/>
  <c r="EU84" i="5" s="1"/>
  <c r="EV84" i="5" s="1"/>
  <c r="GJ84" i="5" s="1"/>
  <c r="EQ26" i="5"/>
  <c r="ER26" i="5" s="1"/>
  <c r="ES26" i="5" s="1"/>
  <c r="BG26" i="5"/>
  <c r="EU26" i="5" s="1"/>
  <c r="EV26" i="5" s="1"/>
  <c r="GJ26" i="5" s="1"/>
  <c r="EQ53" i="5"/>
  <c r="ER53" i="5" s="1"/>
  <c r="ES53" i="5" s="1"/>
  <c r="BG53" i="5"/>
  <c r="EU53" i="5" s="1"/>
  <c r="EV53" i="5" s="1"/>
  <c r="GJ53" i="5" s="1"/>
  <c r="FM81" i="5"/>
  <c r="GC81" i="5" s="1"/>
  <c r="FF81" i="5"/>
  <c r="GA48" i="5"/>
  <c r="BW48" i="5"/>
  <c r="CM48" i="5" s="1"/>
  <c r="DB48" i="5"/>
  <c r="DR48" i="5" s="1"/>
  <c r="FA48" i="5" s="1"/>
  <c r="FC48" i="5" s="1"/>
  <c r="FD48" i="5" s="1"/>
  <c r="GH48" i="5" s="1"/>
  <c r="DC48" i="5"/>
  <c r="DS48" i="5" s="1"/>
  <c r="BV48" i="5"/>
  <c r="CL48" i="5" s="1"/>
  <c r="BF48" i="5"/>
  <c r="FI30" i="5"/>
  <c r="GF30" i="5" s="1"/>
  <c r="FJ30" i="5"/>
  <c r="GG30" i="5" s="1"/>
  <c r="EQ81" i="5"/>
  <c r="ER81" i="5" s="1"/>
  <c r="ES81" i="5" s="1"/>
  <c r="BG81" i="5"/>
  <c r="EU81" i="5" s="1"/>
  <c r="EV81" i="5" s="1"/>
  <c r="GJ81" i="5" s="1"/>
  <c r="BF62" i="5"/>
  <c r="DC62" i="5"/>
  <c r="DS62" i="5" s="1"/>
  <c r="BV62" i="5"/>
  <c r="CL62" i="5" s="1"/>
  <c r="BW62" i="5"/>
  <c r="CM62" i="5" s="1"/>
  <c r="DB62" i="5"/>
  <c r="DR62" i="5" s="1"/>
  <c r="FA62" i="5" s="1"/>
  <c r="FC62" i="5" s="1"/>
  <c r="FD62" i="5" s="1"/>
  <c r="GH62" i="5" s="1"/>
  <c r="FF51" i="5"/>
  <c r="FM51" i="5"/>
  <c r="EQ75" i="5"/>
  <c r="ER75" i="5" s="1"/>
  <c r="ES75" i="5" s="1"/>
  <c r="BG75" i="5"/>
  <c r="EU75" i="5" s="1"/>
  <c r="EV75" i="5" s="1"/>
  <c r="GJ75" i="5" s="1"/>
  <c r="FI22" i="5"/>
  <c r="GF22" i="5" s="1"/>
  <c r="FJ22" i="5"/>
  <c r="GG22" i="5" s="1"/>
  <c r="EQ45" i="5"/>
  <c r="ER45" i="5" s="1"/>
  <c r="ES45" i="5" s="1"/>
  <c r="BG45" i="5"/>
  <c r="EU45" i="5" s="1"/>
  <c r="EV45" i="5" s="1"/>
  <c r="GJ45" i="5" s="1"/>
  <c r="FM43" i="5"/>
  <c r="FF43" i="5"/>
  <c r="BF68" i="5"/>
  <c r="BW68" i="5"/>
  <c r="CM68" i="5" s="1"/>
  <c r="BV68" i="5"/>
  <c r="CL68" i="5" s="1"/>
  <c r="DC68" i="5"/>
  <c r="DS68" i="5" s="1"/>
  <c r="DB68" i="5"/>
  <c r="DR68" i="5" s="1"/>
  <c r="FA68" i="5" s="1"/>
  <c r="FC68" i="5" s="1"/>
  <c r="FD68" i="5" s="1"/>
  <c r="GH68" i="5" s="1"/>
  <c r="EQ87" i="5"/>
  <c r="ER87" i="5" s="1"/>
  <c r="ES87" i="5" s="1"/>
  <c r="BG87" i="5"/>
  <c r="EU87" i="5" s="1"/>
  <c r="EV87" i="5" s="1"/>
  <c r="GJ87" i="5" s="1"/>
  <c r="FI28" i="5"/>
  <c r="GF28" i="5" s="1"/>
  <c r="FJ28" i="5"/>
  <c r="GG28" i="5" s="1"/>
  <c r="BW79" i="5"/>
  <c r="CM79" i="5" s="1"/>
  <c r="DB79" i="5"/>
  <c r="DR79" i="5" s="1"/>
  <c r="FA79" i="5" s="1"/>
  <c r="FC79" i="5" s="1"/>
  <c r="FD79" i="5" s="1"/>
  <c r="GH79" i="5" s="1"/>
  <c r="BF79" i="5"/>
  <c r="BV79" i="5"/>
  <c r="CL79" i="5" s="1"/>
  <c r="DC79" i="5"/>
  <c r="DS79" i="5" s="1"/>
  <c r="BF91" i="5"/>
  <c r="DC91" i="5"/>
  <c r="DS91" i="5" s="1"/>
  <c r="DB91" i="5"/>
  <c r="DR91" i="5" s="1"/>
  <c r="FA91" i="5" s="1"/>
  <c r="FC91" i="5" s="1"/>
  <c r="FD91" i="5" s="1"/>
  <c r="GH91" i="5" s="1"/>
  <c r="BV91" i="5"/>
  <c r="CL91" i="5" s="1"/>
  <c r="BW91" i="5"/>
  <c r="CM91" i="5" s="1"/>
  <c r="EQ77" i="5"/>
  <c r="ER77" i="5" s="1"/>
  <c r="ES77" i="5" s="1"/>
  <c r="BG77" i="5"/>
  <c r="EU77" i="5" s="1"/>
  <c r="EV77" i="5" s="1"/>
  <c r="GJ77" i="5" s="1"/>
  <c r="GF61" i="5"/>
  <c r="GG61" i="5"/>
  <c r="GA41" i="5"/>
  <c r="BF41" i="5"/>
  <c r="BV41" i="5"/>
  <c r="CL41" i="5" s="1"/>
  <c r="DB41" i="5"/>
  <c r="DR41" i="5" s="1"/>
  <c r="FA41" i="5" s="1"/>
  <c r="FC41" i="5" s="1"/>
  <c r="FD41" i="5" s="1"/>
  <c r="GH41" i="5" s="1"/>
  <c r="BW41" i="5"/>
  <c r="CM41" i="5" s="1"/>
  <c r="DC41" i="5"/>
  <c r="DS41" i="5" s="1"/>
  <c r="FF47" i="5"/>
  <c r="FM47" i="5"/>
  <c r="FM26" i="5"/>
  <c r="FF26" i="5"/>
  <c r="EQ72" i="5"/>
  <c r="ER72" i="5" s="1"/>
  <c r="ES72" i="5" s="1"/>
  <c r="BG72" i="5"/>
  <c r="EU72" i="5" s="1"/>
  <c r="EV72" i="5" s="1"/>
  <c r="GJ72" i="5" s="1"/>
  <c r="EQ29" i="5"/>
  <c r="ER29" i="5" s="1"/>
  <c r="ES29" i="5" s="1"/>
  <c r="BG29" i="5"/>
  <c r="EU29" i="5" s="1"/>
  <c r="EV29" i="5" s="1"/>
  <c r="GJ29" i="5" s="1"/>
  <c r="FM45" i="5"/>
  <c r="FF45" i="5"/>
  <c r="EQ27" i="5"/>
  <c r="ER27" i="5" s="1"/>
  <c r="ES27" i="5" s="1"/>
  <c r="BG27" i="5"/>
  <c r="EU27" i="5" s="1"/>
  <c r="EV27" i="5" s="1"/>
  <c r="GJ27" i="5" s="1"/>
  <c r="EQ43" i="5"/>
  <c r="ER43" i="5" s="1"/>
  <c r="ES43" i="5" s="1"/>
  <c r="BG43" i="5"/>
  <c r="EU43" i="5" s="1"/>
  <c r="EV43" i="5" s="1"/>
  <c r="GJ43" i="5" s="1"/>
  <c r="GA59" i="5"/>
  <c r="DB59" i="5"/>
  <c r="DR59" i="5" s="1"/>
  <c r="FA59" i="5" s="1"/>
  <c r="FC59" i="5" s="1"/>
  <c r="FD59" i="5" s="1"/>
  <c r="GH59" i="5" s="1"/>
  <c r="BV59" i="5"/>
  <c r="CL59" i="5" s="1"/>
  <c r="BF59" i="5"/>
  <c r="DC59" i="5"/>
  <c r="DS59" i="5" s="1"/>
  <c r="BW59" i="5"/>
  <c r="CM59" i="5" s="1"/>
  <c r="FM84" i="5"/>
  <c r="GC84" i="5" s="1"/>
  <c r="FF84" i="5"/>
  <c r="EQ66" i="5"/>
  <c r="ER66" i="5" s="1"/>
  <c r="ES66" i="5" s="1"/>
  <c r="BG66" i="5"/>
  <c r="EU66" i="5" s="1"/>
  <c r="EV66" i="5" s="1"/>
  <c r="GJ66" i="5" s="1"/>
  <c r="FI14" i="5"/>
  <c r="GF14" i="5" s="1"/>
  <c r="FJ14" i="5"/>
  <c r="GG14" i="5" s="1"/>
  <c r="FI44" i="5"/>
  <c r="GF44" i="5" s="1"/>
  <c r="FJ44" i="5"/>
  <c r="GG44" i="5" s="1"/>
  <c r="DB80" i="5"/>
  <c r="DR80" i="5" s="1"/>
  <c r="FA80" i="5" s="1"/>
  <c r="FC80" i="5" s="1"/>
  <c r="FD80" i="5" s="1"/>
  <c r="GH80" i="5" s="1"/>
  <c r="DC80" i="5"/>
  <c r="DS80" i="5" s="1"/>
  <c r="BV80" i="5"/>
  <c r="CL80" i="5" s="1"/>
  <c r="BW80" i="5"/>
  <c r="CM80" i="5" s="1"/>
  <c r="BF80" i="5"/>
  <c r="FI23" i="5"/>
  <c r="GF23" i="5" s="1"/>
  <c r="FJ23" i="5"/>
  <c r="GG23" i="5" s="1"/>
  <c r="FF40" i="5"/>
  <c r="FM40" i="5"/>
  <c r="FM77" i="5"/>
  <c r="GC77" i="5" s="1"/>
  <c r="FF77" i="5"/>
  <c r="FI88" i="5"/>
  <c r="GF88" i="5" s="1"/>
  <c r="FJ88" i="5"/>
  <c r="GG88" i="5" s="1"/>
  <c r="FM69" i="5"/>
  <c r="GC69" i="5" s="1"/>
  <c r="FF69" i="5"/>
  <c r="EQ25" i="5"/>
  <c r="ER25" i="5" s="1"/>
  <c r="ES25" i="5" s="1"/>
  <c r="BG25" i="5"/>
  <c r="EU25" i="5" s="1"/>
  <c r="EV25" i="5" s="1"/>
  <c r="GJ25" i="5" s="1"/>
  <c r="FF29" i="5"/>
  <c r="FM29" i="5"/>
  <c r="ER9" i="5"/>
  <c r="ES9" i="5" s="1"/>
  <c r="BG9" i="5"/>
  <c r="EU9" i="5" s="1"/>
  <c r="EV9" i="5" s="1"/>
  <c r="GJ9" i="5" s="1"/>
  <c r="EQ21" i="5"/>
  <c r="ER21" i="5" s="1"/>
  <c r="ES21" i="5" s="1"/>
  <c r="BG21" i="5"/>
  <c r="EU21" i="5" s="1"/>
  <c r="EV21" i="5" s="1"/>
  <c r="GJ21" i="5" s="1"/>
  <c r="EQ17" i="5"/>
  <c r="ER17" i="5" s="1"/>
  <c r="ES17" i="5" s="1"/>
  <c r="BG17" i="5"/>
  <c r="EU17" i="5" s="1"/>
  <c r="EV17" i="5" s="1"/>
  <c r="GJ17" i="5" s="1"/>
  <c r="EQ13" i="5"/>
  <c r="ER13" i="5" s="1"/>
  <c r="ES13" i="5" s="1"/>
  <c r="BG13" i="5"/>
  <c r="EU13" i="5" s="1"/>
  <c r="EV13" i="5" s="1"/>
  <c r="GJ13" i="5" s="1"/>
  <c r="FM53" i="5"/>
  <c r="FF53" i="5"/>
  <c r="EQ33" i="5"/>
  <c r="ER33" i="5" s="1"/>
  <c r="ES33" i="5" s="1"/>
  <c r="BG33" i="5"/>
  <c r="EU33" i="5" s="1"/>
  <c r="EV33" i="5" s="1"/>
  <c r="GJ33" i="5" s="1"/>
  <c r="FI18" i="5"/>
  <c r="GF18" i="5" s="1"/>
  <c r="FJ18" i="5"/>
  <c r="GG18" i="5" s="1"/>
  <c r="EQ51" i="5"/>
  <c r="ER51" i="5" s="1"/>
  <c r="ES51" i="5" s="1"/>
  <c r="BG51" i="5"/>
  <c r="EU51" i="5" s="1"/>
  <c r="EV51" i="5" s="1"/>
  <c r="GJ51" i="5" s="1"/>
  <c r="FI19" i="5"/>
  <c r="GF19" i="5" s="1"/>
  <c r="FJ19" i="5"/>
  <c r="GG19" i="5" s="1"/>
  <c r="FI46" i="5"/>
  <c r="GF46" i="5" s="1"/>
  <c r="FJ46" i="5"/>
  <c r="GG46" i="5" s="1"/>
  <c r="GA58" i="5"/>
  <c r="BV58" i="5"/>
  <c r="CL58" i="5" s="1"/>
  <c r="BW58" i="5"/>
  <c r="CM58" i="5" s="1"/>
  <c r="BF58" i="5"/>
  <c r="DC58" i="5"/>
  <c r="DS58" i="5" s="1"/>
  <c r="DB58" i="5"/>
  <c r="DR58" i="5" s="1"/>
  <c r="FA58" i="5" s="1"/>
  <c r="FC58" i="5" s="1"/>
  <c r="FD58" i="5" s="1"/>
  <c r="GH58" i="5" s="1"/>
  <c r="FM50" i="5"/>
  <c r="FF50" i="5"/>
  <c r="EQ69" i="5"/>
  <c r="ER69" i="5" s="1"/>
  <c r="ES69" i="5" s="1"/>
  <c r="BG69" i="5"/>
  <c r="EU69" i="5" s="1"/>
  <c r="EV69" i="5" s="1"/>
  <c r="GJ69" i="5" s="1"/>
  <c r="FO46" i="5"/>
  <c r="GD46" i="5" s="1"/>
  <c r="EQ38" i="5"/>
  <c r="ER38" i="5" s="1"/>
  <c r="ES38" i="5" s="1"/>
  <c r="BG38" i="5"/>
  <c r="EU38" i="5" s="1"/>
  <c r="EV38" i="5" s="1"/>
  <c r="GJ38" i="5" s="1"/>
  <c r="FI34" i="5"/>
  <c r="GF34" i="5" s="1"/>
  <c r="FJ34" i="5"/>
  <c r="GG34" i="5" s="1"/>
  <c r="EQ86" i="5"/>
  <c r="ER86" i="5" s="1"/>
  <c r="ES86" i="5" s="1"/>
  <c r="BG86" i="5"/>
  <c r="EU86" i="5" s="1"/>
  <c r="EV86" i="5" s="1"/>
  <c r="GJ86" i="5" s="1"/>
  <c r="DB73" i="5"/>
  <c r="DR73" i="5" s="1"/>
  <c r="FA73" i="5" s="1"/>
  <c r="FC73" i="5" s="1"/>
  <c r="FD73" i="5" s="1"/>
  <c r="GH73" i="5" s="1"/>
  <c r="BV73" i="5"/>
  <c r="CL73" i="5" s="1"/>
  <c r="BW73" i="5"/>
  <c r="CM73" i="5" s="1"/>
  <c r="DC73" i="5"/>
  <c r="DS73" i="5" s="1"/>
  <c r="FI11" i="5"/>
  <c r="GF11" i="5" s="1"/>
  <c r="FJ11" i="5"/>
  <c r="GG11" i="5" s="1"/>
  <c r="FI42" i="5"/>
  <c r="GF42" i="5" s="1"/>
  <c r="FJ42" i="5"/>
  <c r="GG42" i="5" s="1"/>
  <c r="DC95" i="5"/>
  <c r="DS95" i="5" s="1"/>
  <c r="BW95" i="5"/>
  <c r="CM95" i="5" s="1"/>
  <c r="BV95" i="5"/>
  <c r="CL95" i="5" s="1"/>
  <c r="DB95" i="5"/>
  <c r="DR95" i="5" s="1"/>
  <c r="FA95" i="5" s="1"/>
  <c r="FC95" i="5" s="1"/>
  <c r="FD95" i="5" s="1"/>
  <c r="GH95" i="5" s="1"/>
  <c r="FN88" i="5"/>
  <c r="FO88" i="5" s="1"/>
  <c r="GD88" i="5" s="1"/>
  <c r="EQ50" i="5"/>
  <c r="ER50" i="5" s="1"/>
  <c r="ES50" i="5" s="1"/>
  <c r="BG50" i="5"/>
  <c r="EU50" i="5" s="1"/>
  <c r="EV50" i="5" s="1"/>
  <c r="GJ50" i="5" s="1"/>
  <c r="EU90" i="5" l="1"/>
  <c r="EV90" i="5" s="1"/>
  <c r="GJ90" i="5" s="1"/>
  <c r="FR30" i="5"/>
  <c r="FS9" i="5"/>
  <c r="EQ90" i="5"/>
  <c r="ER90" i="5" s="1"/>
  <c r="ES90" i="5" s="1"/>
  <c r="FM64" i="5"/>
  <c r="GC64" i="5" s="1"/>
  <c r="EQ82" i="5"/>
  <c r="ER82" i="5" s="1"/>
  <c r="ES82" i="5" s="1"/>
  <c r="BG64" i="5"/>
  <c r="EU64" i="5" s="1"/>
  <c r="EV64" i="5" s="1"/>
  <c r="GJ64" i="5" s="1"/>
  <c r="FJ83" i="5"/>
  <c r="GG83" i="5" s="1"/>
  <c r="FS30" i="5"/>
  <c r="GC43" i="5"/>
  <c r="FR43" i="5"/>
  <c r="GC33" i="5"/>
  <c r="FR33" i="5"/>
  <c r="FR77" i="5"/>
  <c r="FR64" i="5"/>
  <c r="GC25" i="5"/>
  <c r="FR25" i="5"/>
  <c r="FR92" i="5"/>
  <c r="FU12" i="5"/>
  <c r="FS12" i="5"/>
  <c r="FU88" i="5"/>
  <c r="FS88" i="5"/>
  <c r="FU24" i="5"/>
  <c r="FS24" i="5"/>
  <c r="FS46" i="5"/>
  <c r="FS83" i="5"/>
  <c r="GC40" i="5"/>
  <c r="FR40" i="5"/>
  <c r="GC26" i="5"/>
  <c r="FR26" i="5"/>
  <c r="FR81" i="5"/>
  <c r="GC21" i="5"/>
  <c r="FR21" i="5"/>
  <c r="FU16" i="5"/>
  <c r="FS16" i="5"/>
  <c r="FU39" i="5"/>
  <c r="FS39" i="5"/>
  <c r="FU44" i="5"/>
  <c r="FS44" i="5"/>
  <c r="FU28" i="5"/>
  <c r="FS28" i="5"/>
  <c r="GC50" i="5"/>
  <c r="FR50" i="5"/>
  <c r="FR84" i="5"/>
  <c r="GC47" i="5"/>
  <c r="FR47" i="5"/>
  <c r="FR85" i="5"/>
  <c r="FR82" i="5"/>
  <c r="GC31" i="5"/>
  <c r="FR31" i="5"/>
  <c r="FS34" i="5"/>
  <c r="GC45" i="5"/>
  <c r="FR45" i="5"/>
  <c r="FR93" i="5"/>
  <c r="GC27" i="5"/>
  <c r="FR27" i="5"/>
  <c r="FR74" i="5"/>
  <c r="FR75" i="5"/>
  <c r="FU23" i="5"/>
  <c r="FS23" i="5"/>
  <c r="FU11" i="5"/>
  <c r="FS11" i="5"/>
  <c r="FU35" i="5"/>
  <c r="FS35" i="5"/>
  <c r="FU15" i="5"/>
  <c r="FS15" i="5"/>
  <c r="FR66" i="5"/>
  <c r="GC17" i="5"/>
  <c r="FR17" i="5"/>
  <c r="GC13" i="5"/>
  <c r="FR13" i="5"/>
  <c r="FS14" i="5"/>
  <c r="FR90" i="5"/>
  <c r="FU19" i="5"/>
  <c r="FS19" i="5"/>
  <c r="GC51" i="5"/>
  <c r="FR51" i="5"/>
  <c r="FR86" i="5"/>
  <c r="GC38" i="5"/>
  <c r="FR38" i="5"/>
  <c r="GC9" i="5"/>
  <c r="FU32" i="5"/>
  <c r="FS32" i="5"/>
  <c r="FS18" i="5"/>
  <c r="FS22" i="5"/>
  <c r="FS42" i="5"/>
  <c r="FR69" i="5"/>
  <c r="FR72" i="5"/>
  <c r="GC53" i="5"/>
  <c r="FR53" i="5"/>
  <c r="GC29" i="5"/>
  <c r="FR29" i="5"/>
  <c r="FR87" i="5"/>
  <c r="FU20" i="5"/>
  <c r="FS20" i="5"/>
  <c r="FP90" i="5"/>
  <c r="FQ90" i="5" s="1"/>
  <c r="GE90" i="5" s="1"/>
  <c r="FT90" i="5"/>
  <c r="FU90" i="5" s="1"/>
  <c r="FN17" i="5"/>
  <c r="FO17" i="5" s="1"/>
  <c r="GD17" i="5" s="1"/>
  <c r="FP17" i="5"/>
  <c r="FT17" i="5"/>
  <c r="FP72" i="5"/>
  <c r="FQ72" i="5" s="1"/>
  <c r="GE72" i="5" s="1"/>
  <c r="FT72" i="5"/>
  <c r="FP86" i="5"/>
  <c r="FQ86" i="5" s="1"/>
  <c r="GE86" i="5" s="1"/>
  <c r="FT86" i="5"/>
  <c r="FU86" i="5" s="1"/>
  <c r="FP87" i="5"/>
  <c r="FQ87" i="5" s="1"/>
  <c r="GE87" i="5" s="1"/>
  <c r="FT87" i="5"/>
  <c r="FU87" i="5" s="1"/>
  <c r="FT38" i="5"/>
  <c r="FU38" i="5" s="1"/>
  <c r="FP38" i="5"/>
  <c r="FN38" i="5"/>
  <c r="FO38" i="5" s="1"/>
  <c r="GD38" i="5" s="1"/>
  <c r="GD9" i="5"/>
  <c r="FU9" i="5"/>
  <c r="FP25" i="5"/>
  <c r="FN25" i="5"/>
  <c r="FO25" i="5" s="1"/>
  <c r="GD25" i="5" s="1"/>
  <c r="FT25" i="5"/>
  <c r="FP92" i="5"/>
  <c r="FQ92" i="5" s="1"/>
  <c r="GE92" i="5" s="1"/>
  <c r="FT92" i="5"/>
  <c r="FN43" i="5"/>
  <c r="FO43" i="5" s="1"/>
  <c r="GD43" i="5" s="1"/>
  <c r="FP43" i="5"/>
  <c r="FT43" i="5"/>
  <c r="FP66" i="5"/>
  <c r="FQ66" i="5" s="1"/>
  <c r="GE66" i="5" s="1"/>
  <c r="FT66" i="5"/>
  <c r="FU66" i="5" s="1"/>
  <c r="FP29" i="5"/>
  <c r="FT29" i="5"/>
  <c r="FN29" i="5"/>
  <c r="FO29" i="5" s="1"/>
  <c r="GD29" i="5" s="1"/>
  <c r="FP77" i="5"/>
  <c r="FQ77" i="5" s="1"/>
  <c r="GE77" i="5" s="1"/>
  <c r="FT77" i="5"/>
  <c r="FP50" i="5"/>
  <c r="FT50" i="5"/>
  <c r="FU50" i="5" s="1"/>
  <c r="FN50" i="5"/>
  <c r="FO50" i="5" s="1"/>
  <c r="GD50" i="5" s="1"/>
  <c r="FT84" i="5"/>
  <c r="FP84" i="5"/>
  <c r="FQ84" i="5" s="1"/>
  <c r="GE84" i="5" s="1"/>
  <c r="FN26" i="5"/>
  <c r="FO26" i="5" s="1"/>
  <c r="GD26" i="5" s="1"/>
  <c r="FP26" i="5"/>
  <c r="FT26" i="5"/>
  <c r="FU26" i="5" s="1"/>
  <c r="FT47" i="5"/>
  <c r="FP47" i="5"/>
  <c r="FN47" i="5"/>
  <c r="FO47" i="5" s="1"/>
  <c r="GD47" i="5" s="1"/>
  <c r="FP85" i="5"/>
  <c r="FQ85" i="5" s="1"/>
  <c r="GE85" i="5" s="1"/>
  <c r="FT85" i="5"/>
  <c r="FP21" i="5"/>
  <c r="FN21" i="5"/>
  <c r="FO21" i="5" s="1"/>
  <c r="GD21" i="5" s="1"/>
  <c r="FT21" i="5"/>
  <c r="FT81" i="5"/>
  <c r="FP81" i="5"/>
  <c r="FQ81" i="5" s="1"/>
  <c r="GE81" i="5" s="1"/>
  <c r="FP64" i="5"/>
  <c r="FQ64" i="5" s="1"/>
  <c r="GE64" i="5" s="1"/>
  <c r="FT64" i="5"/>
  <c r="FP69" i="5"/>
  <c r="FQ69" i="5" s="1"/>
  <c r="GE69" i="5" s="1"/>
  <c r="FT69" i="5"/>
  <c r="FP45" i="5"/>
  <c r="FN45" i="5"/>
  <c r="FO45" i="5" s="1"/>
  <c r="GD45" i="5" s="1"/>
  <c r="FT45" i="5"/>
  <c r="FP82" i="5"/>
  <c r="FQ82" i="5" s="1"/>
  <c r="GE82" i="5" s="1"/>
  <c r="FT82" i="5"/>
  <c r="FU82" i="5" s="1"/>
  <c r="FP31" i="5"/>
  <c r="FT31" i="5"/>
  <c r="FN31" i="5"/>
  <c r="FO31" i="5" s="1"/>
  <c r="GD31" i="5" s="1"/>
  <c r="FP53" i="5"/>
  <c r="FN53" i="5"/>
  <c r="FO53" i="5" s="1"/>
  <c r="GD53" i="5" s="1"/>
  <c r="FT53" i="5"/>
  <c r="FP13" i="5"/>
  <c r="FN13" i="5"/>
  <c r="FO13" i="5" s="1"/>
  <c r="GD13" i="5" s="1"/>
  <c r="FT13" i="5"/>
  <c r="FP51" i="5"/>
  <c r="FT51" i="5"/>
  <c r="FN51" i="5"/>
  <c r="FO51" i="5" s="1"/>
  <c r="GD51" i="5" s="1"/>
  <c r="FN40" i="5"/>
  <c r="FO40" i="5" s="1"/>
  <c r="GD40" i="5" s="1"/>
  <c r="FP40" i="5"/>
  <c r="FT40" i="5"/>
  <c r="FT33" i="5"/>
  <c r="FN33" i="5"/>
  <c r="FO33" i="5" s="1"/>
  <c r="GD33" i="5" s="1"/>
  <c r="FP33" i="5"/>
  <c r="FP93" i="5"/>
  <c r="FQ93" i="5" s="1"/>
  <c r="GE93" i="5" s="1"/>
  <c r="FT93" i="5"/>
  <c r="FN27" i="5"/>
  <c r="FO27" i="5" s="1"/>
  <c r="GD27" i="5" s="1"/>
  <c r="FT27" i="5"/>
  <c r="FP27" i="5"/>
  <c r="FT74" i="5"/>
  <c r="FU74" i="5" s="1"/>
  <c r="FP74" i="5"/>
  <c r="FQ74" i="5" s="1"/>
  <c r="GE74" i="5" s="1"/>
  <c r="FT75" i="5"/>
  <c r="FU75" i="5" s="1"/>
  <c r="FP75" i="5"/>
  <c r="FQ75" i="5" s="1"/>
  <c r="GE75" i="5" s="1"/>
  <c r="FQ18" i="5"/>
  <c r="GE18" i="5" s="1"/>
  <c r="FF80" i="5"/>
  <c r="FM80" i="5"/>
  <c r="GC80" i="5" s="1"/>
  <c r="FN84" i="5"/>
  <c r="FO84" i="5" s="1"/>
  <c r="GD84" i="5" s="1"/>
  <c r="FF78" i="5"/>
  <c r="FM78" i="5"/>
  <c r="GC78" i="5" s="1"/>
  <c r="FI53" i="5"/>
  <c r="GF53" i="5" s="1"/>
  <c r="FJ53" i="5"/>
  <c r="GG53" i="5" s="1"/>
  <c r="FI69" i="5"/>
  <c r="GF69" i="5" s="1"/>
  <c r="FJ69" i="5"/>
  <c r="GG69" i="5" s="1"/>
  <c r="FI26" i="5"/>
  <c r="GF26" i="5" s="1"/>
  <c r="FJ26" i="5"/>
  <c r="GG26" i="5" s="1"/>
  <c r="FM76" i="5"/>
  <c r="GC76" i="5" s="1"/>
  <c r="FF76" i="5"/>
  <c r="EQ10" i="5"/>
  <c r="ER10" i="5" s="1"/>
  <c r="ES10" i="5" s="1"/>
  <c r="BG10" i="5"/>
  <c r="EU10" i="5" s="1"/>
  <c r="EV10" i="5" s="1"/>
  <c r="GJ10" i="5" s="1"/>
  <c r="FF73" i="5"/>
  <c r="FM73" i="5"/>
  <c r="GC73" i="5" s="1"/>
  <c r="FI77" i="5"/>
  <c r="GF77" i="5" s="1"/>
  <c r="FJ77" i="5"/>
  <c r="GG77" i="5" s="1"/>
  <c r="EQ80" i="5"/>
  <c r="ER80" i="5" s="1"/>
  <c r="ES80" i="5" s="1"/>
  <c r="BG80" i="5"/>
  <c r="EU80" i="5" s="1"/>
  <c r="EV80" i="5" s="1"/>
  <c r="GJ80" i="5" s="1"/>
  <c r="FI84" i="5"/>
  <c r="GF84" i="5" s="1"/>
  <c r="FJ84" i="5"/>
  <c r="GG84" i="5" s="1"/>
  <c r="EQ41" i="5"/>
  <c r="ER41" i="5" s="1"/>
  <c r="ES41" i="5" s="1"/>
  <c r="BG41" i="5"/>
  <c r="EU41" i="5" s="1"/>
  <c r="EV41" i="5" s="1"/>
  <c r="GJ41" i="5" s="1"/>
  <c r="FM68" i="5"/>
  <c r="GC68" i="5" s="1"/>
  <c r="FF68" i="5"/>
  <c r="FI43" i="5"/>
  <c r="GF43" i="5" s="1"/>
  <c r="FJ43" i="5"/>
  <c r="GG43" i="5" s="1"/>
  <c r="FF48" i="5"/>
  <c r="FM48" i="5"/>
  <c r="EQ56" i="5"/>
  <c r="ER56" i="5" s="1"/>
  <c r="ES56" i="5" s="1"/>
  <c r="BG56" i="5"/>
  <c r="EU56" i="5" s="1"/>
  <c r="EV56" i="5" s="1"/>
  <c r="GJ56" i="5" s="1"/>
  <c r="EQ55" i="5"/>
  <c r="ER55" i="5" s="1"/>
  <c r="ES55" i="5" s="1"/>
  <c r="BG55" i="5"/>
  <c r="EU55" i="5" s="1"/>
  <c r="EV55" i="5" s="1"/>
  <c r="GJ55" i="5" s="1"/>
  <c r="FF36" i="5"/>
  <c r="FM36" i="5"/>
  <c r="FQ16" i="5"/>
  <c r="GE16" i="5" s="1"/>
  <c r="FI51" i="5"/>
  <c r="GF51" i="5" s="1"/>
  <c r="FJ51" i="5"/>
  <c r="GG51" i="5" s="1"/>
  <c r="FQ30" i="5"/>
  <c r="GE30" i="5" s="1"/>
  <c r="EQ89" i="5"/>
  <c r="ER89" i="5" s="1"/>
  <c r="ES89" i="5" s="1"/>
  <c r="BG89" i="5"/>
  <c r="EU89" i="5" s="1"/>
  <c r="EV89" i="5" s="1"/>
  <c r="GJ89" i="5" s="1"/>
  <c r="FF70" i="5"/>
  <c r="FM70" i="5"/>
  <c r="GC70" i="5" s="1"/>
  <c r="FM67" i="5"/>
  <c r="GC67" i="5" s="1"/>
  <c r="FF67" i="5"/>
  <c r="FI33" i="5"/>
  <c r="GF33" i="5" s="1"/>
  <c r="FJ33" i="5"/>
  <c r="GG33" i="5" s="1"/>
  <c r="EQ94" i="5"/>
  <c r="ER94" i="5" s="1"/>
  <c r="ES94" i="5" s="1"/>
  <c r="BG94" i="5"/>
  <c r="EU94" i="5" s="1"/>
  <c r="EV94" i="5" s="1"/>
  <c r="GJ94" i="5" s="1"/>
  <c r="FI38" i="5"/>
  <c r="GF38" i="5" s="1"/>
  <c r="FJ38" i="5"/>
  <c r="GG38" i="5" s="1"/>
  <c r="FI17" i="5"/>
  <c r="GF17" i="5" s="1"/>
  <c r="FJ17" i="5"/>
  <c r="GG17" i="5" s="1"/>
  <c r="FI13" i="5"/>
  <c r="GF13" i="5" s="1"/>
  <c r="FJ13" i="5"/>
  <c r="GG13" i="5" s="1"/>
  <c r="FF71" i="5"/>
  <c r="FM71" i="5"/>
  <c r="GC71" i="5" s="1"/>
  <c r="FI31" i="5"/>
  <c r="GF31" i="5" s="1"/>
  <c r="FJ31" i="5"/>
  <c r="GG31" i="5" s="1"/>
  <c r="FQ39" i="5"/>
  <c r="GE39" i="5" s="1"/>
  <c r="FF57" i="5"/>
  <c r="FM57" i="5"/>
  <c r="FF10" i="5"/>
  <c r="FM52" i="5"/>
  <c r="FF52" i="5"/>
  <c r="FI85" i="5"/>
  <c r="GF85" i="5" s="1"/>
  <c r="FJ85" i="5"/>
  <c r="GG85" i="5" s="1"/>
  <c r="EQ70" i="5"/>
  <c r="ER70" i="5" s="1"/>
  <c r="ES70" i="5" s="1"/>
  <c r="BG70" i="5"/>
  <c r="EU70" i="5" s="1"/>
  <c r="EV70" i="5" s="1"/>
  <c r="GJ70" i="5" s="1"/>
  <c r="EQ67" i="5"/>
  <c r="ER67" i="5" s="1"/>
  <c r="ES67" i="5" s="1"/>
  <c r="BG67" i="5"/>
  <c r="EU67" i="5" s="1"/>
  <c r="EV67" i="5" s="1"/>
  <c r="GJ67" i="5" s="1"/>
  <c r="FN86" i="5"/>
  <c r="FO86" i="5" s="1"/>
  <c r="GD86" i="5" s="1"/>
  <c r="EQ49" i="5"/>
  <c r="ER49" i="5" s="1"/>
  <c r="ES49" i="5" s="1"/>
  <c r="BG49" i="5"/>
  <c r="EU49" i="5" s="1"/>
  <c r="EV49" i="5" s="1"/>
  <c r="GJ49" i="5" s="1"/>
  <c r="FF94" i="5"/>
  <c r="FM94" i="5"/>
  <c r="GC94" i="5" s="1"/>
  <c r="EQ78" i="5"/>
  <c r="ER78" i="5" s="1"/>
  <c r="ES78" i="5" s="1"/>
  <c r="BG78" i="5"/>
  <c r="EU78" i="5" s="1"/>
  <c r="EV78" i="5" s="1"/>
  <c r="GJ78" i="5" s="1"/>
  <c r="FN72" i="5"/>
  <c r="FO72" i="5" s="1"/>
  <c r="GD72" i="5" s="1"/>
  <c r="FN75" i="5"/>
  <c r="FO75" i="5" s="1"/>
  <c r="GD75" i="5" s="1"/>
  <c r="EQ65" i="5"/>
  <c r="ER65" i="5" s="1"/>
  <c r="ES65" i="5" s="1"/>
  <c r="BG65" i="5"/>
  <c r="EU65" i="5" s="1"/>
  <c r="EV65" i="5" s="1"/>
  <c r="GJ65" i="5" s="1"/>
  <c r="EQ63" i="5"/>
  <c r="ER63" i="5" s="1"/>
  <c r="ES63" i="5" s="1"/>
  <c r="BG63" i="5"/>
  <c r="EU63" i="5" s="1"/>
  <c r="EV63" i="5" s="1"/>
  <c r="GJ63" i="5" s="1"/>
  <c r="GF9" i="5"/>
  <c r="FJ9" i="5"/>
  <c r="GG9" i="5" s="1"/>
  <c r="FI72" i="5"/>
  <c r="GF72" i="5" s="1"/>
  <c r="FJ72" i="5"/>
  <c r="GG72" i="5" s="1"/>
  <c r="FI75" i="5"/>
  <c r="GF75" i="5" s="1"/>
  <c r="FJ75" i="5"/>
  <c r="GG75" i="5" s="1"/>
  <c r="FM37" i="5"/>
  <c r="FF37" i="5"/>
  <c r="EQ57" i="5"/>
  <c r="ER57" i="5" s="1"/>
  <c r="ES57" i="5" s="1"/>
  <c r="BG57" i="5"/>
  <c r="EU57" i="5" s="1"/>
  <c r="EV57" i="5" s="1"/>
  <c r="GJ57" i="5" s="1"/>
  <c r="EQ54" i="5"/>
  <c r="ER54" i="5" s="1"/>
  <c r="ES54" i="5" s="1"/>
  <c r="BG54" i="5"/>
  <c r="EU54" i="5" s="1"/>
  <c r="EV54" i="5" s="1"/>
  <c r="GJ54" i="5" s="1"/>
  <c r="FN77" i="5"/>
  <c r="FO77" i="5" s="1"/>
  <c r="GD77" i="5" s="1"/>
  <c r="EQ68" i="5"/>
  <c r="ER68" i="5" s="1"/>
  <c r="ES68" i="5" s="1"/>
  <c r="BG68" i="5"/>
  <c r="EU68" i="5" s="1"/>
  <c r="EV68" i="5" s="1"/>
  <c r="GJ68" i="5" s="1"/>
  <c r="FQ46" i="5"/>
  <c r="GE46" i="5" s="1"/>
  <c r="EQ58" i="5"/>
  <c r="ER58" i="5" s="1"/>
  <c r="ES58" i="5" s="1"/>
  <c r="BG58" i="5"/>
  <c r="EU58" i="5" s="1"/>
  <c r="EV58" i="5" s="1"/>
  <c r="GJ58" i="5" s="1"/>
  <c r="FM79" i="5"/>
  <c r="GC79" i="5" s="1"/>
  <c r="FF79" i="5"/>
  <c r="FQ23" i="5"/>
  <c r="GE23" i="5" s="1"/>
  <c r="FF95" i="5"/>
  <c r="FM95" i="5"/>
  <c r="GC95" i="5" s="1"/>
  <c r="FQ14" i="5"/>
  <c r="GE14" i="5" s="1"/>
  <c r="FQ32" i="5"/>
  <c r="GE32" i="5" s="1"/>
  <c r="FQ34" i="5"/>
  <c r="GE34" i="5" s="1"/>
  <c r="FN69" i="5"/>
  <c r="FO69" i="5" s="1"/>
  <c r="GD69" i="5" s="1"/>
  <c r="EQ59" i="5"/>
  <c r="ER59" i="5" s="1"/>
  <c r="ES59" i="5" s="1"/>
  <c r="BG59" i="5"/>
  <c r="EU59" i="5" s="1"/>
  <c r="EV59" i="5" s="1"/>
  <c r="GJ59" i="5" s="1"/>
  <c r="FI64" i="5"/>
  <c r="GF64" i="5" s="1"/>
  <c r="FJ64" i="5"/>
  <c r="GG64" i="5" s="1"/>
  <c r="EQ79" i="5"/>
  <c r="ER79" i="5" s="1"/>
  <c r="ES79" i="5" s="1"/>
  <c r="BG79" i="5"/>
  <c r="EU79" i="5" s="1"/>
  <c r="EV79" i="5" s="1"/>
  <c r="GJ79" i="5" s="1"/>
  <c r="FQ35" i="5"/>
  <c r="GE35" i="5" s="1"/>
  <c r="FQ12" i="5"/>
  <c r="GE12" i="5" s="1"/>
  <c r="FQ24" i="5"/>
  <c r="GE24" i="5" s="1"/>
  <c r="FF56" i="5"/>
  <c r="FM56" i="5"/>
  <c r="FI66" i="5"/>
  <c r="GF66" i="5" s="1"/>
  <c r="FJ66" i="5"/>
  <c r="GG66" i="5" s="1"/>
  <c r="FN93" i="5"/>
  <c r="FO93" i="5" s="1"/>
  <c r="GD93" i="5" s="1"/>
  <c r="FI25" i="5"/>
  <c r="GF25" i="5" s="1"/>
  <c r="FJ25" i="5"/>
  <c r="GG25" i="5" s="1"/>
  <c r="EQ71" i="5"/>
  <c r="ER71" i="5" s="1"/>
  <c r="ES71" i="5" s="1"/>
  <c r="BG71" i="5"/>
  <c r="EU71" i="5" s="1"/>
  <c r="EV71" i="5" s="1"/>
  <c r="GJ71" i="5" s="1"/>
  <c r="EQ37" i="5"/>
  <c r="ER37" i="5" s="1"/>
  <c r="ES37" i="5" s="1"/>
  <c r="BG37" i="5"/>
  <c r="EU37" i="5" s="1"/>
  <c r="EV37" i="5" s="1"/>
  <c r="GJ37" i="5" s="1"/>
  <c r="EQ52" i="5"/>
  <c r="ER52" i="5" s="1"/>
  <c r="ES52" i="5" s="1"/>
  <c r="BG52" i="5"/>
  <c r="EU52" i="5" s="1"/>
  <c r="EV52" i="5" s="1"/>
  <c r="GJ52" i="5" s="1"/>
  <c r="FM65" i="5"/>
  <c r="GC65" i="5" s="1"/>
  <c r="FF65" i="5"/>
  <c r="FI40" i="5"/>
  <c r="GF40" i="5" s="1"/>
  <c r="FJ40" i="5"/>
  <c r="GG40" i="5" s="1"/>
  <c r="FQ15" i="5"/>
  <c r="GE15" i="5" s="1"/>
  <c r="FQ28" i="5"/>
  <c r="GE28" i="5" s="1"/>
  <c r="FN64" i="5"/>
  <c r="FO64" i="5" s="1"/>
  <c r="GD64" i="5" s="1"/>
  <c r="FF49" i="5"/>
  <c r="FM49" i="5"/>
  <c r="FM54" i="5"/>
  <c r="FF54" i="5"/>
  <c r="EQ73" i="5"/>
  <c r="ER73" i="5" s="1"/>
  <c r="ES73" i="5" s="1"/>
  <c r="BG73" i="5"/>
  <c r="EU73" i="5" s="1"/>
  <c r="EV73" i="5" s="1"/>
  <c r="GJ73" i="5" s="1"/>
  <c r="FM59" i="5"/>
  <c r="FF59" i="5"/>
  <c r="FI45" i="5"/>
  <c r="GF45" i="5" s="1"/>
  <c r="FJ45" i="5"/>
  <c r="GG45" i="5" s="1"/>
  <c r="EQ62" i="5"/>
  <c r="ER62" i="5" s="1"/>
  <c r="ES62" i="5" s="1"/>
  <c r="BG62" i="5"/>
  <c r="EU62" i="5" s="1"/>
  <c r="EV62" i="5" s="1"/>
  <c r="GJ62" i="5" s="1"/>
  <c r="FI81" i="5"/>
  <c r="GF81" i="5" s="1"/>
  <c r="FJ81" i="5"/>
  <c r="GG81" i="5" s="1"/>
  <c r="FN87" i="5"/>
  <c r="FO87" i="5" s="1"/>
  <c r="GD87" i="5" s="1"/>
  <c r="FN90" i="5"/>
  <c r="FO90" i="5" s="1"/>
  <c r="GD90" i="5" s="1"/>
  <c r="FM63" i="5"/>
  <c r="GC63" i="5" s="1"/>
  <c r="FF63" i="5"/>
  <c r="EQ76" i="5"/>
  <c r="ER76" i="5" s="1"/>
  <c r="ES76" i="5" s="1"/>
  <c r="BG76" i="5"/>
  <c r="EU76" i="5" s="1"/>
  <c r="EV76" i="5" s="1"/>
  <c r="GJ76" i="5" s="1"/>
  <c r="FN82" i="5"/>
  <c r="FO82" i="5" s="1"/>
  <c r="GD82" i="5" s="1"/>
  <c r="FI27" i="5"/>
  <c r="GF27" i="5" s="1"/>
  <c r="FJ27" i="5"/>
  <c r="GG27" i="5" s="1"/>
  <c r="FI74" i="5"/>
  <c r="GF74" i="5" s="1"/>
  <c r="FJ74" i="5"/>
  <c r="GG74" i="5" s="1"/>
  <c r="FN92" i="5"/>
  <c r="FO92" i="5" s="1"/>
  <c r="GD92" i="5" s="1"/>
  <c r="EQ36" i="5"/>
  <c r="ER36" i="5" s="1"/>
  <c r="ES36" i="5" s="1"/>
  <c r="BG36" i="5"/>
  <c r="EU36" i="5" s="1"/>
  <c r="EV36" i="5" s="1"/>
  <c r="GJ36" i="5" s="1"/>
  <c r="EQ95" i="5"/>
  <c r="ER95" i="5" s="1"/>
  <c r="ES95" i="5" s="1"/>
  <c r="BG95" i="5"/>
  <c r="EU95" i="5" s="1"/>
  <c r="EV95" i="5" s="1"/>
  <c r="GJ95" i="5" s="1"/>
  <c r="FI29" i="5"/>
  <c r="GF29" i="5" s="1"/>
  <c r="FJ29" i="5"/>
  <c r="GG29" i="5" s="1"/>
  <c r="FM58" i="5"/>
  <c r="FF58" i="5"/>
  <c r="EQ91" i="5"/>
  <c r="ER91" i="5" s="1"/>
  <c r="ES91" i="5" s="1"/>
  <c r="BG91" i="5"/>
  <c r="EU91" i="5" s="1"/>
  <c r="EV91" i="5" s="1"/>
  <c r="GJ91" i="5" s="1"/>
  <c r="FN85" i="5"/>
  <c r="FO85" i="5" s="1"/>
  <c r="GD85" i="5" s="1"/>
  <c r="FI86" i="5"/>
  <c r="GF86" i="5" s="1"/>
  <c r="FJ86" i="5"/>
  <c r="GG86" i="5" s="1"/>
  <c r="FI50" i="5"/>
  <c r="GF50" i="5" s="1"/>
  <c r="FJ50" i="5"/>
  <c r="GG50" i="5" s="1"/>
  <c r="FF91" i="5"/>
  <c r="FM91" i="5"/>
  <c r="GC91" i="5" s="1"/>
  <c r="FM89" i="5"/>
  <c r="GC89" i="5" s="1"/>
  <c r="FF89" i="5"/>
  <c r="FN66" i="5"/>
  <c r="FO66" i="5" s="1"/>
  <c r="GD66" i="5" s="1"/>
  <c r="FI93" i="5"/>
  <c r="GF93" i="5" s="1"/>
  <c r="FJ93" i="5"/>
  <c r="GG93" i="5" s="1"/>
  <c r="FI21" i="5"/>
  <c r="GF21" i="5" s="1"/>
  <c r="FJ21" i="5"/>
  <c r="GG21" i="5" s="1"/>
  <c r="FQ20" i="5"/>
  <c r="GE20" i="5" s="1"/>
  <c r="FQ42" i="5"/>
  <c r="GE42" i="5" s="1"/>
  <c r="FQ11" i="5"/>
  <c r="GE11" i="5" s="1"/>
  <c r="FI47" i="5"/>
  <c r="GF47" i="5" s="1"/>
  <c r="FJ47" i="5"/>
  <c r="GG47" i="5" s="1"/>
  <c r="FF41" i="5"/>
  <c r="FM41" i="5"/>
  <c r="FQ44" i="5"/>
  <c r="GE44" i="5" s="1"/>
  <c r="FF62" i="5"/>
  <c r="FM62" i="5"/>
  <c r="GC62" i="5" s="1"/>
  <c r="EQ48" i="5"/>
  <c r="ER48" i="5" s="1"/>
  <c r="ES48" i="5" s="1"/>
  <c r="BG48" i="5"/>
  <c r="EU48" i="5" s="1"/>
  <c r="EV48" i="5" s="1"/>
  <c r="GJ48" i="5" s="1"/>
  <c r="FN81" i="5"/>
  <c r="FO81" i="5" s="1"/>
  <c r="GD81" i="5" s="1"/>
  <c r="FI87" i="5"/>
  <c r="GF87" i="5" s="1"/>
  <c r="FJ87" i="5"/>
  <c r="GG87" i="5" s="1"/>
  <c r="FI90" i="5"/>
  <c r="GF90" i="5" s="1"/>
  <c r="FJ90" i="5"/>
  <c r="GG90" i="5" s="1"/>
  <c r="FQ22" i="5"/>
  <c r="GE22" i="5" s="1"/>
  <c r="FQ19" i="5"/>
  <c r="GE19" i="5" s="1"/>
  <c r="FF55" i="5"/>
  <c r="FM55" i="5"/>
  <c r="FI82" i="5"/>
  <c r="GF82" i="5" s="1"/>
  <c r="FJ82" i="5"/>
  <c r="GG82" i="5" s="1"/>
  <c r="FN74" i="5"/>
  <c r="FO74" i="5" s="1"/>
  <c r="GD74" i="5" s="1"/>
  <c r="FI92" i="5"/>
  <c r="GF92" i="5" s="1"/>
  <c r="FJ92" i="5"/>
  <c r="GG92" i="5" s="1"/>
  <c r="FS82" i="5" l="1"/>
  <c r="FS50" i="5"/>
  <c r="FS26" i="5"/>
  <c r="GC52" i="5"/>
  <c r="FR52" i="5"/>
  <c r="FR71" i="5"/>
  <c r="FR73" i="5"/>
  <c r="FU85" i="5"/>
  <c r="FS85" i="5"/>
  <c r="FU43" i="5"/>
  <c r="FS43" i="5"/>
  <c r="FU17" i="5"/>
  <c r="FS17" i="5"/>
  <c r="FS38" i="5"/>
  <c r="GC37" i="5"/>
  <c r="FR37" i="5"/>
  <c r="GC10" i="5"/>
  <c r="FR10" i="5"/>
  <c r="FU13" i="5"/>
  <c r="FS13" i="5"/>
  <c r="FU64" i="5"/>
  <c r="FS64" i="5"/>
  <c r="FU84" i="5"/>
  <c r="FS84" i="5"/>
  <c r="FU77" i="5"/>
  <c r="FS77" i="5"/>
  <c r="FS75" i="5"/>
  <c r="FR94" i="5"/>
  <c r="FU93" i="5"/>
  <c r="FS93" i="5"/>
  <c r="FU31" i="5"/>
  <c r="FS31" i="5"/>
  <c r="FS86" i="5"/>
  <c r="GC58" i="5"/>
  <c r="FR58" i="5"/>
  <c r="GC57" i="5"/>
  <c r="FR57" i="5"/>
  <c r="FU40" i="5"/>
  <c r="FS40" i="5"/>
  <c r="FU92" i="5"/>
  <c r="FS92" i="5"/>
  <c r="FS74" i="5"/>
  <c r="FR63" i="5"/>
  <c r="FR62" i="5"/>
  <c r="GC54" i="5"/>
  <c r="FR54" i="5"/>
  <c r="FR79" i="5"/>
  <c r="GC41" i="5"/>
  <c r="FR41" i="5"/>
  <c r="FR91" i="5"/>
  <c r="FR65" i="5"/>
  <c r="FR68" i="5"/>
  <c r="FU53" i="5"/>
  <c r="FS53" i="5"/>
  <c r="FU45" i="5"/>
  <c r="FS45" i="5"/>
  <c r="FU81" i="5"/>
  <c r="FS81" i="5"/>
  <c r="FU47" i="5"/>
  <c r="FS47" i="5"/>
  <c r="FU29" i="5"/>
  <c r="FS29" i="5"/>
  <c r="FS90" i="5"/>
  <c r="GC56" i="5"/>
  <c r="FR56" i="5"/>
  <c r="GC49" i="5"/>
  <c r="FR49" i="5"/>
  <c r="FR89" i="5"/>
  <c r="GC59" i="5"/>
  <c r="FR59" i="5"/>
  <c r="FR67" i="5"/>
  <c r="FR76" i="5"/>
  <c r="FU21" i="5"/>
  <c r="FS21" i="5"/>
  <c r="FU25" i="5"/>
  <c r="FS25" i="5"/>
  <c r="FS66" i="5"/>
  <c r="GC55" i="5"/>
  <c r="FR55" i="5"/>
  <c r="FR95" i="5"/>
  <c r="FR70" i="5"/>
  <c r="GC36" i="5"/>
  <c r="FR36" i="5"/>
  <c r="FR80" i="5"/>
  <c r="FU27" i="5"/>
  <c r="FS27" i="5"/>
  <c r="FU33" i="5"/>
  <c r="FS33" i="5"/>
  <c r="FU72" i="5"/>
  <c r="FS72" i="5"/>
  <c r="GC48" i="5"/>
  <c r="FR48" i="5"/>
  <c r="FR78" i="5"/>
  <c r="FU51" i="5"/>
  <c r="FS51" i="5"/>
  <c r="FU69" i="5"/>
  <c r="FS69" i="5"/>
  <c r="FS87" i="5"/>
  <c r="FT10" i="5"/>
  <c r="FU10" i="5" s="1"/>
  <c r="FN10" i="5"/>
  <c r="FO10" i="5" s="1"/>
  <c r="GD10" i="5" s="1"/>
  <c r="FP10" i="5"/>
  <c r="FN57" i="5"/>
  <c r="FO57" i="5" s="1"/>
  <c r="GD57" i="5" s="1"/>
  <c r="FP57" i="5"/>
  <c r="FT57" i="5"/>
  <c r="FP76" i="5"/>
  <c r="FQ76" i="5" s="1"/>
  <c r="GE76" i="5" s="1"/>
  <c r="FT76" i="5"/>
  <c r="FT62" i="5"/>
  <c r="FU62" i="5" s="1"/>
  <c r="FP62" i="5"/>
  <c r="FQ62" i="5" s="1"/>
  <c r="GE62" i="5" s="1"/>
  <c r="FN59" i="5"/>
  <c r="FO59" i="5" s="1"/>
  <c r="GD59" i="5" s="1"/>
  <c r="FT59" i="5"/>
  <c r="FP59" i="5"/>
  <c r="FT56" i="5"/>
  <c r="FN56" i="5"/>
  <c r="FO56" i="5" s="1"/>
  <c r="GD56" i="5" s="1"/>
  <c r="FP56" i="5"/>
  <c r="FN48" i="5"/>
  <c r="FO48" i="5" s="1"/>
  <c r="GD48" i="5" s="1"/>
  <c r="FT48" i="5"/>
  <c r="FP48" i="5"/>
  <c r="FT71" i="5"/>
  <c r="FU71" i="5" s="1"/>
  <c r="FP71" i="5"/>
  <c r="FQ71" i="5" s="1"/>
  <c r="GE71" i="5" s="1"/>
  <c r="FN36" i="5"/>
  <c r="FO36" i="5" s="1"/>
  <c r="GD36" i="5" s="1"/>
  <c r="FT36" i="5"/>
  <c r="FP36" i="5"/>
  <c r="FP91" i="5"/>
  <c r="FQ91" i="5" s="1"/>
  <c r="GE91" i="5" s="1"/>
  <c r="FT91" i="5"/>
  <c r="FU91" i="5" s="1"/>
  <c r="FT65" i="5"/>
  <c r="FP65" i="5"/>
  <c r="FQ65" i="5" s="1"/>
  <c r="GE65" i="5" s="1"/>
  <c r="FT79" i="5"/>
  <c r="FU79" i="5" s="1"/>
  <c r="FP79" i="5"/>
  <c r="FQ79" i="5" s="1"/>
  <c r="GE79" i="5" s="1"/>
  <c r="FP78" i="5"/>
  <c r="FQ78" i="5" s="1"/>
  <c r="GE78" i="5" s="1"/>
  <c r="FT78" i="5"/>
  <c r="FU78" i="5" s="1"/>
  <c r="FN55" i="5"/>
  <c r="FO55" i="5" s="1"/>
  <c r="GD55" i="5" s="1"/>
  <c r="FP55" i="5"/>
  <c r="FT55" i="5"/>
  <c r="FU55" i="5" s="1"/>
  <c r="FN52" i="5"/>
  <c r="FO52" i="5" s="1"/>
  <c r="GD52" i="5" s="1"/>
  <c r="FT52" i="5"/>
  <c r="FP52" i="5"/>
  <c r="FN41" i="5"/>
  <c r="FO41" i="5" s="1"/>
  <c r="GD41" i="5" s="1"/>
  <c r="FP41" i="5"/>
  <c r="FT41" i="5"/>
  <c r="FP89" i="5"/>
  <c r="FQ89" i="5" s="1"/>
  <c r="GE89" i="5" s="1"/>
  <c r="FT89" i="5"/>
  <c r="FP95" i="5"/>
  <c r="FQ95" i="5" s="1"/>
  <c r="GE95" i="5" s="1"/>
  <c r="FT95" i="5"/>
  <c r="FU95" i="5" s="1"/>
  <c r="FP37" i="5"/>
  <c r="FN37" i="5"/>
  <c r="FO37" i="5" s="1"/>
  <c r="GD37" i="5" s="1"/>
  <c r="FT37" i="5"/>
  <c r="FT67" i="5"/>
  <c r="FU67" i="5" s="1"/>
  <c r="FP67" i="5"/>
  <c r="FQ67" i="5" s="1"/>
  <c r="GE67" i="5" s="1"/>
  <c r="FP73" i="5"/>
  <c r="FQ73" i="5" s="1"/>
  <c r="GE73" i="5" s="1"/>
  <c r="FT73" i="5"/>
  <c r="FP80" i="5"/>
  <c r="FQ80" i="5" s="1"/>
  <c r="GE80" i="5" s="1"/>
  <c r="FT80" i="5"/>
  <c r="FP54" i="5"/>
  <c r="FT54" i="5"/>
  <c r="FU54" i="5" s="1"/>
  <c r="FN54" i="5"/>
  <c r="FO54" i="5" s="1"/>
  <c r="GD54" i="5" s="1"/>
  <c r="FN49" i="5"/>
  <c r="FO49" i="5" s="1"/>
  <c r="GD49" i="5" s="1"/>
  <c r="FT49" i="5"/>
  <c r="FP49" i="5"/>
  <c r="FN58" i="5"/>
  <c r="FO58" i="5" s="1"/>
  <c r="GD58" i="5" s="1"/>
  <c r="FP58" i="5"/>
  <c r="FT58" i="5"/>
  <c r="FU58" i="5" s="1"/>
  <c r="FP94" i="5"/>
  <c r="FQ94" i="5" s="1"/>
  <c r="GE94" i="5" s="1"/>
  <c r="FT94" i="5"/>
  <c r="FU94" i="5" s="1"/>
  <c r="FP68" i="5"/>
  <c r="FQ68" i="5" s="1"/>
  <c r="GE68" i="5" s="1"/>
  <c r="FT68" i="5"/>
  <c r="FP63" i="5"/>
  <c r="FQ63" i="5" s="1"/>
  <c r="GE63" i="5" s="1"/>
  <c r="FT63" i="5"/>
  <c r="FU63" i="5" s="1"/>
  <c r="FP70" i="5"/>
  <c r="FQ70" i="5" s="1"/>
  <c r="GE70" i="5" s="1"/>
  <c r="FT70" i="5"/>
  <c r="FU70" i="5" s="1"/>
  <c r="FI56" i="5"/>
  <c r="GF56" i="5" s="1"/>
  <c r="FJ56" i="5"/>
  <c r="GG56" i="5" s="1"/>
  <c r="FI57" i="5"/>
  <c r="GF57" i="5" s="1"/>
  <c r="FJ57" i="5"/>
  <c r="GG57" i="5" s="1"/>
  <c r="FQ51" i="5"/>
  <c r="GE51" i="5" s="1"/>
  <c r="FI80" i="5"/>
  <c r="GF80" i="5" s="1"/>
  <c r="FJ80" i="5"/>
  <c r="GG80" i="5" s="1"/>
  <c r="FN73" i="5"/>
  <c r="FO73" i="5" s="1"/>
  <c r="GD73" i="5" s="1"/>
  <c r="FQ53" i="5"/>
  <c r="GE53" i="5" s="1"/>
  <c r="FN67" i="5"/>
  <c r="FO67" i="5" s="1"/>
  <c r="GD67" i="5" s="1"/>
  <c r="FQ13" i="5"/>
  <c r="GE13" i="5" s="1"/>
  <c r="FN62" i="5"/>
  <c r="FO62" i="5" s="1"/>
  <c r="GD62" i="5" s="1"/>
  <c r="FN80" i="5"/>
  <c r="FO80" i="5" s="1"/>
  <c r="GD80" i="5" s="1"/>
  <c r="FQ27" i="5"/>
  <c r="GE27" i="5" s="1"/>
  <c r="FI78" i="5"/>
  <c r="GF78" i="5" s="1"/>
  <c r="FJ78" i="5"/>
  <c r="GG78" i="5" s="1"/>
  <c r="FN94" i="5"/>
  <c r="FO94" i="5" s="1"/>
  <c r="GD94" i="5" s="1"/>
  <c r="FI68" i="5"/>
  <c r="GF68" i="5" s="1"/>
  <c r="FJ68" i="5"/>
  <c r="GG68" i="5" s="1"/>
  <c r="FI62" i="5"/>
  <c r="GF62" i="5" s="1"/>
  <c r="FJ62" i="5"/>
  <c r="GG62" i="5" s="1"/>
  <c r="FQ25" i="5"/>
  <c r="GE25" i="5" s="1"/>
  <c r="FI91" i="5"/>
  <c r="GF91" i="5" s="1"/>
  <c r="FJ91" i="5"/>
  <c r="GG91" i="5" s="1"/>
  <c r="FI49" i="5"/>
  <c r="GF49" i="5" s="1"/>
  <c r="FJ49" i="5"/>
  <c r="GG49" i="5" s="1"/>
  <c r="FN65" i="5"/>
  <c r="FO65" i="5" s="1"/>
  <c r="GD65" i="5" s="1"/>
  <c r="FQ50" i="5"/>
  <c r="GE50" i="5" s="1"/>
  <c r="FI95" i="5"/>
  <c r="GF95" i="5" s="1"/>
  <c r="FJ95" i="5"/>
  <c r="GG95" i="5" s="1"/>
  <c r="FN79" i="5"/>
  <c r="FO79" i="5" s="1"/>
  <c r="GD79" i="5" s="1"/>
  <c r="FI94" i="5"/>
  <c r="GF94" i="5" s="1"/>
  <c r="FJ94" i="5"/>
  <c r="GG94" i="5" s="1"/>
  <c r="FI70" i="5"/>
  <c r="GF70" i="5" s="1"/>
  <c r="FJ70" i="5"/>
  <c r="GG70" i="5" s="1"/>
  <c r="FQ17" i="5"/>
  <c r="GE17" i="5" s="1"/>
  <c r="FQ33" i="5"/>
  <c r="GE33" i="5" s="1"/>
  <c r="FN68" i="5"/>
  <c r="FO68" i="5" s="1"/>
  <c r="GD68" i="5" s="1"/>
  <c r="FQ43" i="5"/>
  <c r="GE43" i="5" s="1"/>
  <c r="FQ21" i="5"/>
  <c r="GE21" i="5" s="1"/>
  <c r="FI37" i="5"/>
  <c r="GF37" i="5" s="1"/>
  <c r="FJ37" i="5"/>
  <c r="GG37" i="5" s="1"/>
  <c r="FI67" i="5"/>
  <c r="GF67" i="5" s="1"/>
  <c r="FJ67" i="5"/>
  <c r="GG67" i="5" s="1"/>
  <c r="FI41" i="5"/>
  <c r="GF41" i="5" s="1"/>
  <c r="FJ41" i="5"/>
  <c r="GG41" i="5" s="1"/>
  <c r="FN89" i="5"/>
  <c r="FO89" i="5" s="1"/>
  <c r="GD89" i="5" s="1"/>
  <c r="FQ47" i="5"/>
  <c r="GE47" i="5" s="1"/>
  <c r="FQ40" i="5"/>
  <c r="GE40" i="5" s="1"/>
  <c r="FI65" i="5"/>
  <c r="GF65" i="5" s="1"/>
  <c r="FJ65" i="5"/>
  <c r="GG65" i="5" s="1"/>
  <c r="FN95" i="5"/>
  <c r="FO95" i="5" s="1"/>
  <c r="GD95" i="5" s="1"/>
  <c r="FI58" i="5"/>
  <c r="GF58" i="5" s="1"/>
  <c r="FJ58" i="5"/>
  <c r="GG58" i="5" s="1"/>
  <c r="FI63" i="5"/>
  <c r="GF63" i="5" s="1"/>
  <c r="FJ63" i="5"/>
  <c r="GG63" i="5" s="1"/>
  <c r="FI59" i="5"/>
  <c r="GF59" i="5" s="1"/>
  <c r="FJ59" i="5"/>
  <c r="GG59" i="5" s="1"/>
  <c r="FN71" i="5"/>
  <c r="FO71" i="5" s="1"/>
  <c r="GD71" i="5" s="1"/>
  <c r="FI76" i="5"/>
  <c r="GF76" i="5" s="1"/>
  <c r="FJ76" i="5"/>
  <c r="GG76" i="5" s="1"/>
  <c r="FQ31" i="5"/>
  <c r="GE31" i="5" s="1"/>
  <c r="FI89" i="5"/>
  <c r="GF89" i="5" s="1"/>
  <c r="FJ89" i="5"/>
  <c r="GG89" i="5" s="1"/>
  <c r="FI54" i="5"/>
  <c r="GF54" i="5" s="1"/>
  <c r="FJ54" i="5"/>
  <c r="GG54" i="5" s="1"/>
  <c r="FN78" i="5"/>
  <c r="FO78" i="5" s="1"/>
  <c r="GD78" i="5" s="1"/>
  <c r="FI73" i="5"/>
  <c r="GF73" i="5" s="1"/>
  <c r="FJ73" i="5"/>
  <c r="GG73" i="5" s="1"/>
  <c r="FN91" i="5"/>
  <c r="FO91" i="5" s="1"/>
  <c r="GD91" i="5" s="1"/>
  <c r="FI79" i="5"/>
  <c r="GF79" i="5" s="1"/>
  <c r="FJ79" i="5"/>
  <c r="GG79" i="5" s="1"/>
  <c r="FI52" i="5"/>
  <c r="GF52" i="5" s="1"/>
  <c r="FJ52" i="5"/>
  <c r="GG52" i="5" s="1"/>
  <c r="FN70" i="5"/>
  <c r="FO70" i="5" s="1"/>
  <c r="GD70" i="5" s="1"/>
  <c r="FI55" i="5"/>
  <c r="GF55" i="5" s="1"/>
  <c r="FJ55" i="5"/>
  <c r="GG55" i="5" s="1"/>
  <c r="FQ45" i="5"/>
  <c r="GE45" i="5" s="1"/>
  <c r="FN63" i="5"/>
  <c r="FO63" i="5" s="1"/>
  <c r="GD63" i="5" s="1"/>
  <c r="FQ26" i="5"/>
  <c r="GE26" i="5" s="1"/>
  <c r="FI10" i="5"/>
  <c r="GF10" i="5" s="1"/>
  <c r="FJ10" i="5"/>
  <c r="GG10" i="5" s="1"/>
  <c r="FI71" i="5"/>
  <c r="GF71" i="5" s="1"/>
  <c r="FJ71" i="5"/>
  <c r="GG71" i="5" s="1"/>
  <c r="FI36" i="5"/>
  <c r="GF36" i="5" s="1"/>
  <c r="FJ36" i="5"/>
  <c r="GG36" i="5" s="1"/>
  <c r="FQ38" i="5"/>
  <c r="GE38" i="5" s="1"/>
  <c r="FI48" i="5"/>
  <c r="GF48" i="5" s="1"/>
  <c r="FJ48" i="5"/>
  <c r="GG48" i="5" s="1"/>
  <c r="FQ29" i="5"/>
  <c r="GE29" i="5" s="1"/>
  <c r="FN76" i="5"/>
  <c r="FO76" i="5" s="1"/>
  <c r="GD76" i="5" s="1"/>
  <c r="FS63" i="5" l="1"/>
  <c r="FS70" i="5"/>
  <c r="FS79" i="5"/>
  <c r="FS78" i="5"/>
  <c r="FS95" i="5"/>
  <c r="FS10" i="5"/>
  <c r="FS58" i="5"/>
  <c r="FU56" i="5"/>
  <c r="FS56" i="5"/>
  <c r="FU76" i="5"/>
  <c r="FS76" i="5"/>
  <c r="FS67" i="5"/>
  <c r="FU57" i="5"/>
  <c r="FS57" i="5"/>
  <c r="FU41" i="5"/>
  <c r="FS41" i="5"/>
  <c r="FS71" i="5"/>
  <c r="FU89" i="5"/>
  <c r="FS89" i="5"/>
  <c r="FU65" i="5"/>
  <c r="FS65" i="5"/>
  <c r="FU59" i="5"/>
  <c r="FS59" i="5"/>
  <c r="FU48" i="5"/>
  <c r="FS48" i="5"/>
  <c r="FS54" i="5"/>
  <c r="FU73" i="5"/>
  <c r="FS73" i="5"/>
  <c r="FS55" i="5"/>
  <c r="FS94" i="5"/>
  <c r="FU37" i="5"/>
  <c r="FS37" i="5"/>
  <c r="FU80" i="5"/>
  <c r="FS80" i="5"/>
  <c r="FU68" i="5"/>
  <c r="FS68" i="5"/>
  <c r="FU49" i="5"/>
  <c r="FS49" i="5"/>
  <c r="FU52" i="5"/>
  <c r="FS52" i="5"/>
  <c r="FU36" i="5"/>
  <c r="FS36" i="5"/>
  <c r="FS91" i="5"/>
  <c r="FS62" i="5"/>
  <c r="GE9" i="5"/>
  <c r="FQ54" i="5"/>
  <c r="GE54" i="5" s="1"/>
  <c r="FQ58" i="5"/>
  <c r="GE58" i="5" s="1"/>
  <c r="FQ52" i="5"/>
  <c r="GE52" i="5" s="1"/>
  <c r="FQ57" i="5"/>
  <c r="GE57" i="5" s="1"/>
  <c r="FQ55" i="5"/>
  <c r="GE55" i="5" s="1"/>
  <c r="FQ37" i="5"/>
  <c r="GE37" i="5" s="1"/>
  <c r="FQ56" i="5"/>
  <c r="GE56" i="5" s="1"/>
  <c r="FQ49" i="5"/>
  <c r="GE49" i="5" s="1"/>
  <c r="FQ48" i="5"/>
  <c r="GE48" i="5" s="1"/>
  <c r="FQ59" i="5"/>
  <c r="GE59" i="5" s="1"/>
  <c r="FQ36" i="5"/>
  <c r="GE36" i="5" s="1"/>
  <c r="FQ10" i="5"/>
  <c r="GE10" i="5" s="1"/>
  <c r="FQ41" i="5"/>
  <c r="GE41" i="5" s="1"/>
  <c r="FO14" i="5" l="1"/>
  <c r="GD14" i="5" s="1"/>
</calcChain>
</file>

<file path=xl/sharedStrings.xml><?xml version="1.0" encoding="utf-8"?>
<sst xmlns="http://schemas.openxmlformats.org/spreadsheetml/2006/main" count="331" uniqueCount="145">
  <si>
    <t xml:space="preserve">--&gt; </t>
  </si>
  <si>
    <t>&lt;--</t>
  </si>
  <si>
    <t xml:space="preserve">unhide cells to see calcs </t>
  </si>
  <si>
    <t>Inputs</t>
  </si>
  <si>
    <t>Results Summary</t>
  </si>
  <si>
    <r>
      <t>Major oxides (wt. %), Temperature (°C), Pressure (GPa), and log</t>
    </r>
    <r>
      <rPr>
        <b/>
        <i/>
        <sz val="18"/>
        <color theme="1"/>
        <rFont val="Calibri"/>
        <family val="2"/>
      </rPr>
      <t>f</t>
    </r>
    <r>
      <rPr>
        <b/>
        <sz val="18"/>
        <color theme="1"/>
        <rFont val="Calibri"/>
        <family val="2"/>
      </rPr>
      <t>O</t>
    </r>
    <r>
      <rPr>
        <b/>
        <vertAlign val="subscript"/>
        <sz val="18"/>
        <color theme="1"/>
        <rFont val="Calibri"/>
        <family val="2"/>
      </rPr>
      <t>2</t>
    </r>
    <r>
      <rPr>
        <b/>
        <sz val="18"/>
        <color theme="1"/>
        <rFont val="Calibri"/>
        <family val="2"/>
      </rPr>
      <t>ΔQFM</t>
    </r>
  </si>
  <si>
    <t>Buffers - Frost 1991</t>
  </si>
  <si>
    <t>Kress and Carmichael 1991 - Ferric/Ferrous from fO2</t>
  </si>
  <si>
    <t>fO2 from Ferric/Ferrous</t>
  </si>
  <si>
    <t>Nash et al. 19</t>
  </si>
  <si>
    <t>Jugo et al. 10</t>
  </si>
  <si>
    <t>O'Neill 21; O'Neill &amp; Mavrogenes 22</t>
  </si>
  <si>
    <t xml:space="preserve">Boulliung &amp; Wood 23 </t>
  </si>
  <si>
    <r>
      <t>logf</t>
    </r>
    <r>
      <rPr>
        <b/>
        <sz val="12"/>
        <color theme="1"/>
        <rFont val="Calibri"/>
        <family val="2"/>
      </rPr>
      <t>O</t>
    </r>
    <r>
      <rPr>
        <b/>
        <i/>
        <vertAlign val="subscript"/>
        <sz val="12"/>
        <color theme="1"/>
        <rFont val="Calibri"/>
        <family val="2"/>
      </rPr>
      <t>2</t>
    </r>
    <r>
      <rPr>
        <b/>
        <i/>
        <sz val="12"/>
        <color theme="1"/>
        <rFont val="Calibri"/>
        <family val="2"/>
      </rPr>
      <t xml:space="preserve"> Buffers - Frost 1991</t>
    </r>
  </si>
  <si>
    <t>Kress and Carmichael 1991</t>
  </si>
  <si>
    <t>Gorojovsky &amp; Wood 2025</t>
  </si>
  <si>
    <t>Boulliung &amp; Wood 23 - eq. 7 &amp; 9</t>
  </si>
  <si>
    <t>Boulliung &amp; Wood 23 - eq. 7 &amp; 11</t>
  </si>
  <si>
    <t>Renormalise to 100 - hydrous basis</t>
  </si>
  <si>
    <t>wt.% / MW</t>
  </si>
  <si>
    <t>X mol frac</t>
  </si>
  <si>
    <t>wt. % / Single Oxygen molar</t>
  </si>
  <si>
    <t>X single Oxygen</t>
  </si>
  <si>
    <t>wt.% / single cation</t>
  </si>
  <si>
    <t>X Single Cation</t>
  </si>
  <si>
    <t>Sample I.D.</t>
  </si>
  <si>
    <t>T °C</t>
  </si>
  <si>
    <t>P (Gpa)</t>
  </si>
  <si>
    <t>QFM</t>
  </si>
  <si>
    <t>SiO2</t>
  </si>
  <si>
    <t>TiO2</t>
  </si>
  <si>
    <t>FeOt</t>
  </si>
  <si>
    <t>MnO</t>
  </si>
  <si>
    <t>MgO</t>
  </si>
  <si>
    <t>CaO</t>
  </si>
  <si>
    <t>Na2O</t>
  </si>
  <si>
    <t>K2O</t>
  </si>
  <si>
    <t>H2O</t>
  </si>
  <si>
    <t>Total</t>
  </si>
  <si>
    <t>sum</t>
  </si>
  <si>
    <t>FeO</t>
  </si>
  <si>
    <t>Sum</t>
  </si>
  <si>
    <t>Si0.5O</t>
  </si>
  <si>
    <t>Ti0.5O</t>
  </si>
  <si>
    <t>Al0.6O</t>
  </si>
  <si>
    <t>Cr0.6O</t>
  </si>
  <si>
    <t>Fe0.6O</t>
  </si>
  <si>
    <t>P0.4O</t>
  </si>
  <si>
    <t>AlO1.5</t>
  </si>
  <si>
    <t>CrO1.5</t>
  </si>
  <si>
    <t>FeO1.5</t>
  </si>
  <si>
    <t>NaO0.5</t>
  </si>
  <si>
    <t>KO0.5</t>
  </si>
  <si>
    <t>PO2.5</t>
  </si>
  <si>
    <t>T (K)</t>
  </si>
  <si>
    <t>P (Pa)</t>
  </si>
  <si>
    <t>logfO2</t>
  </si>
  <si>
    <t>NNO</t>
  </si>
  <si>
    <t>IW</t>
  </si>
  <si>
    <r>
      <t>lnXFe</t>
    </r>
    <r>
      <rPr>
        <b/>
        <vertAlign val="subscript"/>
        <sz val="10"/>
        <color rgb="FF000000"/>
        <rFont val="Calibri"/>
        <family val="2"/>
      </rPr>
      <t>2</t>
    </r>
    <r>
      <rPr>
        <b/>
        <sz val="10"/>
        <color indexed="8"/>
        <rFont val="Calibri"/>
        <family val="2"/>
      </rPr>
      <t>O</t>
    </r>
    <r>
      <rPr>
        <b/>
        <vertAlign val="subscript"/>
        <sz val="10"/>
        <color rgb="FF000000"/>
        <rFont val="Calibri"/>
        <family val="2"/>
      </rPr>
      <t>3</t>
    </r>
    <r>
      <rPr>
        <b/>
        <sz val="10"/>
        <color indexed="8"/>
        <rFont val="Calibri"/>
        <family val="2"/>
      </rPr>
      <t>/XFeO</t>
    </r>
  </si>
  <si>
    <r>
      <t>logXFe</t>
    </r>
    <r>
      <rPr>
        <b/>
        <vertAlign val="subscript"/>
        <sz val="10"/>
        <color rgb="FF000000"/>
        <rFont val="Calibri"/>
        <family val="2"/>
      </rPr>
      <t>2</t>
    </r>
    <r>
      <rPr>
        <b/>
        <sz val="10"/>
        <color indexed="8"/>
        <rFont val="Calibri"/>
        <family val="2"/>
      </rPr>
      <t>O</t>
    </r>
    <r>
      <rPr>
        <b/>
        <vertAlign val="subscript"/>
        <sz val="10"/>
        <color rgb="FF000000"/>
        <rFont val="Calibri"/>
        <family val="2"/>
      </rPr>
      <t>3</t>
    </r>
    <r>
      <rPr>
        <b/>
        <sz val="10"/>
        <color indexed="8"/>
        <rFont val="Calibri"/>
        <family val="2"/>
      </rPr>
      <t>/XFeO</t>
    </r>
  </si>
  <si>
    <r>
      <t>XFe</t>
    </r>
    <r>
      <rPr>
        <b/>
        <vertAlign val="subscript"/>
        <sz val="10"/>
        <color rgb="FF000000"/>
        <rFont val="Calibri"/>
        <family val="2"/>
      </rPr>
      <t>2</t>
    </r>
    <r>
      <rPr>
        <b/>
        <sz val="10"/>
        <color indexed="8"/>
        <rFont val="Calibri"/>
        <family val="2"/>
      </rPr>
      <t>O</t>
    </r>
    <r>
      <rPr>
        <b/>
        <vertAlign val="subscript"/>
        <sz val="10"/>
        <color rgb="FF000000"/>
        <rFont val="Calibri"/>
        <family val="2"/>
      </rPr>
      <t>3</t>
    </r>
    <r>
      <rPr>
        <b/>
        <sz val="10"/>
        <color indexed="8"/>
        <rFont val="Calibri"/>
        <family val="2"/>
      </rPr>
      <t>/XFeO</t>
    </r>
  </si>
  <si>
    <t>XFeO</t>
  </si>
  <si>
    <t>XFe2O3</t>
  </si>
  <si>
    <r>
      <t>Fe</t>
    </r>
    <r>
      <rPr>
        <b/>
        <vertAlign val="superscript"/>
        <sz val="11"/>
        <color theme="1"/>
        <rFont val="Calibri"/>
        <family val="2"/>
      </rPr>
      <t>3+</t>
    </r>
    <r>
      <rPr>
        <b/>
        <sz val="11"/>
        <color theme="1"/>
        <rFont val="Calibri"/>
        <family val="2"/>
      </rPr>
      <t>/ΣFe</t>
    </r>
  </si>
  <si>
    <t>lnFe203/XFeO</t>
  </si>
  <si>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t>
    </r>
  </si>
  <si>
    <r>
      <t>S</t>
    </r>
    <r>
      <rPr>
        <b/>
        <vertAlign val="superscript"/>
        <sz val="10"/>
        <color rgb="FF000000"/>
        <rFont val="Calibri"/>
        <family val="2"/>
      </rPr>
      <t>6+</t>
    </r>
    <r>
      <rPr>
        <b/>
        <sz val="10"/>
        <color indexed="8"/>
        <rFont val="Calibri"/>
        <family val="2"/>
      </rPr>
      <t>/ΣS</t>
    </r>
  </si>
  <si>
    <r>
      <t>lnC</t>
    </r>
    <r>
      <rPr>
        <b/>
        <vertAlign val="subscript"/>
        <sz val="10"/>
        <color rgb="FF000000"/>
        <rFont val="Calibri"/>
        <family val="2"/>
      </rPr>
      <t>S2-</t>
    </r>
  </si>
  <si>
    <r>
      <t>lnC</t>
    </r>
    <r>
      <rPr>
        <b/>
        <vertAlign val="subscript"/>
        <sz val="10"/>
        <color rgb="FF000000"/>
        <rFont val="Calibri"/>
        <family val="2"/>
      </rPr>
      <t>S6+</t>
    </r>
  </si>
  <si>
    <t>lnK</t>
  </si>
  <si>
    <t>lnS6+/S2-</t>
  </si>
  <si>
    <t>logCs2- eq. 7</t>
  </si>
  <si>
    <t>logCs6+ eq. 9</t>
  </si>
  <si>
    <t>logCs6+ logT - eq. 11</t>
  </si>
  <si>
    <r>
      <t>S</t>
    </r>
    <r>
      <rPr>
        <b/>
        <vertAlign val="superscript"/>
        <sz val="10"/>
        <color rgb="FF000000"/>
        <rFont val="Calibri"/>
        <family val="2"/>
      </rPr>
      <t>6+</t>
    </r>
    <r>
      <rPr>
        <b/>
        <sz val="10"/>
        <color indexed="8"/>
        <rFont val="Calibri"/>
        <family val="2"/>
      </rPr>
      <t>/ΣS non-linear</t>
    </r>
  </si>
  <si>
    <t>logCs6+</t>
  </si>
  <si>
    <t>logCs2-</t>
  </si>
  <si>
    <r>
      <t>log</t>
    </r>
    <r>
      <rPr>
        <b/>
        <i/>
        <sz val="11"/>
        <color theme="1"/>
        <rFont val="Calibri"/>
        <family val="2"/>
      </rPr>
      <t>f</t>
    </r>
    <r>
      <rPr>
        <b/>
        <sz val="11"/>
        <color theme="1"/>
        <rFont val="Calibri"/>
        <family val="2"/>
      </rPr>
      <t>O</t>
    </r>
    <r>
      <rPr>
        <b/>
        <vertAlign val="subscript"/>
        <sz val="11"/>
        <color theme="1"/>
        <rFont val="Calibri"/>
        <family val="2"/>
      </rPr>
      <t>2</t>
    </r>
  </si>
  <si>
    <r>
      <t>Fe</t>
    </r>
    <r>
      <rPr>
        <b/>
        <vertAlign val="superscript"/>
        <sz val="10"/>
        <color rgb="FF000000"/>
        <rFont val="Calibri"/>
        <family val="2"/>
      </rPr>
      <t>3+</t>
    </r>
    <r>
      <rPr>
        <b/>
        <sz val="10"/>
        <color indexed="8"/>
        <rFont val="Calibri"/>
        <family val="2"/>
      </rPr>
      <t>/ΣFe</t>
    </r>
  </si>
  <si>
    <r>
      <t>logC</t>
    </r>
    <r>
      <rPr>
        <b/>
        <vertAlign val="subscript"/>
        <sz val="10"/>
        <color rgb="FF000000"/>
        <rFont val="Calibri"/>
        <family val="2"/>
      </rPr>
      <t>S6+</t>
    </r>
  </si>
  <si>
    <r>
      <t>logC</t>
    </r>
    <r>
      <rPr>
        <b/>
        <vertAlign val="subscript"/>
        <sz val="10"/>
        <color rgb="FF000000"/>
        <rFont val="Calibri"/>
        <family val="2"/>
      </rPr>
      <t>S2-</t>
    </r>
  </si>
  <si>
    <t>Icelandic Basalt - 1050°C, 1 atm</t>
  </si>
  <si>
    <t>Phonolite - 1050°C, 1 atm</t>
  </si>
  <si>
    <t>Trachyandesite - Fig. 5b - Matjuschkin16</t>
  </si>
  <si>
    <t>Parameterisation</t>
  </si>
  <si>
    <t>Study</t>
  </si>
  <si>
    <t>Calibration P</t>
  </si>
  <si>
    <t>Calibration T</t>
  </si>
  <si>
    <r>
      <t>logC</t>
    </r>
    <r>
      <rPr>
        <vertAlign val="subscript"/>
        <sz val="11"/>
        <color rgb="FF000000"/>
        <rFont val="Arial"/>
        <family val="2"/>
      </rPr>
      <t>S2-</t>
    </r>
    <r>
      <rPr>
        <sz val="11"/>
        <color rgb="FF000000"/>
        <rFont val="Arial"/>
        <family val="2"/>
      </rPr>
      <t>,logC</t>
    </r>
    <r>
      <rPr>
        <vertAlign val="subscript"/>
        <sz val="11"/>
        <color rgb="FF000000"/>
        <rFont val="Arial"/>
        <family val="2"/>
      </rPr>
      <t>S6+</t>
    </r>
    <r>
      <rPr>
        <sz val="11"/>
        <color rgb="FF000000"/>
        <rFont val="Arial"/>
        <family val="2"/>
      </rPr>
      <t>, S</t>
    </r>
    <r>
      <rPr>
        <vertAlign val="superscript"/>
        <sz val="11"/>
        <color rgb="FF000000"/>
        <rFont val="Arial"/>
        <family val="2"/>
      </rPr>
      <t>6+</t>
    </r>
    <r>
      <rPr>
        <sz val="11"/>
        <color rgb="FF000000"/>
        <rFont val="Arial"/>
        <family val="2"/>
      </rPr>
      <t xml:space="preserve">/ΣS </t>
    </r>
  </si>
  <si>
    <t>Gorojovsky and Wood</t>
  </si>
  <si>
    <t>1050 - 1500 °C</t>
  </si>
  <si>
    <t>1 atm</t>
  </si>
  <si>
    <t>1200 - 1500 °C</t>
  </si>
  <si>
    <r>
      <t>S</t>
    </r>
    <r>
      <rPr>
        <vertAlign val="superscript"/>
        <sz val="11"/>
        <color rgb="FF000000"/>
        <rFont val="Arial"/>
        <family val="2"/>
      </rPr>
      <t>6+</t>
    </r>
    <r>
      <rPr>
        <sz val="11"/>
        <color rgb="FF000000"/>
        <rFont val="Arial"/>
        <family val="2"/>
      </rPr>
      <t xml:space="preserve">/ΣS </t>
    </r>
  </si>
  <si>
    <t>Jugo et al, 2010</t>
  </si>
  <si>
    <t>2 kbar</t>
  </si>
  <si>
    <t>1050 °C</t>
  </si>
  <si>
    <t>Nash et al. 2019</t>
  </si>
  <si>
    <t>1300 °C</t>
  </si>
  <si>
    <r>
      <t>Fe</t>
    </r>
    <r>
      <rPr>
        <vertAlign val="superscript"/>
        <sz val="11"/>
        <color rgb="FF000000"/>
        <rFont val="Arial"/>
        <family val="2"/>
      </rPr>
      <t>3+</t>
    </r>
    <r>
      <rPr>
        <sz val="11"/>
        <color rgb="FF000000"/>
        <rFont val="Arial"/>
        <family val="2"/>
      </rPr>
      <t xml:space="preserve">/ΣFe </t>
    </r>
  </si>
  <si>
    <t>996 - 1541 °C</t>
  </si>
  <si>
    <r>
      <t>Sulfur solubility, speciation, and log</t>
    </r>
    <r>
      <rPr>
        <b/>
        <i/>
        <sz val="14"/>
        <color rgb="FF000000"/>
        <rFont val="Arial"/>
        <family val="2"/>
      </rPr>
      <t>f</t>
    </r>
    <r>
      <rPr>
        <b/>
        <sz val="14"/>
        <color rgb="FF000000"/>
        <rFont val="Arial"/>
        <family val="2"/>
      </rPr>
      <t>O</t>
    </r>
    <r>
      <rPr>
        <b/>
        <vertAlign val="subscript"/>
        <sz val="14"/>
        <color rgb="FF000000"/>
        <rFont val="Arial"/>
        <family val="2"/>
      </rPr>
      <t>2</t>
    </r>
    <r>
      <rPr>
        <b/>
        <sz val="14"/>
        <color rgb="FF000000"/>
        <rFont val="Arial"/>
        <family val="2"/>
      </rPr>
      <t xml:space="preserve"> calculator </t>
    </r>
  </si>
  <si>
    <t>Summary of parameterisations available in this workbook:</t>
  </si>
  <si>
    <t>Lauren.gorojovsky@earth.ox.ac.uk</t>
  </si>
  <si>
    <r>
      <t>This excel-based calculator computes logC</t>
    </r>
    <r>
      <rPr>
        <vertAlign val="subscript"/>
        <sz val="12"/>
        <color rgb="FF000000"/>
        <rFont val="Arial"/>
        <family val="2"/>
      </rPr>
      <t>S2-</t>
    </r>
    <r>
      <rPr>
        <sz val="12"/>
        <color rgb="FF000000"/>
        <rFont val="Arial"/>
        <family val="2"/>
      </rPr>
      <t>, logC</t>
    </r>
    <r>
      <rPr>
        <vertAlign val="subscript"/>
        <sz val="12"/>
        <color rgb="FF000000"/>
        <rFont val="Arial"/>
        <family val="2"/>
      </rPr>
      <t>S6+</t>
    </r>
    <r>
      <rPr>
        <sz val="12"/>
        <color rgb="FF000000"/>
        <rFont val="Arial"/>
        <family val="2"/>
      </rPr>
      <t>, S</t>
    </r>
    <r>
      <rPr>
        <vertAlign val="superscript"/>
        <sz val="12"/>
        <color rgb="FF000000"/>
        <rFont val="Arial"/>
        <family val="2"/>
      </rPr>
      <t>6+</t>
    </r>
    <r>
      <rPr>
        <sz val="12"/>
        <color rgb="FF000000"/>
        <rFont val="Arial"/>
        <family val="2"/>
      </rPr>
      <t>/ΣS ± P, Fe</t>
    </r>
    <r>
      <rPr>
        <vertAlign val="superscript"/>
        <sz val="12"/>
        <color rgb="FF000000"/>
        <rFont val="Arial"/>
        <family val="2"/>
      </rPr>
      <t>3+</t>
    </r>
    <r>
      <rPr>
        <sz val="12"/>
        <color rgb="FF000000"/>
        <rFont val="Arial"/>
        <family val="2"/>
      </rPr>
      <t>/ΣFe, log</t>
    </r>
    <r>
      <rPr>
        <i/>
        <sz val="12"/>
        <color rgb="FF000000"/>
        <rFont val="Arial"/>
        <family val="2"/>
      </rPr>
      <t>f</t>
    </r>
    <r>
      <rPr>
        <sz val="12"/>
        <color rgb="FF000000"/>
        <rFont val="Arial"/>
        <family val="2"/>
      </rPr>
      <t>O</t>
    </r>
    <r>
      <rPr>
        <vertAlign val="subscript"/>
        <sz val="12"/>
        <color rgb="FF000000"/>
        <rFont val="Arial"/>
        <family val="2"/>
      </rPr>
      <t>2</t>
    </r>
    <r>
      <rPr>
        <sz val="12"/>
        <color rgb="FF000000"/>
        <rFont val="Arial"/>
        <family val="2"/>
      </rPr>
      <t xml:space="preserve"> and mineral buffers (ΔFMQ, ΔNNO, ΔIW ) </t>
    </r>
  </si>
  <si>
    <t xml:space="preserve">Workbook accompanying the manuscript: </t>
  </si>
  <si>
    <t xml:space="preserve">Please contact Lauren Gorojovsky if you have any inquiries regarding this notebook. </t>
  </si>
  <si>
    <t>ΔFMQ</t>
  </si>
  <si>
    <t>ΔNNO</t>
  </si>
  <si>
    <t>ΔIW</t>
  </si>
  <si>
    <t>Gorojovsky &amp; Wood, 1 atm</t>
  </si>
  <si>
    <t>Fe2+O</t>
  </si>
  <si>
    <t>HO0.5</t>
  </si>
  <si>
    <r>
      <t>S</t>
    </r>
    <r>
      <rPr>
        <b/>
        <vertAlign val="superscript"/>
        <sz val="10"/>
        <color rgb="FF000000"/>
        <rFont val="Calibri"/>
        <family val="2"/>
      </rPr>
      <t>6+</t>
    </r>
    <r>
      <rPr>
        <b/>
        <sz val="10"/>
        <color indexed="8"/>
        <rFont val="Calibri"/>
        <family val="2"/>
      </rPr>
      <t>/ΣS w/ logT</t>
    </r>
  </si>
  <si>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 (T&amp;W26)</t>
    </r>
  </si>
  <si>
    <r>
      <t>S</t>
    </r>
    <r>
      <rPr>
        <b/>
        <vertAlign val="superscript"/>
        <sz val="10"/>
        <color rgb="FF000000"/>
        <rFont val="Calibri"/>
        <family val="2"/>
      </rPr>
      <t>6+</t>
    </r>
    <r>
      <rPr>
        <b/>
        <sz val="10"/>
        <color indexed="8"/>
        <rFont val="Calibri"/>
        <family val="2"/>
      </rPr>
      <t xml:space="preserve">/ΣS </t>
    </r>
    <r>
      <rPr>
        <b/>
        <vertAlign val="superscript"/>
        <sz val="10"/>
        <color rgb="FF000000"/>
        <rFont val="Calibri"/>
        <family val="2"/>
      </rPr>
      <t>(T&amp;W26)</t>
    </r>
  </si>
  <si>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 (B&amp;W23)</t>
    </r>
  </si>
  <si>
    <r>
      <t>S</t>
    </r>
    <r>
      <rPr>
        <b/>
        <vertAlign val="superscript"/>
        <sz val="10"/>
        <color rgb="FF000000"/>
        <rFont val="Calibri"/>
        <family val="2"/>
      </rPr>
      <t>6+</t>
    </r>
    <r>
      <rPr>
        <b/>
        <sz val="10"/>
        <color indexed="8"/>
        <rFont val="Calibri"/>
        <family val="2"/>
      </rPr>
      <t xml:space="preserve">/ΣS </t>
    </r>
    <r>
      <rPr>
        <b/>
        <vertAlign val="superscript"/>
        <sz val="10"/>
        <color rgb="FF000000"/>
        <rFont val="Calibri"/>
        <family val="2"/>
      </rPr>
      <t>(B&amp;W23)</t>
    </r>
  </si>
  <si>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 (M&amp;C25)</t>
    </r>
  </si>
  <si>
    <r>
      <t>S</t>
    </r>
    <r>
      <rPr>
        <b/>
        <vertAlign val="superscript"/>
        <sz val="10"/>
        <color rgb="FF000000"/>
        <rFont val="Calibri"/>
        <family val="2"/>
      </rPr>
      <t>6+</t>
    </r>
    <r>
      <rPr>
        <b/>
        <sz val="10"/>
        <color indexed="8"/>
        <rFont val="Calibri"/>
        <family val="2"/>
      </rPr>
      <t xml:space="preserve">/ΣS </t>
    </r>
    <r>
      <rPr>
        <b/>
        <vertAlign val="superscript"/>
        <sz val="10"/>
        <color rgb="FF000000"/>
        <rFont val="Calibri"/>
        <family val="2"/>
      </rPr>
      <t>(M&amp;C25)</t>
    </r>
  </si>
  <si>
    <t>Gorojovsky &amp; Wood + Pressure terms</t>
  </si>
  <si>
    <r>
      <t>S</t>
    </r>
    <r>
      <rPr>
        <b/>
        <vertAlign val="superscript"/>
        <sz val="10"/>
        <color rgb="FF000000"/>
        <rFont val="Calibri"/>
        <family val="2"/>
      </rPr>
      <t>6+</t>
    </r>
    <r>
      <rPr>
        <b/>
        <sz val="10"/>
        <color indexed="8"/>
        <rFont val="Calibri"/>
        <family val="2"/>
      </rPr>
      <t xml:space="preserve">/ΣS + P </t>
    </r>
    <r>
      <rPr>
        <b/>
        <vertAlign val="superscript"/>
        <sz val="10"/>
        <color rgb="FF000000"/>
        <rFont val="Calibri"/>
        <family val="2"/>
      </rPr>
      <t>(T&amp;W26)</t>
    </r>
  </si>
  <si>
    <r>
      <t>S</t>
    </r>
    <r>
      <rPr>
        <b/>
        <vertAlign val="superscript"/>
        <sz val="10"/>
        <color rgb="FF000000"/>
        <rFont val="Calibri"/>
        <family val="2"/>
      </rPr>
      <t>6+</t>
    </r>
    <r>
      <rPr>
        <b/>
        <sz val="10"/>
        <color indexed="8"/>
        <rFont val="Calibri"/>
        <family val="2"/>
      </rPr>
      <t>/ΣS - 1 atm</t>
    </r>
  </si>
  <si>
    <r>
      <t>SiO</t>
    </r>
    <r>
      <rPr>
        <b/>
        <vertAlign val="subscript"/>
        <sz val="10"/>
        <color rgb="FF000000"/>
        <rFont val="Calibri"/>
        <family val="2"/>
      </rPr>
      <t>2</t>
    </r>
  </si>
  <si>
    <r>
      <t>TiO</t>
    </r>
    <r>
      <rPr>
        <b/>
        <vertAlign val="subscript"/>
        <sz val="10"/>
        <color rgb="FF000000"/>
        <rFont val="Calibri"/>
        <family val="2"/>
      </rPr>
      <t>2</t>
    </r>
  </si>
  <si>
    <r>
      <t>Al</t>
    </r>
    <r>
      <rPr>
        <b/>
        <vertAlign val="subscript"/>
        <sz val="10"/>
        <color rgb="FF000000"/>
        <rFont val="Calibri"/>
        <family val="2"/>
      </rPr>
      <t>2</t>
    </r>
    <r>
      <rPr>
        <b/>
        <sz val="10"/>
        <color indexed="8"/>
        <rFont val="Calibri"/>
        <family val="2"/>
      </rPr>
      <t>O</t>
    </r>
    <r>
      <rPr>
        <b/>
        <vertAlign val="subscript"/>
        <sz val="10"/>
        <color rgb="FF000000"/>
        <rFont val="Calibri"/>
        <family val="2"/>
      </rPr>
      <t>3</t>
    </r>
  </si>
  <si>
    <r>
      <t>Cr</t>
    </r>
    <r>
      <rPr>
        <b/>
        <vertAlign val="subscript"/>
        <sz val="10"/>
        <color rgb="FF000000"/>
        <rFont val="Calibri"/>
        <family val="2"/>
      </rPr>
      <t>2</t>
    </r>
    <r>
      <rPr>
        <b/>
        <sz val="10"/>
        <color indexed="8"/>
        <rFont val="Calibri"/>
        <family val="2"/>
      </rPr>
      <t>O</t>
    </r>
    <r>
      <rPr>
        <b/>
        <vertAlign val="subscript"/>
        <sz val="10"/>
        <color rgb="FF000000"/>
        <rFont val="Calibri"/>
        <family val="2"/>
      </rPr>
      <t>3</t>
    </r>
  </si>
  <si>
    <r>
      <t>K</t>
    </r>
    <r>
      <rPr>
        <b/>
        <vertAlign val="subscript"/>
        <sz val="10"/>
        <color rgb="FF000000"/>
        <rFont val="Calibri"/>
        <family val="2"/>
      </rPr>
      <t>2</t>
    </r>
    <r>
      <rPr>
        <b/>
        <sz val="10"/>
        <color indexed="8"/>
        <rFont val="Calibri"/>
        <family val="2"/>
      </rPr>
      <t>O</t>
    </r>
  </si>
  <si>
    <r>
      <t>P</t>
    </r>
    <r>
      <rPr>
        <b/>
        <vertAlign val="subscript"/>
        <sz val="10"/>
        <color rgb="FF000000"/>
        <rFont val="Calibri"/>
        <family val="2"/>
      </rPr>
      <t>2</t>
    </r>
    <r>
      <rPr>
        <b/>
        <sz val="10"/>
        <color indexed="8"/>
        <rFont val="Calibri"/>
        <family val="2"/>
      </rPr>
      <t>O</t>
    </r>
    <r>
      <rPr>
        <b/>
        <vertAlign val="subscript"/>
        <sz val="10"/>
        <color rgb="FF000000"/>
        <rFont val="Calibri"/>
        <family val="2"/>
      </rPr>
      <t>5</t>
    </r>
  </si>
  <si>
    <r>
      <t>H</t>
    </r>
    <r>
      <rPr>
        <b/>
        <vertAlign val="subscript"/>
        <sz val="10"/>
        <color rgb="FF000000"/>
        <rFont val="Calibri"/>
        <family val="2"/>
      </rPr>
      <t>2</t>
    </r>
    <r>
      <rPr>
        <b/>
        <sz val="10"/>
        <color indexed="8"/>
        <rFont val="Calibri"/>
        <family val="2"/>
      </rPr>
      <t>O</t>
    </r>
  </si>
  <si>
    <r>
      <t>Na</t>
    </r>
    <r>
      <rPr>
        <b/>
        <vertAlign val="subscript"/>
        <sz val="10"/>
        <color rgb="FF000000"/>
        <rFont val="Calibri"/>
        <family val="2"/>
      </rPr>
      <t>2</t>
    </r>
    <r>
      <rPr>
        <b/>
        <sz val="10"/>
        <color indexed="8"/>
        <rFont val="Calibri"/>
        <family val="2"/>
      </rPr>
      <t>O</t>
    </r>
  </si>
  <si>
    <r>
      <t>Fe</t>
    </r>
    <r>
      <rPr>
        <b/>
        <vertAlign val="subscript"/>
        <sz val="10"/>
        <color rgb="FF000000"/>
        <rFont val="Calibri"/>
        <family val="2"/>
      </rPr>
      <t>2</t>
    </r>
    <r>
      <rPr>
        <b/>
        <sz val="10"/>
        <color indexed="8"/>
        <rFont val="Calibri"/>
        <family val="2"/>
      </rPr>
      <t>O</t>
    </r>
    <r>
      <rPr>
        <b/>
        <vertAlign val="subscript"/>
        <sz val="10"/>
        <color rgb="FF000000"/>
        <rFont val="Calibri"/>
        <family val="2"/>
      </rPr>
      <t>3</t>
    </r>
  </si>
  <si>
    <t>lnfO2</t>
  </si>
  <si>
    <t>Dacite -  1050°C, 1 atm</t>
  </si>
  <si>
    <t>Gorojovsky and Wood (2026) Solubility and speciation of sulfur in silicate melts under crustal conditions</t>
  </si>
  <si>
    <t>Thomas and Wood (2026)</t>
  </si>
  <si>
    <t>Boulliung and Wood (2022, 2023)</t>
  </si>
  <si>
    <t>O'Neill &amp; Mavrogenes (2022), O'Neill (2021)</t>
  </si>
  <si>
    <t>0.5-2.5 GPa</t>
  </si>
  <si>
    <t>Muth and Cottrell (2025)</t>
  </si>
  <si>
    <t>1400 °C</t>
  </si>
  <si>
    <t>1380 °C</t>
  </si>
  <si>
    <t>1.5-3 GPa</t>
  </si>
  <si>
    <r>
      <t>logfO</t>
    </r>
    <r>
      <rPr>
        <vertAlign val="subscript"/>
        <sz val="11"/>
        <color rgb="FF000000"/>
        <rFont val="Arial"/>
        <family val="2"/>
      </rPr>
      <t>2</t>
    </r>
    <r>
      <rPr>
        <sz val="11"/>
        <color rgb="FF000000"/>
        <rFont val="Arial"/>
        <family val="2"/>
      </rPr>
      <t xml:space="preserve"> + P for S</t>
    </r>
    <r>
      <rPr>
        <vertAlign val="superscript"/>
        <sz val="11"/>
        <color rgb="FF000000"/>
        <rFont val="Arial"/>
        <family val="2"/>
      </rPr>
      <t>6+</t>
    </r>
    <r>
      <rPr>
        <sz val="11"/>
        <color rgb="FF000000"/>
        <rFont val="Arial"/>
        <family val="2"/>
      </rPr>
      <t>/ΣS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</si>
</sst>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
    <numFmt numFmtId="167" formatCode="0.000000"/>
  </numFmts>
  <fonts count="35" x14ac:knownFonts="1">
    <font>
      <sz val="12"/>
      <color theme="1"/>
      <name val="Aptos Narrow"/>
      <family val="2"/>
      <scheme val="minor"/>
    </font>
    <font>
      <sz val="11"/>
      <color theme="1"/>
      <name val="Calibri"/>
      <family val="2"/>
    </font>
    <font>
      <b/>
      <sz val="12"/>
      <color theme="1"/>
      <name val="Calibri"/>
      <family val="2"/>
    </font>
    <font>
      <b/>
      <sz val="16"/>
      <color theme="1"/>
      <name val="Calibri"/>
      <family val="2"/>
    </font>
    <font>
      <sz val="16"/>
      <color theme="1"/>
      <name val="Aptos Narrow"/>
      <family val="2"/>
      <scheme val="minor"/>
    </font>
    <font>
      <b/>
      <sz val="18"/>
      <color theme="1"/>
      <name val="Calibri"/>
      <family val="2"/>
    </font>
    <font>
      <b/>
      <i/>
      <sz val="18"/>
      <color theme="1"/>
      <name val="Calibri"/>
      <family val="2"/>
    </font>
    <font>
      <b/>
      <vertAlign val="subscript"/>
      <sz val="18"/>
      <color theme="1"/>
      <name val="Calibri"/>
      <family val="2"/>
    </font>
    <font>
      <b/>
      <sz val="18"/>
      <color theme="1"/>
      <name val="Aptos Narrow"/>
      <family val="2"/>
      <scheme val="minor"/>
    </font>
    <font>
      <b/>
      <sz val="10"/>
      <color indexed="8"/>
      <name val="Calibri"/>
      <family val="2"/>
    </font>
    <font>
      <b/>
      <i/>
      <sz val="12"/>
      <color theme="1"/>
      <name val="Calibri"/>
      <family val="2"/>
    </font>
    <font>
      <b/>
      <i/>
      <sz val="11"/>
      <color theme="1"/>
      <name val="Calibri"/>
      <family val="2"/>
    </font>
    <font>
      <b/>
      <i/>
      <vertAlign val="subscript"/>
      <sz val="12"/>
      <color theme="1"/>
      <name val="Calibri"/>
      <family val="2"/>
    </font>
    <font>
      <b/>
      <sz val="11"/>
      <color theme="1"/>
      <name val="Calibri"/>
      <family val="2"/>
    </font>
    <font>
      <b/>
      <i/>
      <sz val="11"/>
      <color theme="1"/>
      <name val="Aptos Narrow"/>
      <family val="2"/>
      <scheme val="minor"/>
    </font>
    <font>
      <b/>
      <vertAlign val="subscript"/>
      <sz val="10"/>
      <color rgb="FF000000"/>
      <name val="Calibri"/>
      <family val="2"/>
    </font>
    <font>
      <b/>
      <vertAlign val="superscript"/>
      <sz val="11"/>
      <color theme="1"/>
      <name val="Calibri"/>
      <family val="2"/>
    </font>
    <font>
      <b/>
      <vertAlign val="superscript"/>
      <sz val="10"/>
      <color rgb="FF000000"/>
      <name val="Calibri"/>
      <family val="2"/>
    </font>
    <font>
      <b/>
      <vertAlign val="subscript"/>
      <sz val="11"/>
      <color theme="1"/>
      <name val="Calibri"/>
      <family val="2"/>
    </font>
    <font>
      <sz val="11"/>
      <name val="Calibri"/>
      <family val="2"/>
    </font>
    <font>
      <sz val="11"/>
      <color theme="1"/>
      <name val="Aptos Narrow"/>
      <family val="2"/>
      <scheme val="minor"/>
    </font>
    <font>
      <sz val="11"/>
      <color theme="1"/>
      <name val="Arial"/>
      <family val="2"/>
    </font>
    <font>
      <sz val="11"/>
      <color rgb="FF000000"/>
      <name val="Arial"/>
      <family val="2"/>
    </font>
    <font>
      <vertAlign val="subscript"/>
      <sz val="11"/>
      <color rgb="FF000000"/>
      <name val="Arial"/>
      <family val="2"/>
    </font>
    <font>
      <vertAlign val="superscript"/>
      <sz val="11"/>
      <color rgb="FF000000"/>
      <name val="Arial"/>
      <family val="2"/>
    </font>
    <font>
      <b/>
      <sz val="11"/>
      <color theme="1"/>
      <name val="Arial"/>
      <family val="2"/>
    </font>
    <font>
      <b/>
      <sz val="14"/>
      <color rgb="FF000000"/>
      <name val="Arial"/>
      <family val="2"/>
    </font>
    <font>
      <b/>
      <vertAlign val="subscript"/>
      <sz val="14"/>
      <color rgb="FF000000"/>
      <name val="Arial"/>
      <family val="2"/>
    </font>
    <font>
      <b/>
      <i/>
      <sz val="14"/>
      <color rgb="FF000000"/>
      <name val="Arial"/>
      <family val="2"/>
    </font>
    <font>
      <u/>
      <sz val="12"/>
      <color theme="10"/>
      <name val="Aptos Narrow"/>
      <family val="2"/>
      <scheme val="minor"/>
    </font>
    <font>
      <sz val="12"/>
      <color theme="1"/>
      <name val="Arial"/>
      <family val="2"/>
    </font>
    <font>
      <sz val="12"/>
      <color rgb="FF000000"/>
      <name val="Arial"/>
      <family val="2"/>
    </font>
    <font>
      <vertAlign val="subscript"/>
      <sz val="12"/>
      <color rgb="FF000000"/>
      <name val="Arial"/>
      <family val="2"/>
    </font>
    <font>
      <vertAlign val="superscript"/>
      <sz val="12"/>
      <color rgb="FF000000"/>
      <name val="Arial"/>
      <family val="2"/>
    </font>
    <font>
      <i/>
      <sz val="12"/>
      <color rgb="FF000000"/>
      <name val="Arial"/>
      <family val="2"/>
    </font>
  </fonts>
  <fills count="14">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D6EDBD"/>
        <bgColor indexed="64"/>
      </patternFill>
    </fill>
    <fill>
      <patternFill patternType="solid">
        <fgColor rgb="FFFFD1FF"/>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FFFF00"/>
        <bgColor indexed="64"/>
      </patternFill>
    </fill>
  </fills>
  <borders count="36">
    <border>
      <left/>
      <right/>
      <top/>
      <bottom/>
      <diagonal/>
    </border>
    <border>
      <left style="thick">
        <color theme="7"/>
      </left>
      <right/>
      <top style="thick">
        <color theme="7"/>
      </top>
      <bottom/>
      <diagonal/>
    </border>
    <border>
      <left/>
      <right style="thick">
        <color theme="9"/>
      </right>
      <top style="thick">
        <color theme="7"/>
      </top>
      <bottom/>
      <diagonal/>
    </border>
    <border>
      <left style="thick">
        <color theme="9"/>
      </left>
      <right/>
      <top style="thick">
        <color theme="7"/>
      </top>
      <bottom/>
      <diagonal/>
    </border>
    <border>
      <left/>
      <right/>
      <top style="thick">
        <color theme="7"/>
      </top>
      <bottom/>
      <diagonal/>
    </border>
    <border>
      <left/>
      <right style="thick">
        <color theme="7"/>
      </right>
      <top style="thick">
        <color theme="7"/>
      </top>
      <bottom/>
      <diagonal/>
    </border>
    <border>
      <left style="thick">
        <color theme="7"/>
      </left>
      <right/>
      <top/>
      <bottom style="thick">
        <color theme="7"/>
      </bottom>
      <diagonal/>
    </border>
    <border>
      <left/>
      <right/>
      <top/>
      <bottom style="thick">
        <color theme="7"/>
      </bottom>
      <diagonal/>
    </border>
    <border>
      <left/>
      <right style="thick">
        <color theme="7"/>
      </right>
      <top/>
      <bottom style="thick">
        <color theme="7"/>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s>
  <cellStyleXfs count="3">
    <xf numFmtId="0" fontId="0" fillId="0" borderId="0"/>
    <xf numFmtId="0" fontId="20" fillId="0" borderId="0"/>
    <xf numFmtId="0" fontId="29" fillId="0" borderId="0" applyNumberFormat="0" applyFill="0" applyBorder="0" applyAlignment="0" applyProtection="0"/>
  </cellStyleXfs>
  <cellXfs count="189">
    <xf numFmtId="0" fontId="0" fillId="0" borderId="0" xfId="0"/>
    <xf numFmtId="0" fontId="0" fillId="2" borderId="0" xfId="0" applyFill="1"/>
    <xf numFmtId="0" fontId="20" fillId="0" borderId="0" xfId="1"/>
    <xf numFmtId="0" fontId="20" fillId="2" borderId="0" xfId="1" applyFill="1"/>
    <xf numFmtId="2" fontId="1" fillId="2" borderId="25" xfId="1" applyNumberFormat="1" applyFont="1" applyFill="1" applyBorder="1" applyAlignment="1">
      <alignment horizontal="center" vertical="center"/>
    </xf>
    <xf numFmtId="2" fontId="1" fillId="2" borderId="30" xfId="1" applyNumberFormat="1" applyFont="1" applyFill="1" applyBorder="1" applyAlignment="1">
      <alignment horizontal="center" vertical="center"/>
    </xf>
    <xf numFmtId="2" fontId="1" fillId="2" borderId="12" xfId="1" applyNumberFormat="1" applyFont="1" applyFill="1" applyBorder="1" applyAlignment="1">
      <alignment horizontal="center" vertical="center"/>
    </xf>
    <xf numFmtId="2" fontId="1" fillId="2" borderId="30" xfId="1" applyNumberFormat="1" applyFont="1" applyFill="1" applyBorder="1" applyAlignment="1">
      <alignment horizontal="center"/>
    </xf>
    <xf numFmtId="2" fontId="1" fillId="2" borderId="0" xfId="1" applyNumberFormat="1" applyFont="1" applyFill="1" applyAlignment="1">
      <alignment horizontal="center"/>
    </xf>
    <xf numFmtId="2" fontId="1" fillId="2" borderId="12" xfId="1" applyNumberFormat="1" applyFont="1" applyFill="1" applyBorder="1" applyAlignment="1">
      <alignment horizontal="center"/>
    </xf>
    <xf numFmtId="2" fontId="1" fillId="2" borderId="0" xfId="1" applyNumberFormat="1" applyFont="1" applyFill="1" applyAlignment="1">
      <alignment horizontal="center" vertical="center"/>
    </xf>
    <xf numFmtId="0" fontId="1" fillId="2" borderId="12" xfId="1" applyFont="1" applyFill="1" applyBorder="1" applyAlignment="1">
      <alignment horizontal="center" vertical="center"/>
    </xf>
    <xf numFmtId="2" fontId="1" fillId="0" borderId="30" xfId="1" applyNumberFormat="1" applyFont="1" applyBorder="1" applyAlignment="1">
      <alignment horizontal="center"/>
    </xf>
    <xf numFmtId="2" fontId="1" fillId="0" borderId="0" xfId="1" applyNumberFormat="1" applyFont="1" applyAlignment="1">
      <alignment horizontal="center"/>
    </xf>
    <xf numFmtId="1" fontId="1" fillId="0" borderId="30" xfId="1" applyNumberFormat="1" applyFont="1" applyBorder="1" applyAlignment="1">
      <alignment horizontal="center"/>
    </xf>
    <xf numFmtId="166" fontId="1" fillId="2" borderId="30" xfId="1" applyNumberFormat="1" applyFont="1" applyFill="1" applyBorder="1" applyAlignment="1">
      <alignment horizontal="center"/>
    </xf>
    <xf numFmtId="166" fontId="1" fillId="2" borderId="0" xfId="1" applyNumberFormat="1" applyFont="1" applyFill="1" applyAlignment="1">
      <alignment horizontal="center"/>
    </xf>
    <xf numFmtId="166" fontId="1" fillId="2" borderId="0" xfId="1" applyNumberFormat="1" applyFont="1" applyFill="1" applyAlignment="1">
      <alignment horizontal="center" vertical="center"/>
    </xf>
    <xf numFmtId="165" fontId="1" fillId="2" borderId="0" xfId="1" applyNumberFormat="1" applyFont="1" applyFill="1" applyAlignment="1">
      <alignment horizontal="center"/>
    </xf>
    <xf numFmtId="1" fontId="1" fillId="2" borderId="0" xfId="1" applyNumberFormat="1" applyFont="1" applyFill="1" applyAlignment="1">
      <alignment horizontal="center"/>
    </xf>
    <xf numFmtId="164" fontId="1" fillId="2" borderId="12" xfId="1" applyNumberFormat="1" applyFont="1" applyFill="1" applyBorder="1" applyAlignment="1">
      <alignment horizontal="center"/>
    </xf>
    <xf numFmtId="0" fontId="1" fillId="2" borderId="0" xfId="1" applyFont="1" applyFill="1" applyAlignment="1">
      <alignment horizontal="center" vertical="center"/>
    </xf>
    <xf numFmtId="164" fontId="1" fillId="2" borderId="0" xfId="1" applyNumberFormat="1" applyFont="1" applyFill="1" applyAlignment="1">
      <alignment horizontal="center"/>
    </xf>
    <xf numFmtId="2" fontId="1" fillId="0" borderId="12" xfId="1" applyNumberFormat="1" applyFont="1" applyBorder="1" applyAlignment="1">
      <alignment horizontal="center"/>
    </xf>
    <xf numFmtId="164" fontId="1" fillId="0" borderId="0" xfId="1" applyNumberFormat="1" applyFont="1" applyAlignment="1">
      <alignment horizontal="center"/>
    </xf>
    <xf numFmtId="164" fontId="1" fillId="0" borderId="30" xfId="1" applyNumberFormat="1" applyFont="1" applyBorder="1" applyAlignment="1">
      <alignment horizontal="center"/>
    </xf>
    <xf numFmtId="0" fontId="1" fillId="0" borderId="0" xfId="1" applyFont="1" applyAlignment="1">
      <alignment horizontal="center"/>
    </xf>
    <xf numFmtId="164" fontId="1" fillId="0" borderId="25" xfId="1" applyNumberFormat="1" applyFont="1" applyBorder="1" applyAlignment="1">
      <alignment horizontal="center"/>
    </xf>
    <xf numFmtId="164" fontId="1" fillId="0" borderId="12" xfId="1" applyNumberFormat="1" applyFont="1" applyBorder="1" applyAlignment="1">
      <alignment horizontal="center"/>
    </xf>
    <xf numFmtId="1" fontId="1" fillId="0" borderId="0" xfId="1" applyNumberFormat="1" applyFont="1" applyAlignment="1">
      <alignment horizontal="center"/>
    </xf>
    <xf numFmtId="1" fontId="1" fillId="0" borderId="12" xfId="1" applyNumberFormat="1" applyFont="1" applyBorder="1" applyAlignment="1">
      <alignment horizontal="center"/>
    </xf>
    <xf numFmtId="164" fontId="19" fillId="0" borderId="0" xfId="1" applyNumberFormat="1" applyFont="1" applyAlignment="1">
      <alignment horizontal="center"/>
    </xf>
    <xf numFmtId="0" fontId="1" fillId="0" borderId="0" xfId="1" applyFont="1"/>
    <xf numFmtId="0" fontId="1" fillId="0" borderId="0" xfId="1" applyFont="1" applyAlignment="1">
      <alignment horizontal="center" vertical="center"/>
    </xf>
    <xf numFmtId="0" fontId="1" fillId="2" borderId="0" xfId="1" applyFont="1" applyFill="1"/>
    <xf numFmtId="2" fontId="1" fillId="2" borderId="34" xfId="1" applyNumberFormat="1" applyFont="1" applyFill="1" applyBorder="1" applyAlignment="1">
      <alignment horizontal="center" vertical="center"/>
    </xf>
    <xf numFmtId="2" fontId="1" fillId="2" borderId="33" xfId="1" applyNumberFormat="1" applyFont="1" applyFill="1" applyBorder="1" applyAlignment="1">
      <alignment horizontal="center" vertical="center"/>
    </xf>
    <xf numFmtId="2" fontId="1" fillId="2" borderId="31" xfId="1" applyNumberFormat="1" applyFont="1" applyFill="1" applyBorder="1" applyAlignment="1">
      <alignment horizontal="center" vertical="center"/>
    </xf>
    <xf numFmtId="2" fontId="1" fillId="2" borderId="33" xfId="1" applyNumberFormat="1" applyFont="1" applyFill="1" applyBorder="1" applyAlignment="1">
      <alignment horizontal="center"/>
    </xf>
    <xf numFmtId="2" fontId="1" fillId="2" borderId="32" xfId="1" applyNumberFormat="1" applyFont="1" applyFill="1" applyBorder="1" applyAlignment="1">
      <alignment horizontal="center"/>
    </xf>
    <xf numFmtId="2" fontId="1" fillId="2" borderId="31" xfId="1" applyNumberFormat="1" applyFont="1" applyFill="1" applyBorder="1" applyAlignment="1">
      <alignment horizontal="center"/>
    </xf>
    <xf numFmtId="2" fontId="1" fillId="2" borderId="32" xfId="1" applyNumberFormat="1" applyFont="1" applyFill="1" applyBorder="1" applyAlignment="1">
      <alignment horizontal="center" vertical="center"/>
    </xf>
    <xf numFmtId="0" fontId="1" fillId="2" borderId="31" xfId="1" applyFont="1" applyFill="1" applyBorder="1" applyAlignment="1">
      <alignment horizontal="center" vertical="center"/>
    </xf>
    <xf numFmtId="2" fontId="1" fillId="0" borderId="33" xfId="1" applyNumberFormat="1" applyFont="1" applyBorder="1" applyAlignment="1">
      <alignment horizontal="center"/>
    </xf>
    <xf numFmtId="2" fontId="1" fillId="0" borderId="32" xfId="1" applyNumberFormat="1" applyFont="1" applyBorder="1" applyAlignment="1">
      <alignment horizontal="center"/>
    </xf>
    <xf numFmtId="2" fontId="1" fillId="0" borderId="31" xfId="1" applyNumberFormat="1" applyFont="1" applyBorder="1" applyAlignment="1">
      <alignment horizontal="center"/>
    </xf>
    <xf numFmtId="164" fontId="1" fillId="0" borderId="33" xfId="1" applyNumberFormat="1" applyFont="1" applyBorder="1" applyAlignment="1">
      <alignment horizontal="center"/>
    </xf>
    <xf numFmtId="164" fontId="1" fillId="0" borderId="32" xfId="1" applyNumberFormat="1" applyFont="1" applyBorder="1" applyAlignment="1">
      <alignment horizontal="center"/>
    </xf>
    <xf numFmtId="164" fontId="1" fillId="0" borderId="34" xfId="1" applyNumberFormat="1" applyFont="1" applyBorder="1" applyAlignment="1">
      <alignment horizontal="center"/>
    </xf>
    <xf numFmtId="164" fontId="19" fillId="0" borderId="32" xfId="1" applyNumberFormat="1" applyFont="1" applyBorder="1" applyAlignment="1">
      <alignment horizontal="center"/>
    </xf>
    <xf numFmtId="164" fontId="1" fillId="0" borderId="31" xfId="1" applyNumberFormat="1" applyFont="1" applyBorder="1" applyAlignment="1">
      <alignment horizontal="center"/>
    </xf>
    <xf numFmtId="0" fontId="13" fillId="2" borderId="0" xfId="1" applyFont="1" applyFill="1"/>
    <xf numFmtId="2" fontId="9" fillId="2" borderId="0" xfId="1" applyNumberFormat="1" applyFont="1" applyFill="1" applyAlignment="1">
      <alignment horizontal="center"/>
    </xf>
    <xf numFmtId="2" fontId="9" fillId="0" borderId="11" xfId="1" applyNumberFormat="1" applyFont="1" applyBorder="1" applyAlignment="1">
      <alignment horizontal="center"/>
    </xf>
    <xf numFmtId="2" fontId="9" fillId="0" borderId="10" xfId="1" applyNumberFormat="1" applyFont="1" applyBorder="1" applyAlignment="1">
      <alignment horizontal="center"/>
    </xf>
    <xf numFmtId="2" fontId="9" fillId="0" borderId="9" xfId="1" applyNumberFormat="1" applyFont="1" applyBorder="1" applyAlignment="1">
      <alignment horizontal="center"/>
    </xf>
    <xf numFmtId="2" fontId="9" fillId="0" borderId="0" xfId="1" applyNumberFormat="1" applyFont="1" applyAlignment="1">
      <alignment horizontal="center"/>
    </xf>
    <xf numFmtId="2" fontId="9" fillId="0" borderId="26" xfId="1" applyNumberFormat="1" applyFont="1" applyBorder="1" applyAlignment="1">
      <alignment horizontal="center"/>
    </xf>
    <xf numFmtId="2" fontId="9" fillId="0" borderId="24" xfId="1" applyNumberFormat="1" applyFont="1" applyBorder="1" applyAlignment="1">
      <alignment horizontal="center"/>
    </xf>
    <xf numFmtId="2" fontId="9" fillId="0" borderId="23" xfId="1" applyNumberFormat="1" applyFont="1" applyBorder="1" applyAlignment="1">
      <alignment horizontal="center"/>
    </xf>
    <xf numFmtId="0" fontId="13" fillId="0" borderId="0" xfId="1" applyFont="1" applyAlignment="1">
      <alignment horizontal="center"/>
    </xf>
    <xf numFmtId="2" fontId="9" fillId="0" borderId="27" xfId="1" applyNumberFormat="1" applyFont="1" applyBorder="1" applyAlignment="1">
      <alignment horizontal="center"/>
    </xf>
    <xf numFmtId="0" fontId="13" fillId="0" borderId="11" xfId="1" applyFont="1" applyBorder="1" applyAlignment="1">
      <alignment horizontal="center"/>
    </xf>
    <xf numFmtId="0" fontId="13" fillId="0" borderId="10" xfId="1" applyFont="1" applyBorder="1" applyAlignment="1">
      <alignment horizontal="center"/>
    </xf>
    <xf numFmtId="2" fontId="9" fillId="0" borderId="25" xfId="1" applyNumberFormat="1" applyFont="1" applyBorder="1" applyAlignment="1">
      <alignment horizontal="center"/>
    </xf>
    <xf numFmtId="2" fontId="9" fillId="2" borderId="24" xfId="1" applyNumberFormat="1" applyFont="1" applyFill="1" applyBorder="1" applyAlignment="1">
      <alignment horizontal="center"/>
    </xf>
    <xf numFmtId="2" fontId="9" fillId="2" borderId="23" xfId="1" applyNumberFormat="1" applyFont="1" applyFill="1" applyBorder="1" applyAlignment="1">
      <alignment horizontal="center"/>
    </xf>
    <xf numFmtId="0" fontId="13" fillId="0" borderId="0" xfId="1" applyFont="1"/>
    <xf numFmtId="0" fontId="13" fillId="2" borderId="0" xfId="1" applyFont="1" applyFill="1" applyAlignment="1">
      <alignment horizontal="center" vertical="center"/>
    </xf>
    <xf numFmtId="2" fontId="9" fillId="2" borderId="0" xfId="1" applyNumberFormat="1" applyFont="1" applyFill="1" applyAlignment="1">
      <alignment horizontal="center" vertical="center"/>
    </xf>
    <xf numFmtId="0" fontId="10" fillId="2" borderId="0" xfId="1" applyFont="1" applyFill="1"/>
    <xf numFmtId="0" fontId="10" fillId="0" borderId="0" xfId="1" applyFont="1"/>
    <xf numFmtId="0" fontId="1" fillId="2" borderId="11" xfId="1" applyFont="1" applyFill="1" applyBorder="1" applyAlignment="1">
      <alignment horizontal="center" vertical="center"/>
    </xf>
    <xf numFmtId="0" fontId="1" fillId="2" borderId="10" xfId="1" applyFont="1" applyFill="1" applyBorder="1"/>
    <xf numFmtId="0" fontId="1" fillId="2" borderId="10" xfId="1" applyFont="1" applyFill="1" applyBorder="1" applyAlignment="1">
      <alignment horizontal="center" vertical="center"/>
    </xf>
    <xf numFmtId="0" fontId="3" fillId="2" borderId="9" xfId="1" applyFont="1" applyFill="1" applyBorder="1"/>
    <xf numFmtId="0" fontId="1" fillId="2" borderId="11" xfId="1" applyFont="1" applyFill="1" applyBorder="1"/>
    <xf numFmtId="0" fontId="1" fillId="3" borderId="5" xfId="1" applyFont="1" applyFill="1" applyBorder="1"/>
    <xf numFmtId="0" fontId="2" fillId="3" borderId="3" xfId="1" quotePrefix="1" applyFont="1" applyFill="1" applyBorder="1" applyAlignment="1">
      <alignment vertical="center"/>
    </xf>
    <xf numFmtId="0" fontId="2" fillId="3" borderId="4" xfId="1" applyFont="1" applyFill="1" applyBorder="1" applyAlignment="1">
      <alignment vertical="center"/>
    </xf>
    <xf numFmtId="0" fontId="2" fillId="3" borderId="4" xfId="1" applyFont="1" applyFill="1" applyBorder="1" applyAlignment="1">
      <alignment horizontal="center" vertical="center"/>
    </xf>
    <xf numFmtId="0" fontId="2" fillId="3" borderId="3" xfId="1" quotePrefix="1" applyFont="1" applyFill="1" applyBorder="1" applyAlignment="1">
      <alignment horizontal="right" vertical="center"/>
    </xf>
    <xf numFmtId="0" fontId="2" fillId="3" borderId="2" xfId="1" quotePrefix="1" applyFont="1" applyFill="1" applyBorder="1" applyAlignment="1">
      <alignment horizontal="right" vertical="center"/>
    </xf>
    <xf numFmtId="0" fontId="1" fillId="3" borderId="1" xfId="1" applyFont="1" applyFill="1" applyBorder="1"/>
    <xf numFmtId="0" fontId="21" fillId="2" borderId="0" xfId="0" applyFont="1" applyFill="1"/>
    <xf numFmtId="0" fontId="22" fillId="2" borderId="0" xfId="0" applyFont="1" applyFill="1"/>
    <xf numFmtId="0" fontId="25" fillId="2" borderId="10" xfId="0" applyFont="1" applyFill="1" applyBorder="1" applyAlignment="1">
      <alignment vertical="center"/>
    </xf>
    <xf numFmtId="0" fontId="25" fillId="2" borderId="10" xfId="0" applyFont="1" applyFill="1" applyBorder="1" applyAlignment="1">
      <alignment horizontal="center" vertical="center"/>
    </xf>
    <xf numFmtId="0" fontId="22" fillId="2" borderId="0" xfId="0" applyFont="1" applyFill="1" applyAlignment="1">
      <alignment vertical="center"/>
    </xf>
    <xf numFmtId="0" fontId="21" fillId="2" borderId="0" xfId="0" applyFont="1" applyFill="1" applyAlignment="1">
      <alignment vertical="center"/>
    </xf>
    <xf numFmtId="0" fontId="21" fillId="2" borderId="0" xfId="0" applyFont="1" applyFill="1" applyAlignment="1">
      <alignment horizontal="center" vertical="center"/>
    </xf>
    <xf numFmtId="0" fontId="22" fillId="2" borderId="24" xfId="0" applyFont="1" applyFill="1" applyBorder="1" applyAlignment="1">
      <alignment vertical="center"/>
    </xf>
    <xf numFmtId="0" fontId="21" fillId="2" borderId="24" xfId="0" applyFont="1" applyFill="1" applyBorder="1" applyAlignment="1">
      <alignment vertical="center"/>
    </xf>
    <xf numFmtId="0" fontId="21" fillId="2" borderId="24" xfId="0" applyFont="1" applyFill="1" applyBorder="1" applyAlignment="1">
      <alignment horizontal="center" vertical="center"/>
    </xf>
    <xf numFmtId="0" fontId="21" fillId="0" borderId="0" xfId="0" applyFont="1"/>
    <xf numFmtId="0" fontId="0" fillId="0" borderId="0" xfId="0" applyAlignment="1">
      <alignment vertical="center"/>
    </xf>
    <xf numFmtId="0" fontId="0" fillId="12" borderId="10" xfId="0" applyFill="1" applyBorder="1" applyAlignment="1">
      <alignment vertical="center"/>
    </xf>
    <xf numFmtId="0" fontId="26" fillId="12" borderId="10" xfId="0" applyFont="1" applyFill="1" applyBorder="1" applyAlignment="1">
      <alignment vertical="center"/>
    </xf>
    <xf numFmtId="0" fontId="21" fillId="12" borderId="10" xfId="0" applyFont="1" applyFill="1" applyBorder="1" applyAlignment="1">
      <alignment vertical="center"/>
    </xf>
    <xf numFmtId="0" fontId="0" fillId="2" borderId="0" xfId="0" applyFill="1" applyAlignment="1">
      <alignment vertical="center"/>
    </xf>
    <xf numFmtId="0" fontId="30" fillId="2" borderId="0" xfId="0" applyFont="1" applyFill="1"/>
    <xf numFmtId="0" fontId="29" fillId="2" borderId="0" xfId="2" applyFill="1"/>
    <xf numFmtId="0" fontId="31" fillId="2" borderId="0" xfId="0" applyFont="1" applyFill="1"/>
    <xf numFmtId="0" fontId="30" fillId="4" borderId="0" xfId="0" applyFont="1" applyFill="1"/>
    <xf numFmtId="0" fontId="21" fillId="4" borderId="0" xfId="0" applyFont="1" applyFill="1"/>
    <xf numFmtId="0" fontId="29" fillId="4" borderId="0" xfId="2" applyFill="1"/>
    <xf numFmtId="2" fontId="9" fillId="0" borderId="35" xfId="1" applyNumberFormat="1" applyFont="1" applyBorder="1" applyAlignment="1">
      <alignment horizontal="center"/>
    </xf>
    <xf numFmtId="2" fontId="9" fillId="0" borderId="28" xfId="1" applyNumberFormat="1" applyFont="1" applyBorder="1" applyAlignment="1">
      <alignment horizontal="center"/>
    </xf>
    <xf numFmtId="0" fontId="13" fillId="0" borderId="28" xfId="1" applyFont="1" applyBorder="1" applyAlignment="1">
      <alignment horizontal="center"/>
    </xf>
    <xf numFmtId="0" fontId="13" fillId="0" borderId="29" xfId="1" applyFont="1" applyBorder="1" applyAlignment="1">
      <alignment horizontal="center"/>
    </xf>
    <xf numFmtId="0" fontId="13" fillId="2" borderId="0" xfId="1" applyFont="1" applyFill="1" applyAlignment="1">
      <alignment horizontal="center"/>
    </xf>
    <xf numFmtId="167" fontId="20" fillId="0" borderId="0" xfId="1" applyNumberFormat="1"/>
    <xf numFmtId="2" fontId="20" fillId="0" borderId="0" xfId="1" applyNumberFormat="1" applyAlignment="1">
      <alignment horizontal="center"/>
    </xf>
    <xf numFmtId="165" fontId="20" fillId="0" borderId="0" xfId="1" applyNumberFormat="1" applyAlignment="1">
      <alignment horizontal="center"/>
    </xf>
    <xf numFmtId="2" fontId="9" fillId="2" borderId="9" xfId="1" applyNumberFormat="1" applyFont="1" applyFill="1" applyBorder="1" applyAlignment="1">
      <alignment horizontal="center"/>
    </xf>
    <xf numFmtId="2" fontId="9" fillId="2" borderId="10" xfId="1" applyNumberFormat="1" applyFont="1" applyFill="1" applyBorder="1" applyAlignment="1">
      <alignment horizontal="center"/>
    </xf>
    <xf numFmtId="0" fontId="4" fillId="2" borderId="0" xfId="1" applyFont="1" applyFill="1" applyAlignment="1">
      <alignment wrapText="1"/>
    </xf>
    <xf numFmtId="2" fontId="9" fillId="2" borderId="23" xfId="1" applyNumberFormat="1" applyFont="1" applyFill="1" applyBorder="1" applyAlignment="1">
      <alignment horizontal="center" vertical="center"/>
    </xf>
    <xf numFmtId="0" fontId="13" fillId="2" borderId="24" xfId="1" applyFont="1" applyFill="1" applyBorder="1" applyAlignment="1">
      <alignment horizontal="center" vertical="center"/>
    </xf>
    <xf numFmtId="2" fontId="9" fillId="2" borderId="24" xfId="1" applyNumberFormat="1" applyFont="1" applyFill="1" applyBorder="1" applyAlignment="1">
      <alignment horizontal="center" vertical="center"/>
    </xf>
    <xf numFmtId="2" fontId="9" fillId="0" borderId="24" xfId="1" applyNumberFormat="1" applyFont="1" applyBorder="1" applyAlignment="1">
      <alignment horizontal="center" vertical="center"/>
    </xf>
    <xf numFmtId="0" fontId="11" fillId="9" borderId="13" xfId="1" applyFont="1" applyFill="1" applyBorder="1" applyAlignment="1">
      <alignment horizontal="center" vertical="center" wrapText="1"/>
    </xf>
    <xf numFmtId="0" fontId="20" fillId="9" borderId="17" xfId="1" applyFill="1" applyBorder="1" applyAlignment="1">
      <alignment horizontal="center" vertical="center" wrapText="1"/>
    </xf>
    <xf numFmtId="0" fontId="11" fillId="11" borderId="13" xfId="1" applyFont="1" applyFill="1" applyBorder="1" applyAlignment="1">
      <alignment horizontal="center" vertical="center" wrapText="1"/>
    </xf>
    <xf numFmtId="0" fontId="20" fillId="11" borderId="17" xfId="1" applyFill="1" applyBorder="1" applyAlignment="1">
      <alignment horizontal="center" vertical="center" wrapText="1"/>
    </xf>
    <xf numFmtId="0" fontId="11" fillId="3" borderId="16" xfId="1" applyFont="1" applyFill="1" applyBorder="1" applyAlignment="1">
      <alignment horizontal="center" vertical="center" wrapText="1"/>
    </xf>
    <xf numFmtId="0" fontId="14" fillId="3" borderId="22" xfId="1" applyFont="1" applyFill="1" applyBorder="1" applyAlignment="1">
      <alignment horizontal="center" vertical="center" wrapText="1"/>
    </xf>
    <xf numFmtId="0" fontId="11" fillId="8" borderId="16" xfId="1" applyFont="1" applyFill="1" applyBorder="1" applyAlignment="1">
      <alignment horizontal="center" vertical="center" wrapText="1"/>
    </xf>
    <xf numFmtId="0" fontId="14" fillId="8" borderId="22" xfId="1" applyFont="1" applyFill="1" applyBorder="1" applyAlignment="1">
      <alignment horizontal="center" vertical="center" wrapText="1"/>
    </xf>
    <xf numFmtId="0" fontId="11" fillId="7" borderId="16" xfId="1" applyFont="1" applyFill="1" applyBorder="1" applyAlignment="1">
      <alignment horizontal="center" vertical="center" wrapText="1"/>
    </xf>
    <xf numFmtId="0" fontId="14" fillId="7" borderId="22"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0" fillId="0" borderId="7" xfId="0" applyBorder="1" applyAlignment="1">
      <alignment wrapText="1"/>
    </xf>
    <xf numFmtId="0" fontId="0" fillId="0" borderId="8" xfId="0" applyBorder="1" applyAlignment="1">
      <alignment wrapText="1"/>
    </xf>
    <xf numFmtId="0" fontId="20" fillId="0" borderId="14" xfId="1" applyBorder="1" applyAlignment="1">
      <alignment wrapText="1"/>
    </xf>
    <xf numFmtId="0" fontId="20" fillId="0" borderId="15" xfId="1" applyBorder="1" applyAlignment="1">
      <alignment wrapText="1"/>
    </xf>
    <xf numFmtId="0" fontId="20" fillId="0" borderId="18" xfId="1" applyBorder="1" applyAlignment="1">
      <alignment wrapText="1"/>
    </xf>
    <xf numFmtId="0" fontId="20" fillId="0" borderId="19" xfId="1" applyBorder="1" applyAlignment="1">
      <alignment wrapText="1"/>
    </xf>
    <xf numFmtId="0" fontId="10" fillId="10" borderId="13" xfId="1" applyFont="1" applyFill="1" applyBorder="1" applyAlignment="1">
      <alignment horizontal="center" vertical="center" wrapText="1"/>
    </xf>
    <xf numFmtId="0" fontId="20" fillId="10" borderId="14" xfId="1" applyFill="1" applyBorder="1" applyAlignment="1">
      <alignment horizontal="center" vertical="center" wrapText="1"/>
    </xf>
    <xf numFmtId="0" fontId="20" fillId="10" borderId="15" xfId="1" applyFill="1" applyBorder="1" applyAlignment="1">
      <alignment horizontal="center" vertical="center" wrapText="1"/>
    </xf>
    <xf numFmtId="0" fontId="20" fillId="10" borderId="20" xfId="1" applyFill="1" applyBorder="1" applyAlignment="1">
      <alignment horizontal="center" vertical="center" wrapText="1"/>
    </xf>
    <xf numFmtId="0" fontId="20" fillId="10" borderId="0" xfId="1" applyFill="1" applyAlignment="1">
      <alignment horizontal="center" vertical="center" wrapText="1"/>
    </xf>
    <xf numFmtId="0" fontId="20" fillId="10" borderId="21" xfId="1" applyFill="1" applyBorder="1" applyAlignment="1">
      <alignment horizontal="center" vertical="center" wrapText="1"/>
    </xf>
    <xf numFmtId="0" fontId="10" fillId="5" borderId="13" xfId="1" applyFont="1" applyFill="1" applyBorder="1" applyAlignment="1">
      <alignment horizontal="center" vertical="center" wrapText="1"/>
    </xf>
    <xf numFmtId="0" fontId="20" fillId="5" borderId="14" xfId="1" applyFill="1" applyBorder="1" applyAlignment="1">
      <alignment horizontal="center" vertical="center" wrapText="1"/>
    </xf>
    <xf numFmtId="0" fontId="20" fillId="0" borderId="15" xfId="1" applyBorder="1" applyAlignment="1">
      <alignment horizontal="center" vertical="center" wrapText="1"/>
    </xf>
    <xf numFmtId="0" fontId="20" fillId="5" borderId="17" xfId="1" applyFill="1" applyBorder="1" applyAlignment="1">
      <alignment horizontal="center" vertical="center" wrapText="1"/>
    </xf>
    <xf numFmtId="0" fontId="20" fillId="5" borderId="18" xfId="1" applyFill="1" applyBorder="1" applyAlignment="1">
      <alignment horizontal="center" vertical="center" wrapText="1"/>
    </xf>
    <xf numFmtId="0" fontId="20" fillId="0" borderId="19" xfId="1" applyBorder="1" applyAlignment="1">
      <alignment horizontal="center" vertical="center" wrapText="1"/>
    </xf>
    <xf numFmtId="0" fontId="20" fillId="10" borderId="17" xfId="1" applyFill="1" applyBorder="1" applyAlignment="1">
      <alignment horizontal="center" vertical="center" wrapText="1"/>
    </xf>
    <xf numFmtId="0" fontId="20" fillId="10" borderId="18" xfId="1" applyFill="1" applyBorder="1" applyAlignment="1">
      <alignment horizontal="center" vertical="center" wrapText="1"/>
    </xf>
    <xf numFmtId="0" fontId="20" fillId="10" borderId="19" xfId="1" applyFill="1" applyBorder="1" applyAlignment="1">
      <alignment horizontal="center" vertical="center" wrapText="1"/>
    </xf>
    <xf numFmtId="0" fontId="5" fillId="4" borderId="13" xfId="1" applyFont="1" applyFill="1" applyBorder="1" applyAlignment="1">
      <alignment horizontal="left" vertical="center"/>
    </xf>
    <xf numFmtId="0" fontId="8" fillId="4" borderId="14" xfId="1" applyFont="1" applyFill="1" applyBorder="1" applyAlignment="1">
      <alignment horizontal="left" vertical="center"/>
    </xf>
    <xf numFmtId="0" fontId="20" fillId="0" borderId="15" xfId="1" applyBorder="1"/>
    <xf numFmtId="0" fontId="8" fillId="4" borderId="17" xfId="1" applyFont="1" applyFill="1" applyBorder="1" applyAlignment="1">
      <alignment horizontal="left" vertical="center"/>
    </xf>
    <xf numFmtId="0" fontId="8" fillId="4" borderId="18" xfId="1" applyFont="1" applyFill="1" applyBorder="1" applyAlignment="1">
      <alignment horizontal="left" vertical="center"/>
    </xf>
    <xf numFmtId="0" fontId="20" fillId="0" borderId="19" xfId="1" applyBorder="1"/>
    <xf numFmtId="0" fontId="20" fillId="0" borderId="14" xfId="1" applyBorder="1" applyAlignment="1">
      <alignment horizontal="center" vertical="center" wrapText="1"/>
    </xf>
    <xf numFmtId="0" fontId="20" fillId="0" borderId="20" xfId="1" applyBorder="1" applyAlignment="1">
      <alignment horizontal="center" vertical="center" wrapText="1"/>
    </xf>
    <xf numFmtId="0" fontId="20" fillId="0" borderId="0" xfId="1" applyAlignment="1">
      <alignment horizontal="center" vertical="center" wrapText="1"/>
    </xf>
    <xf numFmtId="0" fontId="20" fillId="0" borderId="21" xfId="1" applyBorder="1" applyAlignment="1">
      <alignment wrapText="1"/>
    </xf>
    <xf numFmtId="0" fontId="11" fillId="6" borderId="13" xfId="1" applyFont="1" applyFill="1" applyBorder="1" applyAlignment="1">
      <alignment horizontal="center" vertical="center" wrapText="1"/>
    </xf>
    <xf numFmtId="0" fontId="20" fillId="0" borderId="17" xfId="1" applyBorder="1" applyAlignment="1">
      <alignment horizontal="center" vertical="center" wrapText="1"/>
    </xf>
    <xf numFmtId="0" fontId="10" fillId="6" borderId="13" xfId="1" applyFont="1" applyFill="1" applyBorder="1" applyAlignment="1">
      <alignment horizontal="center" vertical="center" wrapText="1"/>
    </xf>
    <xf numFmtId="0" fontId="20" fillId="6" borderId="14" xfId="1" applyFill="1" applyBorder="1" applyAlignment="1">
      <alignment horizontal="center" vertical="center" wrapText="1"/>
    </xf>
    <xf numFmtId="0" fontId="20" fillId="6" borderId="15" xfId="1" applyFill="1" applyBorder="1" applyAlignment="1">
      <alignment horizontal="center" vertical="center" wrapText="1"/>
    </xf>
    <xf numFmtId="0" fontId="20" fillId="6" borderId="17" xfId="1" applyFill="1" applyBorder="1" applyAlignment="1">
      <alignment horizontal="center" vertical="center" wrapText="1"/>
    </xf>
    <xf numFmtId="0" fontId="20" fillId="6" borderId="18" xfId="1" applyFill="1" applyBorder="1" applyAlignment="1">
      <alignment horizontal="center" vertical="center" wrapText="1"/>
    </xf>
    <xf numFmtId="0" fontId="20" fillId="6" borderId="19" xfId="1" applyFill="1" applyBorder="1" applyAlignment="1">
      <alignment horizontal="center" vertical="center" wrapText="1"/>
    </xf>
    <xf numFmtId="0" fontId="11" fillId="7" borderId="13" xfId="1" applyFont="1" applyFill="1" applyBorder="1" applyAlignment="1">
      <alignment horizontal="center" vertical="center" wrapText="1"/>
    </xf>
    <xf numFmtId="0" fontId="14" fillId="7" borderId="17" xfId="1" applyFont="1" applyFill="1" applyBorder="1" applyAlignment="1">
      <alignment horizontal="center" vertical="center" wrapText="1"/>
    </xf>
    <xf numFmtId="0" fontId="11" fillId="3" borderId="13" xfId="1" applyFont="1" applyFill="1" applyBorder="1" applyAlignment="1">
      <alignment horizontal="center" vertical="center" wrapText="1"/>
    </xf>
    <xf numFmtId="0" fontId="14" fillId="3" borderId="17" xfId="1" applyFont="1" applyFill="1" applyBorder="1" applyAlignment="1">
      <alignment horizontal="center" vertical="center" wrapText="1"/>
    </xf>
    <xf numFmtId="0" fontId="11" fillId="6" borderId="16" xfId="1" applyFont="1" applyFill="1" applyBorder="1" applyAlignment="1">
      <alignment horizontal="center" vertical="center" wrapText="1"/>
    </xf>
    <xf numFmtId="0" fontId="20" fillId="0" borderId="22" xfId="1" applyBorder="1" applyAlignment="1">
      <alignment horizontal="center" vertical="center" wrapText="1"/>
    </xf>
    <xf numFmtId="165" fontId="1" fillId="0" borderId="32" xfId="1" applyNumberFormat="1" applyFont="1" applyBorder="1" applyAlignment="1">
      <alignment horizontal="center"/>
    </xf>
    <xf numFmtId="167" fontId="1" fillId="0" borderId="31" xfId="1" applyNumberFormat="1" applyFont="1" applyBorder="1" applyAlignment="1">
      <alignment horizontal="center"/>
    </xf>
    <xf numFmtId="167" fontId="1" fillId="0" borderId="32" xfId="1" applyNumberFormat="1" applyFont="1" applyBorder="1" applyAlignment="1">
      <alignment horizontal="center"/>
    </xf>
    <xf numFmtId="167" fontId="1" fillId="0" borderId="30" xfId="1" applyNumberFormat="1" applyFont="1" applyBorder="1" applyAlignment="1">
      <alignment horizontal="center"/>
    </xf>
    <xf numFmtId="0" fontId="2" fillId="13" borderId="4" xfId="1" applyFont="1" applyFill="1" applyBorder="1" applyAlignment="1">
      <alignment vertical="center"/>
    </xf>
    <xf numFmtId="0" fontId="1" fillId="13" borderId="0" xfId="1" applyFont="1" applyFill="1"/>
    <xf numFmtId="2" fontId="9" fillId="13" borderId="9" xfId="1" applyNumberFormat="1" applyFont="1" applyFill="1" applyBorder="1" applyAlignment="1">
      <alignment horizontal="center"/>
    </xf>
    <xf numFmtId="164" fontId="1" fillId="13" borderId="12" xfId="1" applyNumberFormat="1" applyFont="1" applyFill="1" applyBorder="1" applyAlignment="1">
      <alignment horizontal="center"/>
    </xf>
    <xf numFmtId="0" fontId="0" fillId="13" borderId="0" xfId="0" applyFill="1"/>
    <xf numFmtId="0" fontId="20" fillId="13" borderId="0" xfId="1" applyFill="1"/>
    <xf numFmtId="165" fontId="1" fillId="0" borderId="12" xfId="1" applyNumberFormat="1" applyFont="1" applyBorder="1" applyAlignment="1">
      <alignment horizontal="center"/>
    </xf>
    <xf numFmtId="165" fontId="1" fillId="0" borderId="33" xfId="1" applyNumberFormat="1" applyFont="1" applyBorder="1" applyAlignment="1">
      <alignment horizontal="center"/>
    </xf>
  </cellXfs>
  <cellStyles count="3">
    <cellStyle name="Hyperlink" xfId="2" builtinId="8"/>
    <cellStyle name="Normal" xfId="0" builtinId="0"/>
    <cellStyle name="Normal 2" xfId="1" xr:uid="{152BFB75-C654-7749-8115-22879EFC26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647701</xdr:colOff>
      <xdr:row>22</xdr:row>
      <xdr:rowOff>127000</xdr:rowOff>
    </xdr:from>
    <xdr:to>
      <xdr:col>9</xdr:col>
      <xdr:colOff>1</xdr:colOff>
      <xdr:row>63</xdr:row>
      <xdr:rowOff>88900</xdr:rowOff>
    </xdr:to>
    <xdr:sp macro="" textlink="">
      <xdr:nvSpPr>
        <xdr:cNvPr id="23" name="TextBox 22">
          <a:extLst>
            <a:ext uri="{FF2B5EF4-FFF2-40B4-BE49-F238E27FC236}">
              <a16:creationId xmlns:a16="http://schemas.microsoft.com/office/drawing/2014/main" id="{49D51710-0EBA-E946-A037-3327B17566E4}"/>
            </a:ext>
          </a:extLst>
        </xdr:cNvPr>
        <xdr:cNvSpPr txBox="1"/>
      </xdr:nvSpPr>
      <xdr:spPr>
        <a:xfrm>
          <a:off x="1993901" y="4902200"/>
          <a:ext cx="9169400" cy="8293100"/>
        </a:xfrm>
        <a:prstGeom prst="rect">
          <a:avLst/>
        </a:prstGeom>
        <a:solidFill>
          <a:schemeClr val="lt1"/>
        </a:solidFill>
        <a:ln w="285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1.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This spreadsheet calculates:</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logC</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S2-</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and logC</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S6+</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S</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6+</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S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Fe</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3+</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Fe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log</a:t>
          </a:r>
          <a:r>
            <a:rPr kumimoji="0" lang="en-GB" sz="1100" b="0" i="1"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O</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2</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FMQ, </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NNO, </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IW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For comparison, sulfur solubility/speciation models from other studies (refs below) are also calculated.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2.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Input sample name, major element composition, T (°C), P (GPa), and log</a:t>
          </a:r>
          <a:r>
            <a:rPr kumimoji="0" lang="en-GB" sz="1100" b="0" i="1"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O</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2</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FMQ values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F:U</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 add more rows of data by copying/dragging columns D:FW down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50" b="0" i="1" u="none" strike="noStrike" kern="0" cap="none" spc="0" normalizeH="0" baseline="0" noProof="0">
              <a:ln w="3175">
                <a:noFill/>
              </a:ln>
              <a:solidFill>
                <a:prstClr val="black"/>
              </a:solidFill>
              <a:effectLst/>
              <a:uLnTx/>
              <a:uFillTx/>
              <a:latin typeface="Arial" panose="020B0604020202020204" pitchFamily="34" charset="0"/>
              <a:ea typeface="+mn-ea"/>
              <a:cs typeface="Arial" panose="020B0604020202020204" pitchFamily="34" charset="0"/>
            </a:rPr>
            <a:t>Note: For all S capacity models in this workbook, any water content included is treated as an ideal diluent (i.e. it will simply decrease the mole fractions of other major oxides) to calculate results on an anhydrous basis, Set H</a:t>
          </a:r>
          <a:r>
            <a:rPr kumimoji="0" lang="en-GB" sz="1050" b="0" i="1" u="none" strike="noStrike" kern="0" cap="none" spc="0" normalizeH="0" baseline="-25000" noProof="0">
              <a:ln w="3175">
                <a:noFill/>
              </a:ln>
              <a:solidFill>
                <a:prstClr val="black"/>
              </a:solidFill>
              <a:effectLst/>
              <a:uLnTx/>
              <a:uFillTx/>
              <a:latin typeface="Arial" panose="020B0604020202020204" pitchFamily="34" charset="0"/>
              <a:ea typeface="+mn-ea"/>
              <a:cs typeface="Arial" panose="020B0604020202020204" pitchFamily="34" charset="0"/>
            </a:rPr>
            <a:t>2</a:t>
          </a:r>
          <a:r>
            <a:rPr kumimoji="0" lang="en-GB" sz="1050" b="0" i="1" u="none" strike="noStrike" kern="0" cap="none" spc="0" normalizeH="0" baseline="0" noProof="0">
              <a:ln w="3175">
                <a:noFill/>
              </a:ln>
              <a:solidFill>
                <a:prstClr val="black"/>
              </a:solidFill>
              <a:effectLst/>
              <a:uLnTx/>
              <a:uFillTx/>
              <a:latin typeface="Arial" panose="020B0604020202020204" pitchFamily="34" charset="0"/>
              <a:ea typeface="+mn-ea"/>
              <a:cs typeface="Arial" panose="020B0604020202020204" pitchFamily="34" charset="0"/>
            </a:rPr>
            <a:t>O values to 0 % in </a:t>
          </a:r>
          <a:r>
            <a:rPr kumimoji="0" lang="en-GB" sz="1050" b="0" i="1" u="sng" strike="noStrike" kern="0" cap="none" spc="0" normalizeH="0" baseline="0" noProof="0">
              <a:ln w="3175">
                <a:noFill/>
              </a:ln>
              <a:solidFill>
                <a:prstClr val="black"/>
              </a:solidFill>
              <a:effectLst/>
              <a:uLnTx/>
              <a:uFillTx/>
              <a:latin typeface="Arial" panose="020B0604020202020204" pitchFamily="34" charset="0"/>
              <a:ea typeface="+mn-ea"/>
              <a:cs typeface="Arial" panose="020B0604020202020204" pitchFamily="34" charset="0"/>
            </a:rPr>
            <a:t>column U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3.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Calculations are performed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V:FU</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 to see them: highlight columns -&gt; right click -&gt; select unhide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4.</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Results are summarised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FW:GJ</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5.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Please cite this spreadsheet and the studies of the respective models if you use the calculations e.g. "We calculate Fe</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3+</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Fe ratios using the model of Kress and Carmichael (1991) implemented in the excel-based calculator of Gorojovsky &amp; Wood (2025)."  - a summary of references for the models inlcuded in this workbork are provided below.</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References: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Boulliung, J. and Wood, B.J. (2022) ‘SO2 solubility and degassing behavior in silicate melts’, Geochimica et Cosmochimica Acta, 336, pp. 150–164.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Boulliung, J. and Wood, B.J. (2023) ‘Sulfur oxidation state and solubility in silicate melts’, Contributions to mineralogy and petrology, 178(8), p. 56.</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Frost, B.R. (1991) ‘Introduction to oxygen fugacity and its petrologic importance’, in Reviews in Mineralogy and Geochemistry. De Gruyter, pp. 1–9.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Jugo, P.J., Wilke, M. and Botcharnikov, R.E. (2010) ‘Sulfur K-edge XANES analysis of natural and synthetic basaltic glasses: Implications for S speciation and S content as function of oxygen fugacity’, </a:t>
          </a:r>
          <a:r>
            <a:rPr kumimoji="0" lang="en-GB" sz="1100" b="0" i="1" u="none" strike="noStrike" kern="0" cap="none" spc="0" normalizeH="0" baseline="0" noProof="0">
              <a:ln>
                <a:noFill/>
              </a:ln>
              <a:solidFill>
                <a:prstClr val="black"/>
              </a:solidFill>
              <a:effectLst/>
              <a:uLnTx/>
              <a:uFillTx/>
              <a:latin typeface="+mn-lt"/>
              <a:ea typeface="+mn-ea"/>
              <a:cs typeface="+mn-cs"/>
            </a:rPr>
            <a:t>Geochimica et Cosmochimica Acta</a:t>
          </a:r>
          <a:r>
            <a:rPr kumimoji="0" lang="en-GB" sz="1100" b="0" i="0" u="none" strike="noStrike" kern="0" cap="none" spc="0" normalizeH="0" baseline="0" noProof="0">
              <a:ln>
                <a:noFill/>
              </a:ln>
              <a:solidFill>
                <a:prstClr val="black"/>
              </a:solidFill>
              <a:effectLst/>
              <a:uLnTx/>
              <a:uFillTx/>
              <a:latin typeface="+mn-lt"/>
              <a:ea typeface="+mn-ea"/>
              <a:cs typeface="+mn-cs"/>
            </a:rPr>
            <a:t>, 74(20), pp. 5926–5938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Kress, V.C. and Carmichael, I.S.E. (1991) ‘The compressibility of silicate liquids containing Fe2O3 and the effect of composition, temperature, oxygen fugacity and pressure on their redox states’, Contributions to Mineralogy and Petrology, 108(1–2), pp. 82–92.</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Muth, M.J. and Cottrell, E. (2025) ‘The effect of pressure on sulfur valence state in mafic silicate melts’, </a:t>
          </a:r>
          <a:r>
            <a:rPr kumimoji="0" lang="en-GB" sz="1100" b="0" i="1" u="none" strike="noStrike" kern="0" cap="none" spc="0" normalizeH="0" baseline="0" noProof="0">
              <a:ln>
                <a:noFill/>
              </a:ln>
              <a:solidFill>
                <a:prstClr val="black"/>
              </a:solidFill>
              <a:effectLst/>
              <a:uLnTx/>
              <a:uFillTx/>
              <a:latin typeface="+mn-lt"/>
              <a:ea typeface="+mn-ea"/>
              <a:cs typeface="+mn-cs"/>
            </a:rPr>
            <a:t>Earth and Planetary Science Letters</a:t>
          </a:r>
          <a:r>
            <a:rPr kumimoji="0" lang="en-GB" sz="1100" b="0" i="0" u="none" strike="noStrike" kern="0" cap="none" spc="0" normalizeH="0" baseline="0" noProof="0">
              <a:ln>
                <a:noFill/>
              </a:ln>
              <a:solidFill>
                <a:prstClr val="black"/>
              </a:solidFill>
              <a:effectLst/>
              <a:uLnTx/>
              <a:uFillTx/>
              <a:latin typeface="+mn-lt"/>
              <a:ea typeface="+mn-ea"/>
              <a:cs typeface="+mn-cs"/>
            </a:rPr>
            <a:t>, 668, p. 119562.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Nash, W.M., Smythe, D.J. and Wood, B.J. (2019) ‘Compositional and temperature effects on sulfur speciation and solubility in silicate melts’, Earth and Planetary Science Letters, 507, pp. 187–198.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O’Neill, H.S.C. (2021) ‘The Thermodynamic Controls on Sulfide Saturation in Silicate Melts with Application to Ocean Floor Basalts’, in Magma Redox Geochemistry. American Geophysical Union (Geophysical Monograph Series), pp. 177–213.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O’Neill, H.St.C. and Mavrogenes, J.A. (2022) ‘The sulfate capacities of silicate melts’, Geochimica et Cosmochimica Acta, 334, pp. 368–382.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1"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Thomas, R.W. and Wood, B.J. (2026) ‘Sulfur speciation in silicate melts at high pressure’, </a:t>
          </a:r>
          <a:r>
            <a:rPr kumimoji="0" lang="en-GB" sz="1100" b="0" i="1" u="none" strike="noStrike" kern="0" cap="none" spc="0" normalizeH="0" baseline="0" noProof="0">
              <a:ln>
                <a:noFill/>
              </a:ln>
              <a:solidFill>
                <a:prstClr val="black"/>
              </a:solidFill>
              <a:effectLst/>
              <a:uLnTx/>
              <a:uFillTx/>
              <a:latin typeface="+mn-lt"/>
              <a:ea typeface="+mn-ea"/>
              <a:cs typeface="+mn-cs"/>
            </a:rPr>
            <a:t>Geochimica et Cosmochimica Acta</a:t>
          </a:r>
          <a:r>
            <a:rPr kumimoji="0" lang="en-GB" sz="1100" b="0" i="0" u="none" strike="noStrike" kern="0" cap="none" spc="0" normalizeH="0" baseline="0" noProof="0">
              <a:ln>
                <a:noFill/>
              </a:ln>
              <a:solidFill>
                <a:prstClr val="black"/>
              </a:solidFill>
              <a:effectLst/>
              <a:uLnTx/>
              <a:uFillTx/>
              <a:latin typeface="+mn-lt"/>
              <a:ea typeface="+mn-ea"/>
              <a:cs typeface="+mn-cs"/>
            </a:rPr>
            <a:t>, 417, pp. 37–51.</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4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152822</xdr:colOff>
      <xdr:row>8</xdr:row>
      <xdr:rowOff>112576</xdr:rowOff>
    </xdr:from>
    <xdr:to>
      <xdr:col>4</xdr:col>
      <xdr:colOff>342900</xdr:colOff>
      <xdr:row>81</xdr:row>
      <xdr:rowOff>25400</xdr:rowOff>
    </xdr:to>
    <xdr:sp macro="" textlink="">
      <xdr:nvSpPr>
        <xdr:cNvPr id="3" name="TextBox 2">
          <a:extLst>
            <a:ext uri="{FF2B5EF4-FFF2-40B4-BE49-F238E27FC236}">
              <a16:creationId xmlns:a16="http://schemas.microsoft.com/office/drawing/2014/main" id="{94FFDA2B-36D6-F647-BCA4-576CD81DDFEF}"/>
            </a:ext>
          </a:extLst>
        </xdr:cNvPr>
        <xdr:cNvSpPr txBox="1"/>
      </xdr:nvSpPr>
      <xdr:spPr>
        <a:xfrm>
          <a:off x="152822" y="2360476"/>
          <a:ext cx="3619078" cy="14746424"/>
        </a:xfrm>
        <a:prstGeom prst="rect">
          <a:avLst/>
        </a:prstGeom>
        <a:solidFill>
          <a:schemeClr val="lt1"/>
        </a:solidFill>
        <a:ln w="2857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Calculator information:</a:t>
          </a:r>
        </a:p>
        <a:p>
          <a:endParaRPr lang="en-GB" sz="1100" b="1">
            <a:latin typeface="Arial" panose="020B0604020202020204" pitchFamily="34" charset="0"/>
            <a:cs typeface="Arial" panose="020B0604020202020204" pitchFamily="34" charset="0"/>
          </a:endParaRPr>
        </a:p>
        <a:p>
          <a:r>
            <a:rPr lang="en-GB" sz="1100" b="1" baseline="0">
              <a:solidFill>
                <a:schemeClr val="dk1"/>
              </a:solidFill>
              <a:effectLst/>
              <a:latin typeface="Arial" panose="020B0604020202020204" pitchFamily="34" charset="0"/>
              <a:ea typeface="+mn-ea"/>
              <a:cs typeface="Arial" panose="020B0604020202020204" pitchFamily="34" charset="0"/>
            </a:rPr>
            <a:t>1. </a:t>
          </a:r>
          <a:r>
            <a:rPr lang="en-GB" sz="1100" baseline="0">
              <a:solidFill>
                <a:schemeClr val="dk1"/>
              </a:solidFill>
              <a:effectLst/>
              <a:latin typeface="Arial" panose="020B0604020202020204" pitchFamily="34" charset="0"/>
              <a:ea typeface="+mn-ea"/>
              <a:cs typeface="Arial" panose="020B0604020202020204" pitchFamily="34" charset="0"/>
            </a:rPr>
            <a:t>This spreadsheet calculates:</a:t>
          </a:r>
          <a:endParaRPr lang="en-GB" sz="1100">
            <a:effectLst/>
            <a:latin typeface="Arial" panose="020B0604020202020204" pitchFamily="34" charset="0"/>
            <a:cs typeface="Arial" panose="020B0604020202020204" pitchFamily="34" charset="0"/>
          </a:endParaRPr>
        </a:p>
        <a:p>
          <a:r>
            <a:rPr lang="en-GB" sz="1100" baseline="0">
              <a:solidFill>
                <a:schemeClr val="dk1"/>
              </a:solidFill>
              <a:effectLst/>
              <a:latin typeface="Arial" panose="020B0604020202020204" pitchFamily="34" charset="0"/>
              <a:ea typeface="+mn-ea"/>
              <a:cs typeface="Arial" panose="020B0604020202020204" pitchFamily="34" charset="0"/>
            </a:rPr>
            <a:t>+ logC</a:t>
          </a:r>
          <a:r>
            <a:rPr lang="en-GB" sz="1100" baseline="-25000">
              <a:solidFill>
                <a:schemeClr val="dk1"/>
              </a:solidFill>
              <a:effectLst/>
              <a:latin typeface="Arial" panose="020B0604020202020204" pitchFamily="34" charset="0"/>
              <a:ea typeface="+mn-ea"/>
              <a:cs typeface="Arial" panose="020B0604020202020204" pitchFamily="34" charset="0"/>
            </a:rPr>
            <a:t>S2-</a:t>
          </a:r>
          <a:r>
            <a:rPr lang="en-GB" sz="1100" baseline="0">
              <a:solidFill>
                <a:schemeClr val="dk1"/>
              </a:solidFill>
              <a:effectLst/>
              <a:latin typeface="Arial" panose="020B0604020202020204" pitchFamily="34" charset="0"/>
              <a:ea typeface="+mn-ea"/>
              <a:cs typeface="Arial" panose="020B0604020202020204" pitchFamily="34" charset="0"/>
            </a:rPr>
            <a:t> and logC</a:t>
          </a:r>
          <a:r>
            <a:rPr lang="en-GB" sz="1100" baseline="-25000">
              <a:solidFill>
                <a:schemeClr val="dk1"/>
              </a:solidFill>
              <a:effectLst/>
              <a:latin typeface="Arial" panose="020B0604020202020204" pitchFamily="34" charset="0"/>
              <a:ea typeface="+mn-ea"/>
              <a:cs typeface="Arial" panose="020B0604020202020204" pitchFamily="34" charset="0"/>
            </a:rPr>
            <a:t>S6+</a:t>
          </a:r>
          <a:r>
            <a:rPr lang="en-GB" sz="1100" baseline="0">
              <a:solidFill>
                <a:schemeClr val="dk1"/>
              </a:solidFill>
              <a:effectLst/>
              <a:latin typeface="Arial" panose="020B0604020202020204" pitchFamily="34" charset="0"/>
              <a:ea typeface="+mn-ea"/>
              <a:cs typeface="Arial" panose="020B0604020202020204" pitchFamily="34" charset="0"/>
            </a:rPr>
            <a:t> </a:t>
          </a:r>
          <a:endParaRPr lang="en-GB" sz="1100">
            <a:effectLst/>
            <a:latin typeface="Arial" panose="020B0604020202020204" pitchFamily="34" charset="0"/>
            <a:cs typeface="Arial" panose="020B0604020202020204" pitchFamily="34" charset="0"/>
          </a:endParaRPr>
        </a:p>
        <a:p>
          <a:r>
            <a:rPr lang="en-GB" sz="1100" baseline="0">
              <a:solidFill>
                <a:schemeClr val="dk1"/>
              </a:solidFill>
              <a:effectLst/>
              <a:latin typeface="Arial" panose="020B0604020202020204" pitchFamily="34" charset="0"/>
              <a:ea typeface="+mn-ea"/>
              <a:cs typeface="Arial" panose="020B0604020202020204" pitchFamily="34" charset="0"/>
            </a:rPr>
            <a:t>+ </a:t>
          </a:r>
          <a:r>
            <a:rPr lang="en-GB" sz="1100" b="0" i="0" baseline="0">
              <a:solidFill>
                <a:schemeClr val="dk1"/>
              </a:solidFill>
              <a:effectLst/>
              <a:latin typeface="Arial" panose="020B0604020202020204" pitchFamily="34" charset="0"/>
              <a:ea typeface="+mn-ea"/>
              <a:cs typeface="Arial" panose="020B0604020202020204" pitchFamily="34" charset="0"/>
            </a:rPr>
            <a:t>S</a:t>
          </a:r>
          <a:r>
            <a:rPr lang="en-GB" sz="1100" b="0" i="0" baseline="30000">
              <a:solidFill>
                <a:schemeClr val="dk1"/>
              </a:solidFill>
              <a:effectLst/>
              <a:latin typeface="Arial" panose="020B0604020202020204" pitchFamily="34" charset="0"/>
              <a:ea typeface="+mn-ea"/>
              <a:cs typeface="Arial" panose="020B0604020202020204" pitchFamily="34" charset="0"/>
            </a:rPr>
            <a:t>6+</a:t>
          </a:r>
          <a:r>
            <a:rPr lang="en-GB" sz="1100" b="0" i="0" baseline="0">
              <a:solidFill>
                <a:schemeClr val="dk1"/>
              </a:solidFill>
              <a:effectLst/>
              <a:latin typeface="Arial" panose="020B0604020202020204" pitchFamily="34" charset="0"/>
              <a:ea typeface="+mn-ea"/>
              <a:cs typeface="Arial" panose="020B0604020202020204" pitchFamily="34" charset="0"/>
            </a:rPr>
            <a:t>/</a:t>
          </a:r>
          <a:r>
            <a:rPr lang="el-GR" sz="1100" b="0" i="0" baseline="0">
              <a:solidFill>
                <a:schemeClr val="dk1"/>
              </a:solidFill>
              <a:effectLst/>
              <a:latin typeface="Arial" panose="020B0604020202020204" pitchFamily="34" charset="0"/>
              <a:ea typeface="+mn-ea"/>
              <a:cs typeface="Arial" panose="020B0604020202020204" pitchFamily="34" charset="0"/>
            </a:rPr>
            <a:t>Σ</a:t>
          </a:r>
          <a:r>
            <a:rPr lang="en-GB" sz="1100" b="0" i="0" baseline="0">
              <a:solidFill>
                <a:schemeClr val="dk1"/>
              </a:solidFill>
              <a:effectLst/>
              <a:latin typeface="Arial" panose="020B0604020202020204" pitchFamily="34" charset="0"/>
              <a:ea typeface="+mn-ea"/>
              <a:cs typeface="Arial" panose="020B0604020202020204" pitchFamily="34" charset="0"/>
            </a:rPr>
            <a:t>S </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Arial" panose="020B0604020202020204" pitchFamily="34" charset="0"/>
              <a:ea typeface="+mn-ea"/>
              <a:cs typeface="Arial" panose="020B0604020202020204" pitchFamily="34" charset="0"/>
            </a:rPr>
            <a:t>+ Fe</a:t>
          </a:r>
          <a:r>
            <a:rPr lang="en-GB" sz="1100" baseline="30000">
              <a:solidFill>
                <a:schemeClr val="dk1"/>
              </a:solidFill>
              <a:effectLst/>
              <a:latin typeface="Arial" panose="020B0604020202020204" pitchFamily="34" charset="0"/>
              <a:ea typeface="+mn-ea"/>
              <a:cs typeface="Arial" panose="020B0604020202020204" pitchFamily="34" charset="0"/>
            </a:rPr>
            <a:t>3+</a:t>
          </a:r>
          <a:r>
            <a:rPr lang="en-GB" sz="1100" baseline="0">
              <a:solidFill>
                <a:schemeClr val="dk1"/>
              </a:solidFill>
              <a:effectLst/>
              <a:latin typeface="Arial" panose="020B0604020202020204" pitchFamily="34" charset="0"/>
              <a:ea typeface="+mn-ea"/>
              <a:cs typeface="Arial" panose="020B0604020202020204" pitchFamily="34" charset="0"/>
            </a:rPr>
            <a:t>/</a:t>
          </a:r>
          <a:r>
            <a:rPr lang="el-GR" sz="1100" baseline="0">
              <a:solidFill>
                <a:schemeClr val="dk1"/>
              </a:solidFill>
              <a:effectLst/>
              <a:latin typeface="Arial" panose="020B0604020202020204" pitchFamily="34" charset="0"/>
              <a:ea typeface="+mn-ea"/>
              <a:cs typeface="Arial" panose="020B0604020202020204" pitchFamily="34" charset="0"/>
            </a:rPr>
            <a:t>Σ</a:t>
          </a:r>
          <a:r>
            <a:rPr lang="en-GB" sz="1100" baseline="0">
              <a:solidFill>
                <a:schemeClr val="dk1"/>
              </a:solidFill>
              <a:effectLst/>
              <a:latin typeface="Arial" panose="020B0604020202020204" pitchFamily="34" charset="0"/>
              <a:ea typeface="+mn-ea"/>
              <a:cs typeface="Arial" panose="020B0604020202020204" pitchFamily="34" charset="0"/>
            </a:rPr>
            <a:t>Fe </a:t>
          </a:r>
          <a:endParaRPr lang="en-GB" sz="1100">
            <a:effectLst/>
            <a:latin typeface="Arial" panose="020B0604020202020204" pitchFamily="34" charset="0"/>
            <a:cs typeface="Arial" panose="020B0604020202020204" pitchFamily="34" charset="0"/>
          </a:endParaRPr>
        </a:p>
        <a:p>
          <a:r>
            <a:rPr lang="en-GB" sz="1100" b="0" i="0" baseline="0">
              <a:solidFill>
                <a:schemeClr val="dk1"/>
              </a:solidFill>
              <a:effectLst/>
              <a:latin typeface="Arial" panose="020B0604020202020204" pitchFamily="34" charset="0"/>
              <a:ea typeface="+mn-ea"/>
              <a:cs typeface="Arial" panose="020B0604020202020204" pitchFamily="34" charset="0"/>
            </a:rPr>
            <a:t>+ log</a:t>
          </a:r>
          <a:r>
            <a:rPr lang="en-GB" sz="1100" b="0" i="1" baseline="0">
              <a:solidFill>
                <a:schemeClr val="dk1"/>
              </a:solidFill>
              <a:effectLst/>
              <a:latin typeface="Arial" panose="020B0604020202020204" pitchFamily="34" charset="0"/>
              <a:ea typeface="+mn-ea"/>
              <a:cs typeface="Arial" panose="020B0604020202020204" pitchFamily="34" charset="0"/>
            </a:rPr>
            <a:t>f</a:t>
          </a:r>
          <a:r>
            <a:rPr lang="en-GB" sz="1100" b="0" i="0" baseline="0">
              <a:solidFill>
                <a:schemeClr val="dk1"/>
              </a:solidFill>
              <a:effectLst/>
              <a:latin typeface="Arial" panose="020B0604020202020204" pitchFamily="34" charset="0"/>
              <a:ea typeface="+mn-ea"/>
              <a:cs typeface="Arial" panose="020B0604020202020204" pitchFamily="34" charset="0"/>
            </a:rPr>
            <a:t>O</a:t>
          </a:r>
          <a:r>
            <a:rPr lang="en-GB" sz="1100" b="0" i="0" baseline="-25000">
              <a:solidFill>
                <a:schemeClr val="dk1"/>
              </a:solidFill>
              <a:effectLst/>
              <a:latin typeface="Arial" panose="020B0604020202020204" pitchFamily="34" charset="0"/>
              <a:ea typeface="+mn-ea"/>
              <a:cs typeface="Arial" panose="020B0604020202020204" pitchFamily="34" charset="0"/>
            </a:rPr>
            <a:t>2</a:t>
          </a:r>
          <a:r>
            <a:rPr lang="en-GB" sz="1100" b="0" i="0" baseline="0">
              <a:solidFill>
                <a:schemeClr val="dk1"/>
              </a:solidFill>
              <a:effectLst/>
              <a:latin typeface="Arial" panose="020B0604020202020204" pitchFamily="34" charset="0"/>
              <a:ea typeface="+mn-ea"/>
              <a:cs typeface="Arial" panose="020B0604020202020204" pitchFamily="34" charset="0"/>
            </a:rPr>
            <a:t>, </a:t>
          </a:r>
          <a:r>
            <a:rPr lang="el-GR" sz="1100" b="0" i="0" baseline="0">
              <a:solidFill>
                <a:schemeClr val="dk1"/>
              </a:solidFill>
              <a:effectLst/>
              <a:latin typeface="Arial" panose="020B0604020202020204" pitchFamily="34" charset="0"/>
              <a:ea typeface="+mn-ea"/>
              <a:cs typeface="Arial" panose="020B0604020202020204" pitchFamily="34" charset="0"/>
            </a:rPr>
            <a:t>Δ</a:t>
          </a:r>
          <a:r>
            <a:rPr lang="en-GB" sz="1100" b="0" i="0" baseline="0">
              <a:solidFill>
                <a:schemeClr val="dk1"/>
              </a:solidFill>
              <a:effectLst/>
              <a:latin typeface="Arial" panose="020B0604020202020204" pitchFamily="34" charset="0"/>
              <a:ea typeface="+mn-ea"/>
              <a:cs typeface="Arial" panose="020B0604020202020204" pitchFamily="34" charset="0"/>
            </a:rPr>
            <a:t>FMQ, </a:t>
          </a:r>
          <a:r>
            <a:rPr lang="el-GR" sz="1100" b="0" i="0" baseline="0">
              <a:solidFill>
                <a:schemeClr val="dk1"/>
              </a:solidFill>
              <a:effectLst/>
              <a:latin typeface="Arial" panose="020B0604020202020204" pitchFamily="34" charset="0"/>
              <a:ea typeface="+mn-ea"/>
              <a:cs typeface="Arial" panose="020B0604020202020204" pitchFamily="34" charset="0"/>
            </a:rPr>
            <a:t>Δ</a:t>
          </a:r>
          <a:r>
            <a:rPr lang="en-GB" sz="1100" b="0" i="0" baseline="0">
              <a:solidFill>
                <a:schemeClr val="dk1"/>
              </a:solidFill>
              <a:effectLst/>
              <a:latin typeface="Arial" panose="020B0604020202020204" pitchFamily="34" charset="0"/>
              <a:ea typeface="+mn-ea"/>
              <a:cs typeface="Arial" panose="020B0604020202020204" pitchFamily="34" charset="0"/>
            </a:rPr>
            <a:t>NNO, </a:t>
          </a:r>
          <a:r>
            <a:rPr lang="el-GR" sz="1100" b="0" i="0" baseline="0">
              <a:solidFill>
                <a:schemeClr val="dk1"/>
              </a:solidFill>
              <a:effectLst/>
              <a:latin typeface="Arial" panose="020B0604020202020204" pitchFamily="34" charset="0"/>
              <a:ea typeface="+mn-ea"/>
              <a:cs typeface="Arial" panose="020B0604020202020204" pitchFamily="34" charset="0"/>
            </a:rPr>
            <a:t>Δ</a:t>
          </a:r>
          <a:r>
            <a:rPr lang="en-GB" sz="1100" b="0" i="0" baseline="0">
              <a:solidFill>
                <a:schemeClr val="dk1"/>
              </a:solidFill>
              <a:effectLst/>
              <a:latin typeface="Arial" panose="020B0604020202020204" pitchFamily="34" charset="0"/>
              <a:ea typeface="+mn-ea"/>
              <a:cs typeface="Arial" panose="020B0604020202020204" pitchFamily="34" charset="0"/>
            </a:rPr>
            <a:t>IW  </a:t>
          </a:r>
        </a:p>
        <a:p>
          <a:endParaRPr lang="en-GB" sz="1100" b="0" i="0" baseline="0">
            <a:solidFill>
              <a:schemeClr val="dk1"/>
            </a:solidFill>
            <a:effectLst/>
            <a:latin typeface="Arial" panose="020B0604020202020204" pitchFamily="34" charset="0"/>
            <a:ea typeface="+mn-ea"/>
            <a:cs typeface="Arial" panose="020B0604020202020204" pitchFamily="34" charset="0"/>
          </a:endParaRPr>
        </a:p>
        <a:p>
          <a:r>
            <a:rPr lang="en-GB" sz="1100" b="0" i="0" baseline="0">
              <a:solidFill>
                <a:schemeClr val="dk1"/>
              </a:solidFill>
              <a:effectLst/>
              <a:latin typeface="Arial" panose="020B0604020202020204" pitchFamily="34" charset="0"/>
              <a:ea typeface="+mn-ea"/>
              <a:cs typeface="Arial" panose="020B0604020202020204" pitchFamily="34" charset="0"/>
            </a:rPr>
            <a:t>For comparison, sulfur solubility/speciation models from other studies (refs below) are also calculated. </a:t>
          </a:r>
        </a:p>
        <a:p>
          <a:endParaRPr lang="en-GB" sz="1100" b="1">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2. </a:t>
          </a:r>
          <a:r>
            <a:rPr lang="en-GB" sz="1100">
              <a:latin typeface="Arial" panose="020B0604020202020204" pitchFamily="34" charset="0"/>
              <a:cs typeface="Arial" panose="020B0604020202020204" pitchFamily="34" charset="0"/>
            </a:rPr>
            <a:t>Input sample name,</a:t>
          </a:r>
          <a:r>
            <a:rPr lang="en-GB" sz="1100" baseline="0">
              <a:latin typeface="Arial" panose="020B0604020202020204" pitchFamily="34" charset="0"/>
              <a:cs typeface="Arial" panose="020B0604020202020204" pitchFamily="34" charset="0"/>
            </a:rPr>
            <a:t> major element composition, T (°C), P (GPa), and log</a:t>
          </a:r>
          <a:r>
            <a:rPr lang="en-GB" sz="1100" i="1" baseline="0">
              <a:latin typeface="Arial" panose="020B0604020202020204" pitchFamily="34" charset="0"/>
              <a:cs typeface="Arial" panose="020B0604020202020204" pitchFamily="34" charset="0"/>
            </a:rPr>
            <a:t>f</a:t>
          </a:r>
          <a:r>
            <a:rPr lang="en-GB" sz="1100" baseline="0">
              <a:latin typeface="Arial" panose="020B0604020202020204" pitchFamily="34" charset="0"/>
              <a:cs typeface="Arial" panose="020B0604020202020204" pitchFamily="34" charset="0"/>
            </a:rPr>
            <a:t>O</a:t>
          </a:r>
          <a:r>
            <a:rPr lang="en-GB" sz="1100" baseline="-25000">
              <a:latin typeface="Arial" panose="020B0604020202020204" pitchFamily="34" charset="0"/>
              <a:cs typeface="Arial" panose="020B0604020202020204" pitchFamily="34" charset="0"/>
            </a:rPr>
            <a:t>2</a:t>
          </a:r>
          <a:r>
            <a:rPr lang="el-GR" sz="1100" baseline="0">
              <a:latin typeface="Arial" panose="020B0604020202020204" pitchFamily="34" charset="0"/>
              <a:cs typeface="Arial" panose="020B0604020202020204" pitchFamily="34" charset="0"/>
            </a:rPr>
            <a:t>Δ</a:t>
          </a:r>
          <a:r>
            <a:rPr lang="en-GB" sz="1100" baseline="0">
              <a:latin typeface="Arial" panose="020B0604020202020204" pitchFamily="34" charset="0"/>
              <a:cs typeface="Arial" panose="020B0604020202020204" pitchFamily="34" charset="0"/>
            </a:rPr>
            <a:t>FMQ values in </a:t>
          </a:r>
          <a:r>
            <a:rPr lang="en-GB" sz="1100" u="sng" baseline="0">
              <a:latin typeface="Arial" panose="020B0604020202020204" pitchFamily="34" charset="0"/>
              <a:cs typeface="Arial" panose="020B0604020202020204" pitchFamily="34" charset="0"/>
            </a:rPr>
            <a:t>columns F:U</a:t>
          </a:r>
          <a:r>
            <a:rPr lang="en-GB" sz="1100" u="none" baseline="0">
              <a:latin typeface="Arial" panose="020B0604020202020204" pitchFamily="34" charset="0"/>
              <a:cs typeface="Arial" panose="020B0604020202020204" pitchFamily="34" charset="0"/>
            </a:rPr>
            <a:t> - add more rows of data by copying/dragging columns D:FW down</a:t>
          </a:r>
        </a:p>
        <a:p>
          <a:endParaRPr lang="en-GB" sz="1100" u="none"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50" b="0" i="1" u="none" strike="noStrike" kern="0" cap="none" spc="0" normalizeH="0" baseline="0" noProof="0">
              <a:ln w="3175">
                <a:noFill/>
              </a:ln>
              <a:solidFill>
                <a:schemeClr val="tx1"/>
              </a:solidFill>
              <a:effectLst/>
              <a:uLnTx/>
              <a:uFillTx/>
              <a:latin typeface="Arial" panose="020B0604020202020204" pitchFamily="34" charset="0"/>
              <a:ea typeface="+mn-ea"/>
              <a:cs typeface="Arial" panose="020B0604020202020204" pitchFamily="34" charset="0"/>
            </a:rPr>
            <a:t>Note: For all S capacity models in this workbook, any water content included is treated as an ideal diluent (i.e. it will simply decrease the mole fractions of other major oxides) to calculate results on an anhydrous basis, Set H</a:t>
          </a:r>
          <a:r>
            <a:rPr kumimoji="0" lang="en-GB" sz="1050" b="0" i="1" u="none" strike="noStrike" kern="0" cap="none" spc="0" normalizeH="0" baseline="-25000" noProof="0">
              <a:ln w="3175">
                <a:noFill/>
              </a:ln>
              <a:solidFill>
                <a:schemeClr val="tx1"/>
              </a:solidFill>
              <a:effectLst/>
              <a:uLnTx/>
              <a:uFillTx/>
              <a:latin typeface="Arial" panose="020B0604020202020204" pitchFamily="34" charset="0"/>
              <a:ea typeface="+mn-ea"/>
              <a:cs typeface="Arial" panose="020B0604020202020204" pitchFamily="34" charset="0"/>
            </a:rPr>
            <a:t>2</a:t>
          </a:r>
          <a:r>
            <a:rPr kumimoji="0" lang="en-GB" sz="1050" b="0" i="1" u="none" strike="noStrike" kern="0" cap="none" spc="0" normalizeH="0" baseline="0" noProof="0">
              <a:ln w="3175">
                <a:noFill/>
              </a:ln>
              <a:solidFill>
                <a:schemeClr val="tx1"/>
              </a:solidFill>
              <a:effectLst/>
              <a:uLnTx/>
              <a:uFillTx/>
              <a:latin typeface="Arial" panose="020B0604020202020204" pitchFamily="34" charset="0"/>
              <a:ea typeface="+mn-ea"/>
              <a:cs typeface="Arial" panose="020B0604020202020204" pitchFamily="34" charset="0"/>
            </a:rPr>
            <a:t>O values to 0 % in </a:t>
          </a:r>
          <a:r>
            <a:rPr kumimoji="0" lang="en-GB" sz="1050" b="0" i="1" u="sng" strike="noStrike" kern="0" cap="none" spc="0" normalizeH="0" baseline="0" noProof="0">
              <a:ln w="3175">
                <a:noFill/>
              </a:ln>
              <a:solidFill>
                <a:schemeClr val="tx1"/>
              </a:solidFill>
              <a:effectLst/>
              <a:uLnTx/>
              <a:uFillTx/>
              <a:latin typeface="Arial" panose="020B0604020202020204" pitchFamily="34" charset="0"/>
              <a:ea typeface="+mn-ea"/>
              <a:cs typeface="Arial" panose="020B0604020202020204" pitchFamily="34" charset="0"/>
            </a:rPr>
            <a:t>column U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u="sng"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3.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Calculations are performed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V:FV</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 to see them: highlight columns -&gt; right click -&gt; select unhide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u="none" baseline="0">
            <a:latin typeface="Arial" panose="020B0604020202020204" pitchFamily="34" charset="0"/>
            <a:cs typeface="Arial" panose="020B0604020202020204" pitchFamily="34" charset="0"/>
          </a:endParaRPr>
        </a:p>
        <a:p>
          <a:r>
            <a:rPr lang="en-GB" sz="1100" b="1" baseline="0">
              <a:latin typeface="Arial" panose="020B0604020202020204" pitchFamily="34" charset="0"/>
              <a:cs typeface="Arial" panose="020B0604020202020204" pitchFamily="34" charset="0"/>
            </a:rPr>
            <a:t>4.</a:t>
          </a:r>
          <a:r>
            <a:rPr lang="en-GB" sz="1100" baseline="0">
              <a:latin typeface="Arial" panose="020B0604020202020204" pitchFamily="34" charset="0"/>
              <a:cs typeface="Arial" panose="020B0604020202020204" pitchFamily="34" charset="0"/>
            </a:rPr>
            <a:t> Results are summarised in </a:t>
          </a:r>
          <a:r>
            <a:rPr lang="en-GB" sz="1100" u="sng" baseline="0">
              <a:latin typeface="Arial" panose="020B0604020202020204" pitchFamily="34" charset="0"/>
              <a:cs typeface="Arial" panose="020B0604020202020204" pitchFamily="34" charset="0"/>
            </a:rPr>
            <a:t>columns FW:GJ</a:t>
          </a:r>
          <a:r>
            <a:rPr lang="en-GB" sz="1100" u="none" baseline="0">
              <a:latin typeface="Arial" panose="020B0604020202020204" pitchFamily="34" charset="0"/>
              <a:cs typeface="Arial" panose="020B0604020202020204" pitchFamily="34" charset="0"/>
            </a:rPr>
            <a:t> </a:t>
          </a:r>
        </a:p>
        <a:p>
          <a:endParaRPr lang="en-GB" sz="1100" u="none"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u="none" baseline="0">
              <a:latin typeface="Arial" panose="020B0604020202020204" pitchFamily="34" charset="0"/>
              <a:cs typeface="Arial" panose="020B0604020202020204" pitchFamily="34" charset="0"/>
            </a:rPr>
            <a:t>5. </a:t>
          </a:r>
          <a:r>
            <a:rPr lang="en-GB" sz="1100" b="0" u="none" baseline="0">
              <a:latin typeface="Arial" panose="020B0604020202020204" pitchFamily="34" charset="0"/>
              <a:cs typeface="Arial" panose="020B0604020202020204" pitchFamily="34" charset="0"/>
            </a:rPr>
            <a:t>Please cite this spreadsheet and the studies of the respective models if you use the calculations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e.g. "We calculate Fe</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3+</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Fe ratios using the model of Kress and Carmichael (1991) implemented in the excel-based calculator of Gorojovsky &amp; Wood (2025)." </a:t>
          </a:r>
          <a:r>
            <a:rPr lang="en-GB" sz="1100" b="0" u="none" baseline="0">
              <a:latin typeface="Arial" panose="020B0604020202020204" pitchFamily="34" charset="0"/>
              <a:cs typeface="Arial" panose="020B0604020202020204" pitchFamily="34" charset="0"/>
            </a:rPr>
            <a:t> </a:t>
          </a:r>
          <a:r>
            <a:rPr lang="en-GB" sz="1100" b="0" u="none" baseline="0">
              <a:solidFill>
                <a:schemeClr val="dk1"/>
              </a:solidFill>
              <a:effectLst/>
              <a:latin typeface="Arial" panose="020B0604020202020204" pitchFamily="34" charset="0"/>
              <a:ea typeface="+mn-ea"/>
              <a:cs typeface="Arial" panose="020B0604020202020204" pitchFamily="34" charset="0"/>
            </a:rPr>
            <a:t>- full references of the models inlcuded in this workbork are provided below.</a:t>
          </a:r>
          <a:endParaRPr lang="en-GB" sz="1100" u="none">
            <a:effectLst/>
            <a:latin typeface="Arial" panose="020B0604020202020204" pitchFamily="34" charset="0"/>
            <a:cs typeface="Arial" panose="020B0604020202020204" pitchFamily="34" charset="0"/>
          </a:endParaRPr>
        </a:p>
        <a:p>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endParaRPr lang="en-GB" sz="1200" u="none" baseline="0">
            <a:latin typeface="Arial" panose="020B0604020202020204" pitchFamily="34" charset="0"/>
            <a:cs typeface="Arial" panose="020B0604020202020204" pitchFamily="34" charset="0"/>
          </a:endParaRPr>
        </a:p>
        <a:p>
          <a:r>
            <a:rPr lang="en-GB" sz="1200" b="1" u="none" baseline="0">
              <a:latin typeface="Arial" panose="020B0604020202020204" pitchFamily="34" charset="0"/>
              <a:cs typeface="Arial" panose="020B0604020202020204" pitchFamily="34" charset="0"/>
            </a:rPr>
            <a:t>References:</a:t>
          </a:r>
        </a:p>
        <a:p>
          <a:endParaRPr lang="en-GB" sz="1200" b="1" u="none" baseline="0">
            <a:latin typeface="Arial" panose="020B0604020202020204" pitchFamily="34" charset="0"/>
            <a:cs typeface="Arial" panose="020B0604020202020204" pitchFamily="34" charset="0"/>
          </a:endParaRPr>
        </a:p>
        <a:p>
          <a:r>
            <a:rPr lang="en-GB" sz="1100">
              <a:solidFill>
                <a:schemeClr val="dk1"/>
              </a:solidFill>
              <a:effectLst/>
              <a:latin typeface="+mn-lt"/>
              <a:ea typeface="+mn-ea"/>
              <a:cs typeface="+mn-cs"/>
            </a:rPr>
            <a:t>Boulliung, J. and Wood, B.J. (2022) ‘SO2 solubility and degassing behavior in silicate melts’, Geochimica et Cosmochimica Acta, 336, pp. 150–164. </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Boulliung, J. and Wood, B.J. (2023) ‘Sulfur oxidation state and solubility in silicate melts’, Contributions to mineralogy and petrology, 178(8), p. 56.</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Frost, B.R. (1991) ‘Introduction to oxygen fugacity and its petrologic importance’, in Reviews in Mineralogy and Geochemistry. De Gruyter, pp. 1–9. </a:t>
          </a:r>
        </a:p>
        <a:p>
          <a:endParaRPr lang="en-GB"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Jugo, P.J., Wilke, M. and Botcharnikov, R.E. (2010) ‘Sulfur K-edge XANES analysis of natural and synthetic basaltic glasses: Implications for S speciation and S content as function of oxygen fugacity’, </a:t>
          </a:r>
          <a:r>
            <a:rPr lang="en-GB" sz="1100" i="1">
              <a:solidFill>
                <a:schemeClr val="dk1"/>
              </a:solidFill>
              <a:effectLst/>
              <a:latin typeface="+mn-lt"/>
              <a:ea typeface="+mn-ea"/>
              <a:cs typeface="+mn-cs"/>
            </a:rPr>
            <a:t>Geochimica et Cosmochimica Acta</a:t>
          </a:r>
          <a:r>
            <a:rPr lang="en-GB" sz="1100">
              <a:solidFill>
                <a:schemeClr val="dk1"/>
              </a:solidFill>
              <a:effectLst/>
              <a:latin typeface="+mn-lt"/>
              <a:ea typeface="+mn-ea"/>
              <a:cs typeface="+mn-cs"/>
            </a:rPr>
            <a:t>, 74(20), pp. 5926–5938</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Kress, V.C. and Carmichael, I.S.E. (1991) ‘The compressibility of silicate liquids containing Fe2O3 and the effect of composition, temperature, oxygen fugacity and pressure on their redox states’, Contributions to Mineralogy and Petrology, 108(1–2), pp. 82–92.</a:t>
          </a:r>
        </a:p>
        <a:p>
          <a:endParaRPr lang="en-GB"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a:effectLst/>
            </a:rPr>
            <a:t>Muth, M.J. and Cottrell, E. (2025) ‘The effect of pressure on sulfur valence state in mafic silicate melts’, </a:t>
          </a:r>
          <a:r>
            <a:rPr lang="en-GB" i="1">
              <a:effectLst/>
            </a:rPr>
            <a:t>Earth and Planetary Science Letters</a:t>
          </a:r>
          <a:r>
            <a:rPr lang="en-GB">
              <a:effectLst/>
            </a:rPr>
            <a:t>, 668, p. 119562. </a:t>
          </a:r>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Nash, W.M., Smythe, D.J. and Wood, B.J. (2019) ‘Compositional and temperature effects on sulfur speciation and solubility in silicate melts’, Earth and Planetary Science Letters, 507, pp. 187–198.</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O’Neill, H.S.C. (2021) ‘The Thermodynamic Controls on Sulfide Saturation in Silicate Melts with Application to Ocean Floor Basalts’, in Magma Redox Geochemistry. American Geophysical Union (Geophysical Monograph Series), pp. 177–213. </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O’Neill, H.St.C. and Mavrogenes, J.A. (2022) ‘The sulfate capacities of silicate melts’, Geochimica et Cosmochimica Acta, 334, pp. 368–382. </a:t>
          </a:r>
        </a:p>
        <a:p>
          <a:endParaRPr lang="en-GB" sz="1100" b="1" u="non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effectLst/>
            </a:rPr>
            <a:t>Thomas, R.W. and Wood, B.J. (2026) ‘Sulfur speciation in silicate melts at high pressure’, </a:t>
          </a:r>
          <a:r>
            <a:rPr lang="en-GB" sz="1100" i="1">
              <a:effectLst/>
            </a:rPr>
            <a:t>Geochimica et Cosmochimica Acta</a:t>
          </a:r>
          <a:r>
            <a:rPr lang="en-GB" sz="1100">
              <a:effectLst/>
            </a:rPr>
            <a:t>, 417, pp. 37–51.</a:t>
          </a:r>
        </a:p>
        <a:p>
          <a:endParaRPr lang="en-GB" sz="1200" b="1" u="none" baseline="0">
            <a:latin typeface="Arial" panose="020B0604020202020204" pitchFamily="34" charset="0"/>
            <a:cs typeface="Arial" panose="020B0604020202020204" pitchFamily="34" charset="0"/>
          </a:endParaRPr>
        </a:p>
        <a:p>
          <a:endParaRPr lang="en-GB" sz="1200" u="sng" baseline="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Lauren.gorojovsky@earth.ox.ac.uk"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6BC1-90A8-FB47-952F-6B98FDEDB24D}">
  <sheetPr codeName="Sheet1"/>
  <dimension ref="A1:K64"/>
  <sheetViews>
    <sheetView topLeftCell="A9" zoomScaleNormal="100" workbookViewId="0">
      <selection activeCell="D18" sqref="D18"/>
    </sheetView>
  </sheetViews>
  <sheetFormatPr defaultColWidth="8.83203125" defaultRowHeight="16" x14ac:dyDescent="0.4"/>
  <cols>
    <col min="4" max="5" width="8.83203125" style="94"/>
    <col min="6" max="6" width="13.83203125" style="94" customWidth="1"/>
    <col min="7" max="7" width="35.83203125" style="94" customWidth="1"/>
    <col min="8" max="8" width="26.83203125" style="94" customWidth="1"/>
    <col min="9" max="9" width="25.83203125" style="94" customWidth="1"/>
    <col min="10" max="10" width="8.83203125" style="94"/>
  </cols>
  <sheetData>
    <row r="1" spans="1:11" x14ac:dyDescent="0.4">
      <c r="B1" s="1"/>
      <c r="C1" s="1"/>
      <c r="D1" s="84"/>
      <c r="E1" s="84"/>
      <c r="F1" s="84"/>
      <c r="G1" s="84"/>
      <c r="H1" s="84"/>
      <c r="I1" s="84"/>
      <c r="J1" s="84"/>
      <c r="K1" s="1"/>
    </row>
    <row r="2" spans="1:11" x14ac:dyDescent="0.4">
      <c r="B2" s="1"/>
      <c r="C2" s="1"/>
      <c r="D2" s="84"/>
      <c r="E2" s="84"/>
      <c r="F2" s="84"/>
      <c r="G2" s="84"/>
      <c r="H2" s="84"/>
      <c r="I2" s="84"/>
      <c r="J2" s="84"/>
      <c r="K2" s="1"/>
    </row>
    <row r="3" spans="1:11" ht="34" customHeight="1" x14ac:dyDescent="0.4">
      <c r="A3" s="95"/>
      <c r="B3" s="99"/>
      <c r="C3" s="96"/>
      <c r="D3" s="97" t="s">
        <v>102</v>
      </c>
      <c r="E3" s="98"/>
      <c r="F3" s="98"/>
      <c r="G3" s="98"/>
      <c r="H3" s="98"/>
      <c r="I3" s="98"/>
      <c r="J3" s="98"/>
      <c r="K3" s="1"/>
    </row>
    <row r="4" spans="1:11" x14ac:dyDescent="0.4">
      <c r="B4" s="1"/>
      <c r="C4" s="1"/>
      <c r="D4" s="84"/>
      <c r="E4" s="84"/>
      <c r="F4" s="84"/>
      <c r="G4" s="84"/>
      <c r="H4" s="84"/>
      <c r="I4" s="84"/>
      <c r="J4" s="84"/>
      <c r="K4" s="1"/>
    </row>
    <row r="5" spans="1:11" x14ac:dyDescent="0.4">
      <c r="B5" s="1"/>
      <c r="C5" s="1"/>
      <c r="D5" s="103" t="s">
        <v>106</v>
      </c>
      <c r="E5" s="104"/>
      <c r="F5" s="104"/>
      <c r="G5" s="104"/>
      <c r="H5" s="104"/>
      <c r="I5" s="104"/>
      <c r="J5" s="84"/>
      <c r="K5" s="1"/>
    </row>
    <row r="6" spans="1:11" x14ac:dyDescent="0.4">
      <c r="A6" s="1"/>
      <c r="B6" s="1"/>
      <c r="C6" s="1"/>
      <c r="D6" s="103"/>
      <c r="E6" s="103" t="s">
        <v>135</v>
      </c>
      <c r="F6" s="104"/>
      <c r="G6" s="104"/>
      <c r="H6" s="104"/>
      <c r="I6" s="104"/>
      <c r="J6" s="84"/>
      <c r="K6" s="1"/>
    </row>
    <row r="7" spans="1:11" x14ac:dyDescent="0.4">
      <c r="A7" s="1"/>
      <c r="B7" s="1"/>
      <c r="C7" s="1"/>
      <c r="D7" s="103"/>
      <c r="E7" s="103"/>
      <c r="F7" s="104"/>
      <c r="G7" s="104"/>
      <c r="H7" s="104"/>
      <c r="I7" s="104"/>
      <c r="J7" s="84"/>
      <c r="K7" s="1"/>
    </row>
    <row r="8" spans="1:11" x14ac:dyDescent="0.4">
      <c r="A8" s="1"/>
      <c r="B8" s="1"/>
      <c r="C8" s="1"/>
      <c r="D8" s="103" t="s">
        <v>107</v>
      </c>
      <c r="E8" s="104"/>
      <c r="F8" s="104"/>
      <c r="G8" s="104"/>
      <c r="H8" s="104"/>
      <c r="I8" s="104"/>
      <c r="J8" s="84"/>
      <c r="K8" s="1"/>
    </row>
    <row r="9" spans="1:11" x14ac:dyDescent="0.4">
      <c r="B9" s="1"/>
      <c r="C9" s="1"/>
      <c r="D9" s="105" t="s">
        <v>104</v>
      </c>
      <c r="E9" s="104"/>
      <c r="F9" s="104"/>
      <c r="G9" s="104"/>
      <c r="H9" s="104"/>
      <c r="I9" s="104"/>
      <c r="J9" s="84"/>
      <c r="K9" s="1"/>
    </row>
    <row r="10" spans="1:11" x14ac:dyDescent="0.4">
      <c r="B10" s="1"/>
      <c r="C10" s="1"/>
      <c r="D10" s="101"/>
      <c r="E10" s="84"/>
      <c r="F10" s="84"/>
      <c r="G10" s="84"/>
      <c r="H10" s="84"/>
      <c r="I10" s="84"/>
      <c r="J10" s="84"/>
      <c r="K10" s="1"/>
    </row>
    <row r="11" spans="1:11" ht="19" x14ac:dyDescent="0.4">
      <c r="B11" s="1"/>
      <c r="C11" s="1"/>
      <c r="D11" s="102" t="s">
        <v>105</v>
      </c>
      <c r="E11" s="84"/>
      <c r="F11" s="84"/>
      <c r="G11" s="84"/>
      <c r="H11" s="84"/>
      <c r="I11" s="84"/>
      <c r="J11" s="84"/>
      <c r="K11" s="1"/>
    </row>
    <row r="12" spans="1:11" x14ac:dyDescent="0.4">
      <c r="B12" s="1"/>
      <c r="C12" s="1"/>
      <c r="D12" s="100"/>
      <c r="E12" s="84"/>
      <c r="F12" s="84"/>
      <c r="G12" s="84"/>
      <c r="H12" s="84"/>
      <c r="I12" s="84"/>
      <c r="J12" s="84"/>
      <c r="K12" s="1"/>
    </row>
    <row r="13" spans="1:11" x14ac:dyDescent="0.4">
      <c r="B13" s="1"/>
      <c r="C13" s="1"/>
      <c r="D13" s="100" t="s">
        <v>103</v>
      </c>
      <c r="E13" s="84"/>
      <c r="F13" s="84"/>
      <c r="G13" s="84"/>
      <c r="H13" s="84"/>
      <c r="I13" s="84"/>
      <c r="J13" s="84"/>
      <c r="K13" s="1"/>
    </row>
    <row r="14" spans="1:11" ht="19" customHeight="1" x14ac:dyDescent="0.4">
      <c r="B14" s="1"/>
      <c r="C14" s="1"/>
      <c r="D14" s="86" t="s">
        <v>85</v>
      </c>
      <c r="E14" s="86"/>
      <c r="F14" s="86"/>
      <c r="G14" s="86" t="s">
        <v>86</v>
      </c>
      <c r="H14" s="87" t="s">
        <v>87</v>
      </c>
      <c r="I14" s="87" t="s">
        <v>88</v>
      </c>
      <c r="J14" s="84"/>
      <c r="K14" s="1"/>
    </row>
    <row r="15" spans="1:11" ht="16.5" x14ac:dyDescent="0.4">
      <c r="B15" s="1"/>
      <c r="C15" s="1"/>
      <c r="D15" s="88" t="s">
        <v>89</v>
      </c>
      <c r="E15" s="89"/>
      <c r="F15" s="89"/>
      <c r="G15" s="89" t="s">
        <v>90</v>
      </c>
      <c r="H15" s="90" t="s">
        <v>92</v>
      </c>
      <c r="I15" s="90" t="s">
        <v>91</v>
      </c>
      <c r="J15" s="84"/>
      <c r="K15" s="1"/>
    </row>
    <row r="16" spans="1:11" ht="16.5" x14ac:dyDescent="0.4">
      <c r="B16" s="1"/>
      <c r="C16" s="1"/>
      <c r="D16" s="88" t="s">
        <v>89</v>
      </c>
      <c r="E16" s="89"/>
      <c r="F16" s="89"/>
      <c r="G16" s="89" t="s">
        <v>137</v>
      </c>
      <c r="H16" s="90" t="s">
        <v>92</v>
      </c>
      <c r="I16" s="90" t="s">
        <v>93</v>
      </c>
      <c r="J16" s="84"/>
      <c r="K16" s="1"/>
    </row>
    <row r="17" spans="2:11" ht="16.5" x14ac:dyDescent="0.4">
      <c r="B17" s="1"/>
      <c r="C17" s="1"/>
      <c r="D17" s="88" t="s">
        <v>89</v>
      </c>
      <c r="E17" s="89"/>
      <c r="F17" s="89"/>
      <c r="G17" s="89" t="s">
        <v>138</v>
      </c>
      <c r="H17" s="90" t="s">
        <v>92</v>
      </c>
      <c r="I17" s="90" t="s">
        <v>93</v>
      </c>
      <c r="J17" s="84"/>
      <c r="K17" s="1"/>
    </row>
    <row r="18" spans="2:11" ht="16.5" x14ac:dyDescent="0.4">
      <c r="B18" s="1"/>
      <c r="C18" s="1"/>
      <c r="D18" s="88" t="s">
        <v>144</v>
      </c>
      <c r="E18" s="89"/>
      <c r="F18" s="89"/>
      <c r="G18" s="89" t="s">
        <v>136</v>
      </c>
      <c r="H18" s="90" t="s">
        <v>139</v>
      </c>
      <c r="I18" s="90" t="s">
        <v>141</v>
      </c>
      <c r="J18" s="84"/>
      <c r="K18" s="1"/>
    </row>
    <row r="19" spans="2:11" ht="16.5" x14ac:dyDescent="0.4">
      <c r="B19" s="1"/>
      <c r="C19" s="1"/>
      <c r="D19" s="88" t="s">
        <v>144</v>
      </c>
      <c r="E19" s="89"/>
      <c r="F19" s="89"/>
      <c r="G19" s="89" t="s">
        <v>140</v>
      </c>
      <c r="H19" s="90" t="s">
        <v>143</v>
      </c>
      <c r="I19" s="90" t="s">
        <v>142</v>
      </c>
      <c r="J19" s="84"/>
      <c r="K19" s="1"/>
    </row>
    <row r="20" spans="2:11" ht="16.5" x14ac:dyDescent="0.4">
      <c r="B20" s="1"/>
      <c r="C20" s="1"/>
      <c r="D20" s="88" t="s">
        <v>94</v>
      </c>
      <c r="E20" s="89"/>
      <c r="F20" s="89"/>
      <c r="G20" s="89" t="s">
        <v>95</v>
      </c>
      <c r="H20" s="90" t="s">
        <v>96</v>
      </c>
      <c r="I20" s="90" t="s">
        <v>97</v>
      </c>
      <c r="J20" s="84"/>
      <c r="K20" s="1"/>
    </row>
    <row r="21" spans="2:11" ht="16.5" x14ac:dyDescent="0.4">
      <c r="B21" s="1"/>
      <c r="C21" s="1"/>
      <c r="D21" s="88" t="s">
        <v>94</v>
      </c>
      <c r="E21" s="89"/>
      <c r="F21" s="89"/>
      <c r="G21" s="89" t="s">
        <v>98</v>
      </c>
      <c r="H21" s="90" t="s">
        <v>92</v>
      </c>
      <c r="I21" s="90" t="s">
        <v>99</v>
      </c>
      <c r="J21" s="84"/>
      <c r="K21" s="1"/>
    </row>
    <row r="22" spans="2:11" ht="16.5" x14ac:dyDescent="0.4">
      <c r="B22" s="1"/>
      <c r="C22" s="1"/>
      <c r="D22" s="91" t="s">
        <v>100</v>
      </c>
      <c r="E22" s="92"/>
      <c r="F22" s="92"/>
      <c r="G22" s="92" t="s">
        <v>14</v>
      </c>
      <c r="H22" s="93" t="s">
        <v>92</v>
      </c>
      <c r="I22" s="93" t="s">
        <v>101</v>
      </c>
      <c r="J22" s="84"/>
      <c r="K22" s="1"/>
    </row>
    <row r="23" spans="2:11" x14ac:dyDescent="0.4">
      <c r="B23" s="1"/>
      <c r="C23" s="1"/>
      <c r="D23" s="85"/>
      <c r="E23" s="84"/>
      <c r="F23" s="84"/>
      <c r="G23" s="84"/>
      <c r="H23" s="84"/>
      <c r="I23" s="84"/>
      <c r="J23" s="84"/>
      <c r="K23" s="1"/>
    </row>
    <row r="24" spans="2:11" x14ac:dyDescent="0.4">
      <c r="B24" s="1"/>
      <c r="C24" s="1"/>
      <c r="D24" s="1"/>
      <c r="E24" s="1"/>
      <c r="F24" s="1"/>
      <c r="G24" s="1"/>
      <c r="H24" s="1"/>
      <c r="I24" s="1"/>
      <c r="J24" s="1"/>
      <c r="K24" s="1"/>
    </row>
    <row r="25" spans="2:11" x14ac:dyDescent="0.4">
      <c r="B25" s="1"/>
      <c r="C25" s="1"/>
      <c r="D25" s="1"/>
      <c r="E25" s="1"/>
      <c r="F25" s="1"/>
      <c r="G25" s="1"/>
      <c r="H25" s="1"/>
      <c r="I25" s="1"/>
      <c r="J25" s="1"/>
      <c r="K25" s="1"/>
    </row>
    <row r="26" spans="2:11" x14ac:dyDescent="0.4">
      <c r="B26" s="1"/>
      <c r="C26" s="1"/>
      <c r="D26" s="1"/>
      <c r="E26" s="1"/>
      <c r="F26" s="1"/>
      <c r="G26" s="1"/>
      <c r="H26" s="1"/>
      <c r="I26" s="1"/>
      <c r="J26" s="1"/>
      <c r="K26" s="1"/>
    </row>
    <row r="27" spans="2:11" x14ac:dyDescent="0.4">
      <c r="B27" s="1"/>
      <c r="C27" s="1"/>
      <c r="D27" s="1"/>
      <c r="E27" s="1"/>
      <c r="F27" s="1"/>
      <c r="G27" s="1"/>
      <c r="H27" s="1"/>
      <c r="I27" s="1"/>
      <c r="J27" s="1"/>
      <c r="K27" s="1"/>
    </row>
    <row r="28" spans="2:11" x14ac:dyDescent="0.4">
      <c r="B28" s="1"/>
      <c r="C28" s="1"/>
      <c r="D28" s="1"/>
      <c r="E28" s="1"/>
      <c r="F28" s="1"/>
      <c r="G28" s="1"/>
      <c r="H28" s="1"/>
      <c r="I28" s="1"/>
      <c r="J28" s="1"/>
      <c r="K28" s="1"/>
    </row>
    <row r="29" spans="2:11" x14ac:dyDescent="0.4">
      <c r="B29" s="1"/>
      <c r="C29" s="1"/>
      <c r="D29" s="1"/>
      <c r="E29" s="1"/>
      <c r="F29" s="1"/>
      <c r="G29" s="1"/>
      <c r="H29" s="1"/>
      <c r="I29" s="1"/>
      <c r="J29" s="1"/>
      <c r="K29" s="1"/>
    </row>
    <row r="30" spans="2:11" x14ac:dyDescent="0.4">
      <c r="B30" s="1"/>
      <c r="C30" s="1"/>
      <c r="D30" s="1"/>
      <c r="E30" s="1"/>
      <c r="F30" s="1"/>
      <c r="G30" s="1"/>
      <c r="H30" s="1"/>
      <c r="I30" s="1"/>
      <c r="J30" s="1"/>
      <c r="K30" s="1"/>
    </row>
    <row r="31" spans="2:11" x14ac:dyDescent="0.4">
      <c r="B31" s="1"/>
      <c r="C31" s="1"/>
      <c r="D31" s="1"/>
      <c r="E31" s="1"/>
      <c r="F31" s="1"/>
      <c r="G31" s="1"/>
      <c r="H31" s="1"/>
      <c r="I31" s="1"/>
      <c r="J31" s="1"/>
      <c r="K31" s="1"/>
    </row>
    <row r="32" spans="2:11" x14ac:dyDescent="0.4">
      <c r="B32" s="1"/>
      <c r="C32" s="1"/>
      <c r="D32" s="1"/>
      <c r="E32" s="1"/>
      <c r="F32" s="1"/>
      <c r="G32" s="1"/>
      <c r="H32" s="1"/>
      <c r="I32" s="1"/>
      <c r="J32" s="1"/>
      <c r="K32" s="1"/>
    </row>
    <row r="33" spans="2:11" x14ac:dyDescent="0.4">
      <c r="B33" s="1"/>
      <c r="C33" s="1"/>
      <c r="D33" s="1"/>
      <c r="E33" s="1"/>
      <c r="F33" s="1"/>
      <c r="G33" s="1"/>
      <c r="H33" s="1"/>
      <c r="I33" s="1"/>
      <c r="J33" s="1"/>
      <c r="K33" s="1"/>
    </row>
    <row r="34" spans="2:11" x14ac:dyDescent="0.4">
      <c r="B34" s="1"/>
      <c r="C34" s="1"/>
      <c r="D34" s="1"/>
      <c r="E34" s="1"/>
      <c r="F34" s="1"/>
      <c r="G34" s="1"/>
      <c r="H34" s="1"/>
      <c r="I34" s="1"/>
      <c r="J34" s="1"/>
      <c r="K34" s="1"/>
    </row>
    <row r="35" spans="2:11" x14ac:dyDescent="0.4">
      <c r="B35" s="1"/>
      <c r="C35" s="1"/>
      <c r="D35" s="1"/>
      <c r="E35" s="1"/>
      <c r="F35" s="1"/>
      <c r="G35" s="1"/>
      <c r="H35" s="1"/>
      <c r="I35" s="1"/>
      <c r="J35" s="1"/>
      <c r="K35" s="1"/>
    </row>
    <row r="36" spans="2:11" x14ac:dyDescent="0.4">
      <c r="B36" s="1"/>
      <c r="C36" s="1"/>
      <c r="D36" s="1"/>
      <c r="E36" s="1"/>
      <c r="F36" s="1"/>
      <c r="G36" s="1"/>
      <c r="H36" s="1"/>
      <c r="I36" s="1"/>
      <c r="J36" s="1"/>
      <c r="K36" s="1"/>
    </row>
    <row r="37" spans="2:11" x14ac:dyDescent="0.4">
      <c r="B37" s="1"/>
      <c r="C37" s="1"/>
      <c r="D37" s="1"/>
      <c r="E37" s="1"/>
      <c r="F37" s="1"/>
      <c r="G37" s="1"/>
      <c r="H37" s="1"/>
      <c r="I37" s="1"/>
      <c r="J37" s="1"/>
      <c r="K37" s="1"/>
    </row>
    <row r="38" spans="2:11" x14ac:dyDescent="0.4">
      <c r="B38" s="1"/>
      <c r="C38" s="1"/>
      <c r="D38" s="84"/>
      <c r="E38" s="84"/>
      <c r="F38" s="84"/>
      <c r="G38" s="84"/>
      <c r="H38" s="84"/>
      <c r="I38" s="84"/>
      <c r="J38" s="84"/>
      <c r="K38" s="1"/>
    </row>
    <row r="39" spans="2:11" x14ac:dyDescent="0.4">
      <c r="B39" s="1"/>
      <c r="C39" s="1"/>
      <c r="D39" s="84"/>
      <c r="E39" s="84"/>
      <c r="F39" s="84"/>
      <c r="G39" s="84"/>
      <c r="H39" s="84"/>
      <c r="I39" s="84"/>
      <c r="J39" s="84"/>
      <c r="K39" s="1"/>
    </row>
    <row r="40" spans="2:11" x14ac:dyDescent="0.4">
      <c r="B40" s="1"/>
      <c r="C40" s="1"/>
      <c r="D40" s="84"/>
      <c r="E40" s="84"/>
      <c r="F40" s="84"/>
      <c r="G40" s="84"/>
      <c r="H40" s="84"/>
      <c r="I40" s="84"/>
      <c r="J40" s="84"/>
      <c r="K40" s="1"/>
    </row>
    <row r="41" spans="2:11" x14ac:dyDescent="0.4">
      <c r="B41" s="1"/>
      <c r="C41" s="1"/>
      <c r="D41" s="84"/>
      <c r="E41" s="84"/>
      <c r="F41" s="84"/>
      <c r="G41" s="84"/>
      <c r="H41" s="84"/>
      <c r="I41" s="84"/>
      <c r="J41" s="84"/>
      <c r="K41" s="1"/>
    </row>
    <row r="42" spans="2:11" x14ac:dyDescent="0.4">
      <c r="B42" s="1"/>
      <c r="C42" s="1"/>
      <c r="D42" s="84"/>
      <c r="E42" s="84"/>
      <c r="F42" s="84"/>
      <c r="G42" s="84"/>
      <c r="H42" s="84"/>
      <c r="I42" s="84"/>
      <c r="J42" s="84"/>
      <c r="K42" s="1"/>
    </row>
    <row r="43" spans="2:11" x14ac:dyDescent="0.4">
      <c r="B43" s="1"/>
      <c r="C43" s="1"/>
      <c r="D43" s="84"/>
      <c r="E43" s="84"/>
      <c r="F43" s="84"/>
      <c r="G43" s="84"/>
      <c r="H43" s="84"/>
      <c r="I43" s="84"/>
      <c r="J43" s="84"/>
      <c r="K43" s="1"/>
    </row>
    <row r="44" spans="2:11" x14ac:dyDescent="0.4">
      <c r="B44" s="1"/>
      <c r="C44" s="1"/>
      <c r="D44" s="84"/>
      <c r="E44" s="84"/>
      <c r="F44" s="84"/>
      <c r="G44" s="84"/>
      <c r="H44" s="84"/>
      <c r="I44" s="84"/>
      <c r="J44" s="84"/>
      <c r="K44" s="1"/>
    </row>
    <row r="45" spans="2:11" x14ac:dyDescent="0.4">
      <c r="B45" s="1"/>
      <c r="C45" s="1"/>
      <c r="D45" s="84"/>
      <c r="E45" s="84"/>
      <c r="F45" s="84"/>
      <c r="G45" s="84"/>
      <c r="H45" s="84"/>
      <c r="I45" s="84"/>
      <c r="J45" s="84"/>
      <c r="K45" s="1"/>
    </row>
    <row r="46" spans="2:11" x14ac:dyDescent="0.4">
      <c r="B46" s="1"/>
      <c r="C46" s="1"/>
      <c r="D46" s="84"/>
      <c r="E46" s="84"/>
      <c r="F46" s="84"/>
      <c r="G46" s="84"/>
      <c r="H46" s="84"/>
      <c r="I46" s="84"/>
      <c r="J46" s="84"/>
      <c r="K46" s="1"/>
    </row>
    <row r="47" spans="2:11" x14ac:dyDescent="0.4">
      <c r="B47" s="1"/>
      <c r="C47" s="1"/>
      <c r="D47" s="84"/>
      <c r="E47" s="84"/>
      <c r="F47" s="84"/>
      <c r="G47" s="84"/>
      <c r="H47" s="84"/>
      <c r="I47" s="84"/>
      <c r="J47" s="84"/>
      <c r="K47" s="1"/>
    </row>
    <row r="48" spans="2:11" x14ac:dyDescent="0.4">
      <c r="B48" s="1"/>
      <c r="C48" s="1"/>
      <c r="D48" s="84"/>
      <c r="E48" s="84"/>
      <c r="F48" s="84"/>
      <c r="G48" s="84"/>
      <c r="H48" s="84"/>
      <c r="I48" s="84"/>
      <c r="J48" s="84"/>
      <c r="K48" s="1"/>
    </row>
    <row r="49" spans="2:11" x14ac:dyDescent="0.4">
      <c r="B49" s="1"/>
      <c r="C49" s="1"/>
      <c r="D49" s="84"/>
      <c r="E49" s="84"/>
      <c r="F49" s="84"/>
      <c r="G49" s="84"/>
      <c r="H49" s="84"/>
      <c r="I49" s="84"/>
      <c r="J49" s="84"/>
      <c r="K49" s="1"/>
    </row>
    <row r="50" spans="2:11" x14ac:dyDescent="0.4">
      <c r="B50" s="1"/>
      <c r="C50" s="1"/>
      <c r="D50" s="84"/>
      <c r="E50" s="84"/>
      <c r="F50" s="84"/>
      <c r="G50" s="84"/>
      <c r="H50" s="84"/>
      <c r="I50" s="84"/>
      <c r="J50" s="84"/>
      <c r="K50" s="1"/>
    </row>
    <row r="51" spans="2:11" x14ac:dyDescent="0.4">
      <c r="B51" s="1"/>
      <c r="C51" s="1"/>
      <c r="D51" s="84"/>
      <c r="E51" s="84"/>
      <c r="F51" s="84"/>
      <c r="G51" s="84"/>
      <c r="H51" s="84"/>
      <c r="I51" s="84"/>
      <c r="J51" s="84"/>
      <c r="K51" s="1"/>
    </row>
    <row r="52" spans="2:11" x14ac:dyDescent="0.4">
      <c r="B52" s="1"/>
      <c r="C52" s="1"/>
      <c r="D52" s="84"/>
      <c r="E52" s="84"/>
      <c r="F52" s="84"/>
      <c r="G52" s="84"/>
      <c r="H52" s="84"/>
      <c r="I52" s="84"/>
      <c r="J52" s="84"/>
      <c r="K52" s="1"/>
    </row>
    <row r="53" spans="2:11" x14ac:dyDescent="0.4">
      <c r="B53" s="1"/>
      <c r="C53" s="1"/>
      <c r="D53" s="84"/>
      <c r="E53" s="84"/>
      <c r="F53" s="84"/>
      <c r="G53" s="84"/>
      <c r="H53" s="84"/>
      <c r="I53" s="84"/>
      <c r="J53" s="84"/>
      <c r="K53" s="1"/>
    </row>
    <row r="54" spans="2:11" x14ac:dyDescent="0.4">
      <c r="B54" s="1"/>
      <c r="C54" s="1"/>
      <c r="D54" s="84"/>
      <c r="E54" s="84"/>
      <c r="F54" s="84"/>
      <c r="G54" s="84"/>
      <c r="H54" s="84"/>
      <c r="I54" s="84"/>
      <c r="J54" s="84"/>
      <c r="K54" s="1"/>
    </row>
    <row r="55" spans="2:11" x14ac:dyDescent="0.4">
      <c r="B55" s="1"/>
      <c r="C55" s="1"/>
      <c r="D55" s="84"/>
      <c r="E55" s="84"/>
      <c r="F55" s="84"/>
      <c r="G55" s="84"/>
      <c r="H55" s="84"/>
      <c r="I55" s="84"/>
      <c r="J55" s="84"/>
      <c r="K55" s="1"/>
    </row>
    <row r="56" spans="2:11" x14ac:dyDescent="0.4">
      <c r="B56" s="1"/>
      <c r="C56" s="1"/>
      <c r="D56" s="84"/>
      <c r="E56" s="84"/>
      <c r="F56" s="84"/>
      <c r="G56" s="84"/>
      <c r="H56" s="84"/>
      <c r="I56" s="84"/>
      <c r="J56" s="84"/>
      <c r="K56" s="1"/>
    </row>
    <row r="57" spans="2:11" x14ac:dyDescent="0.4">
      <c r="B57" s="1"/>
      <c r="C57" s="1"/>
      <c r="D57" s="84"/>
      <c r="E57" s="84"/>
      <c r="F57" s="84"/>
      <c r="G57" s="84"/>
      <c r="H57" s="84"/>
      <c r="I57" s="84"/>
      <c r="J57" s="84"/>
      <c r="K57" s="1"/>
    </row>
    <row r="58" spans="2:11" x14ac:dyDescent="0.4">
      <c r="B58" s="1"/>
      <c r="C58" s="1"/>
      <c r="D58" s="84"/>
      <c r="E58" s="84"/>
      <c r="F58" s="84"/>
      <c r="G58" s="84"/>
      <c r="H58" s="84"/>
      <c r="I58" s="84"/>
      <c r="J58" s="84"/>
      <c r="K58" s="1"/>
    </row>
    <row r="59" spans="2:11" x14ac:dyDescent="0.4">
      <c r="B59" s="1"/>
      <c r="C59" s="1"/>
      <c r="D59" s="84"/>
      <c r="E59" s="84"/>
      <c r="F59" s="84"/>
      <c r="G59" s="84"/>
      <c r="H59" s="84"/>
      <c r="I59" s="84"/>
      <c r="J59" s="84"/>
      <c r="K59" s="1"/>
    </row>
    <row r="60" spans="2:11" x14ac:dyDescent="0.4">
      <c r="B60" s="1"/>
      <c r="C60" s="1"/>
      <c r="D60" s="84"/>
      <c r="E60" s="84"/>
      <c r="F60" s="84"/>
      <c r="G60" s="84"/>
      <c r="H60" s="84"/>
      <c r="I60" s="84"/>
      <c r="J60" s="84"/>
      <c r="K60" s="1"/>
    </row>
    <row r="61" spans="2:11" x14ac:dyDescent="0.4">
      <c r="B61" s="1"/>
      <c r="C61" s="1"/>
      <c r="D61" s="84"/>
      <c r="E61" s="84"/>
      <c r="F61" s="84"/>
      <c r="G61" s="84"/>
      <c r="H61" s="84"/>
      <c r="I61" s="84"/>
      <c r="J61" s="84"/>
      <c r="K61" s="1"/>
    </row>
    <row r="62" spans="2:11" x14ac:dyDescent="0.4">
      <c r="B62" s="1"/>
      <c r="C62" s="1"/>
      <c r="D62" s="84"/>
      <c r="E62" s="84"/>
      <c r="F62" s="84"/>
      <c r="G62" s="84"/>
      <c r="H62" s="84"/>
      <c r="I62" s="84"/>
      <c r="J62" s="84"/>
      <c r="K62" s="1"/>
    </row>
    <row r="63" spans="2:11" x14ac:dyDescent="0.4">
      <c r="B63" s="1"/>
      <c r="C63" s="1"/>
      <c r="D63" s="84"/>
      <c r="E63" s="84"/>
      <c r="F63" s="84"/>
      <c r="G63" s="84"/>
      <c r="H63" s="84"/>
      <c r="I63" s="84"/>
      <c r="J63" s="84"/>
      <c r="K63" s="1"/>
    </row>
    <row r="64" spans="2:11" x14ac:dyDescent="0.4">
      <c r="B64" s="1"/>
      <c r="C64" s="1"/>
      <c r="D64" s="84"/>
      <c r="E64" s="84"/>
      <c r="F64" s="84"/>
      <c r="G64" s="84"/>
      <c r="H64" s="84"/>
      <c r="I64" s="84"/>
      <c r="J64" s="84"/>
      <c r="K64" s="1"/>
    </row>
  </sheetData>
  <hyperlinks>
    <hyperlink ref="D9" r:id="rId1" xr:uid="{35C4AFAA-3F69-1940-A6EB-8BEA35FD284E}"/>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890D1-CF72-B843-A5B5-B028C2DA0140}">
  <dimension ref="A1:GK141"/>
  <sheetViews>
    <sheetView tabSelected="1" topLeftCell="CT32" zoomScale="68" zoomScaleNormal="20" workbookViewId="0">
      <selection activeCell="DA35" sqref="DA35"/>
    </sheetView>
  </sheetViews>
  <sheetFormatPr defaultColWidth="8.5" defaultRowHeight="16" x14ac:dyDescent="0.4"/>
  <cols>
    <col min="1" max="1" width="8.5" style="2"/>
    <col min="2" max="3" width="14" style="2" customWidth="1"/>
    <col min="4" max="5" width="8.5" style="2"/>
    <col min="6" max="6" width="39.33203125" style="2" customWidth="1"/>
    <col min="7" max="8" width="10" style="2" customWidth="1"/>
    <col min="9" max="18" width="10.1640625" style="2" customWidth="1"/>
    <col min="19" max="21" width="10.5" style="2" customWidth="1"/>
    <col min="22" max="131" width="11.5" style="2" customWidth="1"/>
    <col min="132" max="134" width="14.5" style="2" customWidth="1"/>
    <col min="135" max="135" width="11.5" style="2" customWidth="1"/>
    <col min="136" max="136" width="14.5" style="186" customWidth="1"/>
    <col min="137" max="144" width="14.5" style="2" customWidth="1"/>
    <col min="145" max="145" width="11.5" style="2" customWidth="1"/>
    <col min="146" max="148" width="14.5" style="2" customWidth="1"/>
    <col min="149" max="149" width="11.5" style="2" customWidth="1"/>
    <col min="150" max="151" width="14.5" style="2" customWidth="1"/>
    <col min="152" max="152" width="11.5" style="2" customWidth="1"/>
    <col min="153" max="153" width="14.5" style="2" customWidth="1"/>
    <col min="154" max="161" width="11.5" style="2" customWidth="1"/>
    <col min="162" max="166" width="14.5" style="2" customWidth="1"/>
    <col min="167" max="167" width="11.5" style="2" customWidth="1"/>
    <col min="168" max="170" width="16.83203125" style="2" customWidth="1"/>
    <col min="171" max="172" width="14.5" style="2" customWidth="1"/>
    <col min="173" max="173" width="13.33203125" style="2" customWidth="1"/>
    <col min="174" max="174" width="11.5" style="2" customWidth="1"/>
    <col min="175" max="177" width="14.5" style="2" customWidth="1"/>
    <col min="178" max="178" width="10.33203125" style="2" customWidth="1"/>
    <col min="179" max="179" width="13" style="2" customWidth="1"/>
    <col min="180" max="184" width="14.5" style="2" customWidth="1"/>
    <col min="185" max="185" width="11.5" style="2" customWidth="1"/>
    <col min="186" max="187" width="12.5" style="2" customWidth="1"/>
    <col min="188" max="188" width="10.1640625" style="2" customWidth="1"/>
    <col min="189" max="189" width="11.83203125" style="2" customWidth="1"/>
    <col min="190" max="190" width="18.5" style="2" customWidth="1"/>
    <col min="191" max="192" width="14.1640625" style="2" customWidth="1"/>
    <col min="193" max="194" width="14.1640625" customWidth="1"/>
    <col min="195" max="199" width="17.5" customWidth="1"/>
  </cols>
  <sheetData>
    <row r="1" spans="1:193" ht="16.5" thickTop="1" x14ac:dyDescent="0.4">
      <c r="A1" s="34"/>
      <c r="B1" s="21"/>
      <c r="C1" s="21"/>
      <c r="D1" s="34"/>
      <c r="E1" s="34"/>
      <c r="F1" s="34"/>
      <c r="G1" s="34"/>
      <c r="H1" s="34"/>
      <c r="I1" s="34"/>
      <c r="J1" s="34"/>
      <c r="K1" s="34"/>
      <c r="L1" s="34"/>
      <c r="M1" s="34"/>
      <c r="N1" s="34"/>
      <c r="O1" s="34"/>
      <c r="P1" s="34"/>
      <c r="Q1" s="34"/>
      <c r="R1" s="34"/>
      <c r="S1" s="34"/>
      <c r="T1" s="3"/>
      <c r="U1" s="83"/>
      <c r="V1" s="82" t="s">
        <v>0</v>
      </c>
      <c r="W1" s="81"/>
      <c r="X1" s="79"/>
      <c r="Y1" s="79"/>
      <c r="Z1" s="79"/>
      <c r="AA1" s="79"/>
      <c r="AB1" s="79"/>
      <c r="AC1" s="79"/>
      <c r="AD1" s="79"/>
      <c r="AE1" s="79"/>
      <c r="AF1" s="79"/>
      <c r="AG1" s="79"/>
      <c r="AH1" s="79"/>
      <c r="AI1" s="79"/>
      <c r="AJ1" s="79"/>
      <c r="AK1" s="80"/>
      <c r="AL1" s="80"/>
      <c r="AM1" s="80"/>
      <c r="AN1" s="80"/>
      <c r="AO1" s="80"/>
      <c r="AP1" s="80"/>
      <c r="AQ1" s="80"/>
      <c r="AR1" s="80"/>
      <c r="AS1" s="80"/>
      <c r="AT1" s="80"/>
      <c r="AU1" s="80"/>
      <c r="AV1" s="80"/>
      <c r="AW1" s="80"/>
      <c r="AX1" s="80"/>
      <c r="AY1" s="80"/>
      <c r="AZ1" s="80"/>
      <c r="BA1" s="80"/>
      <c r="BB1" s="80"/>
      <c r="BC1" s="80"/>
      <c r="BD1" s="80"/>
      <c r="BE1" s="80"/>
      <c r="BF1" s="80"/>
      <c r="BG1" s="80"/>
      <c r="BH1" s="80"/>
      <c r="BI1" s="80"/>
      <c r="BJ1" s="80"/>
      <c r="BK1" s="80"/>
      <c r="BL1" s="80"/>
      <c r="BM1" s="80"/>
      <c r="BN1" s="80"/>
      <c r="BO1" s="80"/>
      <c r="BP1" s="80"/>
      <c r="BQ1" s="80"/>
      <c r="BR1" s="79"/>
      <c r="BS1" s="79"/>
      <c r="BT1" s="79"/>
      <c r="BU1" s="79"/>
      <c r="BV1" s="79"/>
      <c r="BW1" s="79"/>
      <c r="BX1" s="79"/>
      <c r="BY1" s="79"/>
      <c r="BZ1" s="79"/>
      <c r="CA1" s="79"/>
      <c r="CB1" s="79"/>
      <c r="CC1" s="79"/>
      <c r="CD1" s="79"/>
      <c r="CE1" s="79"/>
      <c r="CF1" s="79"/>
      <c r="CG1" s="79"/>
      <c r="CH1" s="79"/>
      <c r="CI1" s="79"/>
      <c r="CJ1" s="79"/>
      <c r="CK1" s="79"/>
      <c r="CL1" s="79"/>
      <c r="CM1" s="79"/>
      <c r="CN1" s="79"/>
      <c r="CO1" s="79"/>
      <c r="CP1" s="79"/>
      <c r="CQ1" s="79"/>
      <c r="CR1" s="79"/>
      <c r="CS1" s="79"/>
      <c r="CT1" s="79"/>
      <c r="CU1" s="79"/>
      <c r="CV1" s="80"/>
      <c r="CW1" s="80"/>
      <c r="CX1" s="79"/>
      <c r="CY1" s="79"/>
      <c r="CZ1" s="79"/>
      <c r="DA1" s="79"/>
      <c r="DB1" s="79"/>
      <c r="DC1" s="79"/>
      <c r="DD1" s="79"/>
      <c r="DE1" s="79"/>
      <c r="DF1" s="79"/>
      <c r="DG1" s="79"/>
      <c r="DH1" s="79"/>
      <c r="DI1" s="79"/>
      <c r="DJ1" s="79"/>
      <c r="DK1" s="79"/>
      <c r="DL1" s="79"/>
      <c r="DM1" s="79"/>
      <c r="DN1" s="79"/>
      <c r="DO1" s="79"/>
      <c r="DP1" s="79"/>
      <c r="DQ1" s="79"/>
      <c r="DR1" s="79"/>
      <c r="DS1" s="79"/>
      <c r="DT1" s="79"/>
      <c r="DU1" s="79"/>
      <c r="DV1" s="79"/>
      <c r="DW1" s="79"/>
      <c r="DX1" s="79"/>
      <c r="DY1" s="79"/>
      <c r="DZ1" s="79"/>
      <c r="EA1" s="79"/>
      <c r="EB1" s="79"/>
      <c r="EC1" s="79"/>
      <c r="ED1" s="79"/>
      <c r="EE1" s="79"/>
      <c r="EF1" s="181"/>
      <c r="EG1" s="79"/>
      <c r="EH1" s="79"/>
      <c r="EI1" s="79"/>
      <c r="EJ1" s="79"/>
      <c r="EK1" s="79"/>
      <c r="EL1" s="79"/>
      <c r="EM1" s="79"/>
      <c r="EN1" s="79"/>
      <c r="EO1" s="79"/>
      <c r="EP1" s="79"/>
      <c r="EQ1" s="79"/>
      <c r="ER1" s="79"/>
      <c r="ES1" s="79"/>
      <c r="ET1" s="79"/>
      <c r="EU1" s="79"/>
      <c r="EV1" s="79"/>
      <c r="EW1" s="79"/>
      <c r="EX1" s="79"/>
      <c r="EY1" s="79"/>
      <c r="EZ1" s="79"/>
      <c r="FA1" s="79"/>
      <c r="FB1" s="79"/>
      <c r="FC1" s="79"/>
      <c r="FD1" s="79"/>
      <c r="FE1" s="79"/>
      <c r="FF1" s="79"/>
      <c r="FG1" s="79"/>
      <c r="FH1" s="79"/>
      <c r="FI1" s="79"/>
      <c r="FJ1" s="79"/>
      <c r="FK1" s="79"/>
      <c r="FL1" s="79"/>
      <c r="FM1" s="79"/>
      <c r="FN1" s="79"/>
      <c r="FO1" s="79"/>
      <c r="FP1" s="79"/>
      <c r="FQ1" s="79"/>
      <c r="FR1" s="79"/>
      <c r="FS1" s="79"/>
      <c r="FT1" s="79"/>
      <c r="FU1" s="79"/>
      <c r="FV1" s="78" t="s">
        <v>1</v>
      </c>
      <c r="FW1" s="77"/>
      <c r="FX1" s="1"/>
      <c r="FY1" s="1"/>
      <c r="FZ1" s="1"/>
      <c r="GA1" s="1"/>
      <c r="GB1" s="1"/>
      <c r="GC1" s="1"/>
      <c r="GD1" s="1"/>
      <c r="GE1" s="34"/>
      <c r="GF1" s="3"/>
      <c r="GG1" s="34"/>
      <c r="GH1" s="34"/>
      <c r="GI1" s="21"/>
      <c r="GJ1" s="34"/>
      <c r="GK1" s="1"/>
    </row>
    <row r="2" spans="1:193" ht="32.5" customHeight="1" thickBot="1" x14ac:dyDescent="0.55000000000000004">
      <c r="A2" s="34"/>
      <c r="B2" s="21"/>
      <c r="C2" s="21"/>
      <c r="D2" s="34"/>
      <c r="E2" s="34"/>
      <c r="F2" s="34"/>
      <c r="G2" s="34"/>
      <c r="H2" s="34"/>
      <c r="I2" s="34"/>
      <c r="J2" s="34"/>
      <c r="K2" s="34"/>
      <c r="L2" s="34"/>
      <c r="M2" s="34"/>
      <c r="N2" s="34"/>
      <c r="O2" s="34"/>
      <c r="P2" s="34"/>
      <c r="Q2" s="34"/>
      <c r="R2" s="34"/>
      <c r="S2" s="34"/>
      <c r="T2" s="3"/>
      <c r="U2" s="131" t="s">
        <v>2</v>
      </c>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32"/>
      <c r="BP2" s="132"/>
      <c r="BQ2" s="132"/>
      <c r="BR2" s="132"/>
      <c r="BS2" s="132"/>
      <c r="BT2" s="132"/>
      <c r="BU2" s="132"/>
      <c r="BV2" s="132"/>
      <c r="BW2" s="132"/>
      <c r="BX2" s="132"/>
      <c r="BY2" s="132"/>
      <c r="BZ2" s="132"/>
      <c r="CA2" s="132"/>
      <c r="CB2" s="132"/>
      <c r="CC2" s="132"/>
      <c r="CD2" s="132"/>
      <c r="CE2" s="132"/>
      <c r="CF2" s="132"/>
      <c r="CG2" s="132"/>
      <c r="CH2" s="132"/>
      <c r="CI2" s="132"/>
      <c r="CJ2" s="132"/>
      <c r="CK2" s="132"/>
      <c r="CL2" s="132"/>
      <c r="CM2" s="132"/>
      <c r="CN2" s="132"/>
      <c r="CO2" s="132"/>
      <c r="CP2" s="132"/>
      <c r="CQ2" s="132"/>
      <c r="CR2" s="132"/>
      <c r="CS2" s="132"/>
      <c r="CT2" s="132"/>
      <c r="CU2" s="132"/>
      <c r="CV2" s="132"/>
      <c r="CW2" s="132"/>
      <c r="CX2" s="132"/>
      <c r="CY2" s="132"/>
      <c r="CZ2" s="132"/>
      <c r="DA2" s="132"/>
      <c r="DB2" s="132"/>
      <c r="DC2" s="132"/>
      <c r="DD2" s="132"/>
      <c r="DE2" s="132"/>
      <c r="DF2" s="132"/>
      <c r="DG2" s="132"/>
      <c r="DH2" s="132"/>
      <c r="DI2" s="132"/>
      <c r="DJ2" s="132"/>
      <c r="DK2" s="132"/>
      <c r="DL2" s="132"/>
      <c r="DM2" s="132"/>
      <c r="DN2" s="132"/>
      <c r="DO2" s="132"/>
      <c r="DP2" s="132"/>
      <c r="DQ2" s="132"/>
      <c r="DR2" s="132"/>
      <c r="DS2" s="132"/>
      <c r="DT2" s="132"/>
      <c r="DU2" s="132"/>
      <c r="DV2" s="132"/>
      <c r="DW2" s="132"/>
      <c r="DX2" s="132"/>
      <c r="DY2" s="132"/>
      <c r="DZ2" s="132"/>
      <c r="EA2" s="132"/>
      <c r="EB2" s="132"/>
      <c r="EC2" s="132"/>
      <c r="ED2" s="132"/>
      <c r="EE2" s="132"/>
      <c r="EF2" s="132"/>
      <c r="EG2" s="132"/>
      <c r="EH2" s="132"/>
      <c r="EI2" s="132"/>
      <c r="EJ2" s="132"/>
      <c r="EK2" s="132"/>
      <c r="EL2" s="132"/>
      <c r="EM2" s="132"/>
      <c r="EN2" s="132"/>
      <c r="EO2" s="132"/>
      <c r="EP2" s="132"/>
      <c r="EQ2" s="132"/>
      <c r="ER2" s="132"/>
      <c r="ES2" s="132"/>
      <c r="ET2" s="132"/>
      <c r="EU2" s="132"/>
      <c r="EV2" s="132"/>
      <c r="EW2" s="132"/>
      <c r="EX2" s="132"/>
      <c r="EY2" s="132"/>
      <c r="EZ2" s="132"/>
      <c r="FA2" s="132"/>
      <c r="FB2" s="132"/>
      <c r="FC2" s="132"/>
      <c r="FD2" s="132"/>
      <c r="FE2" s="132"/>
      <c r="FF2" s="132"/>
      <c r="FG2" s="132"/>
      <c r="FH2" s="132"/>
      <c r="FI2" s="132"/>
      <c r="FJ2" s="132"/>
      <c r="FK2" s="132"/>
      <c r="FL2" s="132"/>
      <c r="FM2" s="132"/>
      <c r="FN2" s="132"/>
      <c r="FO2" s="132"/>
      <c r="FP2" s="132"/>
      <c r="FQ2" s="132"/>
      <c r="FR2" s="132"/>
      <c r="FS2" s="132"/>
      <c r="FT2" s="132"/>
      <c r="FU2" s="132"/>
      <c r="FV2" s="132"/>
      <c r="FW2" s="133"/>
      <c r="FX2" s="1"/>
      <c r="FY2" s="1"/>
      <c r="FZ2" s="1"/>
      <c r="GA2" s="1"/>
      <c r="GB2" s="1"/>
      <c r="GC2" s="1"/>
      <c r="GD2" s="1"/>
      <c r="GE2" s="116"/>
      <c r="GF2" s="3"/>
      <c r="GG2" s="34"/>
      <c r="GH2" s="34"/>
      <c r="GI2" s="21"/>
      <c r="GJ2" s="34"/>
      <c r="GK2" s="1"/>
    </row>
    <row r="3" spans="1:193" ht="16.5" thickTop="1" x14ac:dyDescent="0.4">
      <c r="A3" s="34"/>
      <c r="B3" s="21"/>
      <c r="C3" s="21"/>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21"/>
      <c r="CT3" s="21"/>
      <c r="CU3" s="21"/>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182"/>
      <c r="EG3" s="34"/>
      <c r="EH3" s="34"/>
      <c r="EI3" s="34"/>
      <c r="EJ3" s="34"/>
      <c r="EK3" s="34"/>
      <c r="EL3" s="34"/>
      <c r="EM3" s="34"/>
      <c r="EN3" s="34"/>
      <c r="EO3" s="34"/>
      <c r="EP3" s="34"/>
      <c r="EQ3" s="34"/>
      <c r="ER3" s="34"/>
      <c r="ES3" s="34"/>
      <c r="ET3" s="34"/>
      <c r="EU3" s="34"/>
      <c r="EV3" s="34"/>
      <c r="EW3" s="34"/>
      <c r="EX3" s="34"/>
      <c r="EY3" s="34"/>
      <c r="EZ3" s="34"/>
      <c r="FA3" s="34"/>
      <c r="FB3" s="34"/>
      <c r="FC3" s="34"/>
      <c r="FD3" s="34"/>
      <c r="FE3" s="34"/>
      <c r="FF3" s="34"/>
      <c r="FG3" s="34"/>
      <c r="FH3" s="34"/>
      <c r="FI3" s="34"/>
      <c r="FJ3" s="34"/>
      <c r="FK3" s="34"/>
      <c r="FL3" s="34"/>
      <c r="FM3" s="34"/>
      <c r="FN3" s="34"/>
      <c r="FO3" s="34"/>
      <c r="FP3" s="34"/>
      <c r="FQ3" s="34"/>
      <c r="FR3" s="34"/>
      <c r="FS3" s="34"/>
      <c r="FT3" s="34"/>
      <c r="FU3" s="34"/>
      <c r="FV3" s="34"/>
      <c r="FW3" s="34"/>
      <c r="FX3" s="34"/>
      <c r="FY3" s="34"/>
      <c r="FZ3" s="34"/>
      <c r="GA3" s="34"/>
      <c r="GB3" s="34"/>
      <c r="GC3" s="34"/>
      <c r="GD3" s="34"/>
      <c r="GE3" s="34"/>
      <c r="GF3" s="34"/>
      <c r="GG3" s="34"/>
      <c r="GH3" s="21"/>
      <c r="GI3" s="34"/>
      <c r="GJ3" s="34"/>
      <c r="GK3" s="1"/>
    </row>
    <row r="4" spans="1:193" ht="21" x14ac:dyDescent="0.5">
      <c r="A4" s="34"/>
      <c r="B4" s="21"/>
      <c r="C4" s="21"/>
      <c r="D4" s="34"/>
      <c r="E4" s="34"/>
      <c r="F4" s="75" t="s">
        <v>3</v>
      </c>
      <c r="G4" s="73"/>
      <c r="H4" s="73"/>
      <c r="I4" s="73"/>
      <c r="J4" s="73"/>
      <c r="K4" s="73"/>
      <c r="L4" s="73"/>
      <c r="M4" s="73"/>
      <c r="N4" s="73"/>
      <c r="O4" s="73"/>
      <c r="P4" s="73"/>
      <c r="Q4" s="73"/>
      <c r="R4" s="73"/>
      <c r="S4" s="73"/>
      <c r="T4" s="73"/>
      <c r="U4" s="76"/>
      <c r="V4" s="34"/>
      <c r="W4" s="34"/>
      <c r="X4" s="34"/>
      <c r="Y4" s="34"/>
      <c r="Z4" s="34"/>
      <c r="AA4" s="34"/>
      <c r="AB4" s="34"/>
      <c r="AC4" s="34"/>
      <c r="AD4" s="34"/>
      <c r="AE4" s="34"/>
      <c r="AF4" s="34"/>
      <c r="AG4" s="34"/>
      <c r="AH4" s="34"/>
      <c r="AI4" s="34"/>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21"/>
      <c r="CV4" s="21"/>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182"/>
      <c r="EG4" s="34"/>
      <c r="EH4" s="34"/>
      <c r="EI4" s="34"/>
      <c r="EJ4" s="34"/>
      <c r="EK4" s="34"/>
      <c r="EL4" s="34"/>
      <c r="EM4" s="34"/>
      <c r="EN4" s="34"/>
      <c r="EO4" s="34"/>
      <c r="EP4" s="34"/>
      <c r="EQ4" s="34"/>
      <c r="ER4" s="34"/>
      <c r="ES4" s="34"/>
      <c r="ET4" s="34"/>
      <c r="EU4" s="34"/>
      <c r="EV4" s="34"/>
      <c r="EW4" s="34"/>
      <c r="EX4" s="34"/>
      <c r="EY4" s="34"/>
      <c r="EZ4" s="34"/>
      <c r="FA4" s="34"/>
      <c r="FB4" s="34"/>
      <c r="FC4" s="34"/>
      <c r="FD4" s="34"/>
      <c r="FE4" s="34"/>
      <c r="FF4" s="34"/>
      <c r="FG4" s="34"/>
      <c r="FH4" s="34"/>
      <c r="FI4" s="34"/>
      <c r="FJ4" s="34"/>
      <c r="FK4" s="34"/>
      <c r="FL4" s="34"/>
      <c r="FM4" s="34"/>
      <c r="FN4" s="34"/>
      <c r="FO4" s="34"/>
      <c r="FP4" s="34"/>
      <c r="FQ4" s="34"/>
      <c r="FR4" s="34"/>
      <c r="FS4" s="34"/>
      <c r="FT4" s="34"/>
      <c r="FU4" s="34"/>
      <c r="FV4" s="34"/>
      <c r="FW4" s="75" t="s">
        <v>4</v>
      </c>
      <c r="FX4" s="73"/>
      <c r="FY4" s="73"/>
      <c r="FZ4" s="73"/>
      <c r="GA4" s="74"/>
      <c r="GB4" s="73"/>
      <c r="GC4" s="73"/>
      <c r="GD4" s="73"/>
      <c r="GE4" s="73"/>
      <c r="GF4" s="73"/>
      <c r="GG4" s="73"/>
      <c r="GH4" s="73"/>
      <c r="GI4" s="73"/>
      <c r="GJ4" s="72"/>
      <c r="GK4" s="1"/>
    </row>
    <row r="5" spans="1:193" ht="16.5" thickBot="1" x14ac:dyDescent="0.45">
      <c r="A5" s="34"/>
      <c r="B5" s="21"/>
      <c r="C5" s="21"/>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21"/>
      <c r="CV5" s="21"/>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182"/>
      <c r="EG5" s="34"/>
      <c r="EH5" s="34"/>
      <c r="EI5" s="34"/>
      <c r="EJ5" s="34"/>
      <c r="EK5" s="34"/>
      <c r="EL5" s="34"/>
      <c r="EM5" s="34"/>
      <c r="EN5" s="34"/>
      <c r="EO5" s="34"/>
      <c r="EP5" s="34"/>
      <c r="EQ5" s="34"/>
      <c r="ER5" s="34"/>
      <c r="ES5" s="34"/>
      <c r="ET5" s="34"/>
      <c r="EU5" s="34"/>
      <c r="EV5" s="34"/>
      <c r="EW5" s="34"/>
      <c r="EX5" s="34"/>
      <c r="EY5" s="34"/>
      <c r="EZ5" s="34"/>
      <c r="FA5" s="34"/>
      <c r="FB5" s="34"/>
      <c r="FC5" s="34"/>
      <c r="FD5" s="34"/>
      <c r="FE5" s="34"/>
      <c r="FF5" s="34"/>
      <c r="FG5" s="34"/>
      <c r="FH5" s="34"/>
      <c r="FI5" s="34"/>
      <c r="FJ5" s="34"/>
      <c r="FK5" s="34"/>
      <c r="FL5" s="34"/>
      <c r="FM5" s="34"/>
      <c r="FN5" s="34"/>
      <c r="FO5" s="34"/>
      <c r="FP5" s="34"/>
      <c r="FQ5" s="34"/>
      <c r="FR5" s="34"/>
      <c r="FS5" s="34"/>
      <c r="FT5" s="34"/>
      <c r="FU5" s="34"/>
      <c r="FV5" s="34"/>
      <c r="FW5" s="34"/>
      <c r="FX5" s="34"/>
      <c r="FY5" s="34"/>
      <c r="FZ5" s="34"/>
      <c r="GA5" s="34"/>
      <c r="GB5" s="34"/>
      <c r="GC5" s="34"/>
      <c r="GD5" s="34"/>
      <c r="GE5" s="34"/>
      <c r="GF5" s="34"/>
      <c r="GG5" s="34"/>
      <c r="GH5" s="21"/>
      <c r="GI5" s="34"/>
      <c r="GJ5" s="34"/>
      <c r="GK5" s="1"/>
    </row>
    <row r="6" spans="1:193" ht="15.5" customHeight="1" x14ac:dyDescent="0.4">
      <c r="A6" s="34"/>
      <c r="B6" s="21"/>
      <c r="C6" s="21"/>
      <c r="D6" s="34"/>
      <c r="E6" s="34"/>
      <c r="F6" s="153" t="s">
        <v>5</v>
      </c>
      <c r="G6" s="154"/>
      <c r="H6" s="154"/>
      <c r="I6" s="154"/>
      <c r="J6" s="154"/>
      <c r="K6" s="154"/>
      <c r="L6" s="154"/>
      <c r="M6" s="154"/>
      <c r="N6" s="154"/>
      <c r="O6" s="154"/>
      <c r="P6" s="154"/>
      <c r="Q6" s="154"/>
      <c r="R6" s="154"/>
      <c r="S6" s="154"/>
      <c r="T6" s="154"/>
      <c r="U6" s="155"/>
      <c r="V6" s="3"/>
      <c r="W6" s="34"/>
      <c r="X6" s="34"/>
      <c r="Y6" s="34"/>
      <c r="Z6" s="34"/>
      <c r="AA6" s="34"/>
      <c r="AB6" s="34"/>
      <c r="AC6" s="34"/>
      <c r="AD6" s="34"/>
      <c r="AE6" s="34"/>
      <c r="AF6" s="34"/>
      <c r="AG6" s="34"/>
      <c r="AH6" s="34"/>
      <c r="AI6" s="34"/>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69"/>
      <c r="CV6" s="69"/>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144" t="s">
        <v>6</v>
      </c>
      <c r="EG6" s="159"/>
      <c r="EH6" s="159"/>
      <c r="EI6" s="135"/>
      <c r="EJ6" s="34"/>
      <c r="EK6" s="163" t="s">
        <v>7</v>
      </c>
      <c r="EL6" s="134"/>
      <c r="EM6" s="134"/>
      <c r="EN6" s="134"/>
      <c r="EO6" s="134"/>
      <c r="EP6" s="134"/>
      <c r="EQ6" s="165" t="s">
        <v>8</v>
      </c>
      <c r="ER6" s="166"/>
      <c r="ES6" s="167"/>
      <c r="ET6" s="71"/>
      <c r="EU6" s="171" t="s">
        <v>9</v>
      </c>
      <c r="EV6" s="135"/>
      <c r="EW6" s="71"/>
      <c r="EX6" s="127" t="s">
        <v>10</v>
      </c>
      <c r="EY6" s="71"/>
      <c r="EZ6" s="173" t="s">
        <v>11</v>
      </c>
      <c r="FA6" s="134"/>
      <c r="FB6" s="134"/>
      <c r="FC6" s="134"/>
      <c r="FD6" s="135"/>
      <c r="FE6" s="71"/>
      <c r="FF6" s="121" t="s">
        <v>12</v>
      </c>
      <c r="FG6" s="134"/>
      <c r="FH6" s="134"/>
      <c r="FI6" s="134"/>
      <c r="FJ6" s="135"/>
      <c r="FK6" s="71"/>
      <c r="FL6" s="138" t="s">
        <v>111</v>
      </c>
      <c r="FM6" s="139"/>
      <c r="FN6" s="139"/>
      <c r="FO6" s="140"/>
      <c r="FP6" s="138" t="s">
        <v>121</v>
      </c>
      <c r="FQ6" s="139"/>
      <c r="FR6" s="139"/>
      <c r="FS6" s="139"/>
      <c r="FT6" s="139"/>
      <c r="FU6" s="140"/>
      <c r="FV6" s="70"/>
      <c r="FW6" s="144" t="s">
        <v>13</v>
      </c>
      <c r="FX6" s="145"/>
      <c r="FY6" s="145"/>
      <c r="FZ6" s="146"/>
      <c r="GA6" s="175" t="s">
        <v>14</v>
      </c>
      <c r="GB6" s="138" t="s">
        <v>15</v>
      </c>
      <c r="GC6" s="139"/>
      <c r="GD6" s="139"/>
      <c r="GE6" s="140"/>
      <c r="GF6" s="121" t="s">
        <v>16</v>
      </c>
      <c r="GG6" s="123" t="s">
        <v>17</v>
      </c>
      <c r="GH6" s="125" t="s">
        <v>11</v>
      </c>
      <c r="GI6" s="127" t="s">
        <v>10</v>
      </c>
      <c r="GJ6" s="129" t="s">
        <v>9</v>
      </c>
      <c r="GK6" s="1"/>
    </row>
    <row r="7" spans="1:193" ht="40" customHeight="1" thickBot="1" x14ac:dyDescent="0.45">
      <c r="A7" s="51"/>
      <c r="B7" s="21"/>
      <c r="C7" s="21"/>
      <c r="D7" s="51"/>
      <c r="E7" s="51"/>
      <c r="F7" s="156"/>
      <c r="G7" s="157"/>
      <c r="H7" s="157"/>
      <c r="I7" s="157"/>
      <c r="J7" s="157"/>
      <c r="K7" s="157"/>
      <c r="L7" s="157"/>
      <c r="M7" s="157"/>
      <c r="N7" s="157"/>
      <c r="O7" s="157"/>
      <c r="P7" s="157"/>
      <c r="Q7" s="157"/>
      <c r="R7" s="157"/>
      <c r="S7" s="157"/>
      <c r="T7" s="157"/>
      <c r="U7" s="158"/>
      <c r="V7" s="3"/>
      <c r="W7" s="51" t="s">
        <v>18</v>
      </c>
      <c r="X7" s="51"/>
      <c r="Y7" s="51"/>
      <c r="Z7" s="51"/>
      <c r="AA7" s="51"/>
      <c r="AB7" s="51"/>
      <c r="AC7" s="51"/>
      <c r="AD7" s="51"/>
      <c r="AE7" s="51"/>
      <c r="AF7" s="51"/>
      <c r="AG7" s="51"/>
      <c r="AH7" s="51"/>
      <c r="AI7" s="51"/>
      <c r="AJ7" s="110"/>
      <c r="AK7" s="52" t="s">
        <v>19</v>
      </c>
      <c r="AL7" s="110"/>
      <c r="AM7" s="110"/>
      <c r="AN7" s="110"/>
      <c r="AO7" s="110"/>
      <c r="AP7" s="110"/>
      <c r="AQ7" s="110"/>
      <c r="AR7" s="110"/>
      <c r="AS7" s="110"/>
      <c r="AT7" s="110"/>
      <c r="AU7" s="110"/>
      <c r="AV7" s="110"/>
      <c r="AW7" s="110"/>
      <c r="AX7" s="110"/>
      <c r="AY7" s="110"/>
      <c r="AZ7" s="110"/>
      <c r="BA7" s="110" t="s">
        <v>20</v>
      </c>
      <c r="BB7" s="110"/>
      <c r="BC7" s="110"/>
      <c r="BD7" s="110"/>
      <c r="BE7" s="110"/>
      <c r="BF7" s="110"/>
      <c r="BG7" s="110"/>
      <c r="BH7" s="110"/>
      <c r="BI7" s="110"/>
      <c r="BJ7" s="110"/>
      <c r="BK7" s="110"/>
      <c r="BL7" s="110"/>
      <c r="BM7" s="110"/>
      <c r="BN7" s="110"/>
      <c r="BO7" s="110"/>
      <c r="BP7" s="110"/>
      <c r="BQ7" s="51" t="s">
        <v>21</v>
      </c>
      <c r="BR7" s="51"/>
      <c r="BS7" s="51"/>
      <c r="BT7" s="51"/>
      <c r="BU7" s="51"/>
      <c r="BV7" s="51"/>
      <c r="BW7" s="51"/>
      <c r="BX7" s="51"/>
      <c r="BY7" s="51"/>
      <c r="BZ7" s="51"/>
      <c r="CA7" s="51"/>
      <c r="CB7" s="51"/>
      <c r="CC7" s="51"/>
      <c r="CD7" s="51"/>
      <c r="CE7" s="51"/>
      <c r="CF7" s="51"/>
      <c r="CG7" s="51" t="s">
        <v>22</v>
      </c>
      <c r="CH7" s="51"/>
      <c r="CI7" s="51"/>
      <c r="CJ7" s="51"/>
      <c r="CK7" s="51"/>
      <c r="CL7" s="51"/>
      <c r="CM7" s="51"/>
      <c r="CN7" s="51"/>
      <c r="CO7" s="51"/>
      <c r="CP7" s="51"/>
      <c r="CQ7" s="51"/>
      <c r="CR7" s="51"/>
      <c r="CS7" s="51"/>
      <c r="CT7" s="51"/>
      <c r="CU7" s="110"/>
      <c r="CV7" s="110"/>
      <c r="CW7" s="51" t="s">
        <v>23</v>
      </c>
      <c r="CX7" s="51"/>
      <c r="CY7" s="51"/>
      <c r="CZ7" s="51"/>
      <c r="DA7" s="51"/>
      <c r="DB7" s="51"/>
      <c r="DC7" s="51"/>
      <c r="DD7" s="51"/>
      <c r="DE7" s="51"/>
      <c r="DF7" s="51"/>
      <c r="DG7" s="51"/>
      <c r="DH7" s="51"/>
      <c r="DI7" s="51"/>
      <c r="DJ7" s="51"/>
      <c r="DK7" s="51"/>
      <c r="DL7" s="51"/>
      <c r="DM7" s="51" t="s">
        <v>24</v>
      </c>
      <c r="DN7" s="51"/>
      <c r="DO7" s="51"/>
      <c r="DP7" s="51"/>
      <c r="DQ7" s="51"/>
      <c r="DR7" s="51"/>
      <c r="DS7" s="51"/>
      <c r="DT7" s="51"/>
      <c r="DU7" s="51"/>
      <c r="DV7" s="51"/>
      <c r="DW7" s="51"/>
      <c r="DX7" s="51"/>
      <c r="DY7" s="51"/>
      <c r="DZ7" s="51"/>
      <c r="EA7" s="51"/>
      <c r="EB7" s="51"/>
      <c r="EC7" s="51"/>
      <c r="ED7" s="51"/>
      <c r="EE7" s="51"/>
      <c r="EF7" s="160"/>
      <c r="EG7" s="161"/>
      <c r="EH7" s="161"/>
      <c r="EI7" s="162"/>
      <c r="EJ7" s="68"/>
      <c r="EK7" s="164"/>
      <c r="EL7" s="136"/>
      <c r="EM7" s="136"/>
      <c r="EN7" s="136"/>
      <c r="EO7" s="136"/>
      <c r="EP7" s="136"/>
      <c r="EQ7" s="168"/>
      <c r="ER7" s="169"/>
      <c r="ES7" s="170"/>
      <c r="ET7" s="67"/>
      <c r="EU7" s="172"/>
      <c r="EV7" s="137"/>
      <c r="EW7" s="67"/>
      <c r="EX7" s="128"/>
      <c r="EY7" s="67"/>
      <c r="EZ7" s="174"/>
      <c r="FA7" s="136"/>
      <c r="FB7" s="136"/>
      <c r="FC7" s="136"/>
      <c r="FD7" s="137"/>
      <c r="FE7" s="67"/>
      <c r="FF7" s="122"/>
      <c r="FG7" s="136"/>
      <c r="FH7" s="136"/>
      <c r="FI7" s="136"/>
      <c r="FJ7" s="137"/>
      <c r="FK7" s="67"/>
      <c r="FL7" s="141"/>
      <c r="FM7" s="142"/>
      <c r="FN7" s="142"/>
      <c r="FO7" s="143"/>
      <c r="FP7" s="141"/>
      <c r="FQ7" s="142"/>
      <c r="FR7" s="142"/>
      <c r="FS7" s="142"/>
      <c r="FT7" s="142"/>
      <c r="FU7" s="143"/>
      <c r="FV7" s="51"/>
      <c r="FW7" s="147"/>
      <c r="FX7" s="148"/>
      <c r="FY7" s="148"/>
      <c r="FZ7" s="149"/>
      <c r="GA7" s="176"/>
      <c r="GB7" s="150"/>
      <c r="GC7" s="151"/>
      <c r="GD7" s="151"/>
      <c r="GE7" s="152"/>
      <c r="GF7" s="122"/>
      <c r="GG7" s="124"/>
      <c r="GH7" s="126"/>
      <c r="GI7" s="128"/>
      <c r="GJ7" s="130"/>
      <c r="GK7" s="1"/>
    </row>
    <row r="8" spans="1:193" ht="17" x14ac:dyDescent="0.4">
      <c r="A8" s="51"/>
      <c r="B8" s="21"/>
      <c r="C8" s="21"/>
      <c r="D8" s="51"/>
      <c r="E8" s="51"/>
      <c r="F8" s="66" t="s">
        <v>25</v>
      </c>
      <c r="G8" s="65" t="s">
        <v>26</v>
      </c>
      <c r="H8" s="65" t="s">
        <v>27</v>
      </c>
      <c r="I8" s="65" t="s">
        <v>108</v>
      </c>
      <c r="J8" s="65" t="s">
        <v>124</v>
      </c>
      <c r="K8" s="65" t="s">
        <v>125</v>
      </c>
      <c r="L8" s="65" t="s">
        <v>126</v>
      </c>
      <c r="M8" s="65" t="s">
        <v>127</v>
      </c>
      <c r="N8" s="65" t="s">
        <v>31</v>
      </c>
      <c r="O8" s="65" t="s">
        <v>32</v>
      </c>
      <c r="P8" s="65" t="s">
        <v>33</v>
      </c>
      <c r="Q8" s="65" t="s">
        <v>34</v>
      </c>
      <c r="R8" s="65" t="s">
        <v>131</v>
      </c>
      <c r="S8" s="65" t="s">
        <v>128</v>
      </c>
      <c r="T8" s="65" t="s">
        <v>129</v>
      </c>
      <c r="U8" s="65" t="s">
        <v>130</v>
      </c>
      <c r="V8" s="52"/>
      <c r="W8" s="114" t="s">
        <v>124</v>
      </c>
      <c r="X8" s="115" t="s">
        <v>125</v>
      </c>
      <c r="Y8" s="115" t="s">
        <v>126</v>
      </c>
      <c r="Z8" s="115" t="s">
        <v>127</v>
      </c>
      <c r="AA8" s="115" t="s">
        <v>31</v>
      </c>
      <c r="AB8" s="115" t="s">
        <v>32</v>
      </c>
      <c r="AC8" s="115" t="s">
        <v>33</v>
      </c>
      <c r="AD8" s="115" t="s">
        <v>34</v>
      </c>
      <c r="AE8" s="115" t="s">
        <v>131</v>
      </c>
      <c r="AF8" s="115" t="s">
        <v>128</v>
      </c>
      <c r="AG8" s="115" t="s">
        <v>129</v>
      </c>
      <c r="AH8" s="115" t="s">
        <v>130</v>
      </c>
      <c r="AI8" s="53" t="s">
        <v>38</v>
      </c>
      <c r="AJ8" s="60"/>
      <c r="AK8" s="114" t="s">
        <v>124</v>
      </c>
      <c r="AL8" s="115" t="s">
        <v>125</v>
      </c>
      <c r="AM8" s="115" t="s">
        <v>126</v>
      </c>
      <c r="AN8" s="115" t="s">
        <v>127</v>
      </c>
      <c r="AO8" s="115" t="s">
        <v>31</v>
      </c>
      <c r="AP8" s="115" t="s">
        <v>32</v>
      </c>
      <c r="AQ8" s="115" t="s">
        <v>33</v>
      </c>
      <c r="AR8" s="115" t="s">
        <v>34</v>
      </c>
      <c r="AS8" s="115" t="s">
        <v>131</v>
      </c>
      <c r="AT8" s="115" t="s">
        <v>128</v>
      </c>
      <c r="AU8" s="115" t="s">
        <v>129</v>
      </c>
      <c r="AV8" s="115" t="s">
        <v>130</v>
      </c>
      <c r="AW8" s="54" t="s">
        <v>39</v>
      </c>
      <c r="AX8" s="54" t="s">
        <v>40</v>
      </c>
      <c r="AY8" s="53" t="s">
        <v>132</v>
      </c>
      <c r="AZ8" s="60"/>
      <c r="BA8" s="114" t="s">
        <v>124</v>
      </c>
      <c r="BB8" s="115" t="s">
        <v>125</v>
      </c>
      <c r="BC8" s="115" t="s">
        <v>126</v>
      </c>
      <c r="BD8" s="115" t="s">
        <v>127</v>
      </c>
      <c r="BE8" s="115" t="s">
        <v>31</v>
      </c>
      <c r="BF8" s="54" t="s">
        <v>40</v>
      </c>
      <c r="BG8" s="54" t="s">
        <v>132</v>
      </c>
      <c r="BH8" s="115" t="s">
        <v>32</v>
      </c>
      <c r="BI8" s="115" t="s">
        <v>33</v>
      </c>
      <c r="BJ8" s="115" t="s">
        <v>34</v>
      </c>
      <c r="BK8" s="115" t="s">
        <v>131</v>
      </c>
      <c r="BL8" s="115" t="s">
        <v>128</v>
      </c>
      <c r="BM8" s="115" t="s">
        <v>129</v>
      </c>
      <c r="BN8" s="115" t="s">
        <v>130</v>
      </c>
      <c r="BO8" s="53" t="s">
        <v>41</v>
      </c>
      <c r="BP8" s="56"/>
      <c r="BQ8" s="55" t="s">
        <v>42</v>
      </c>
      <c r="BR8" s="54" t="s">
        <v>43</v>
      </c>
      <c r="BS8" s="54" t="s">
        <v>44</v>
      </c>
      <c r="BT8" s="54" t="s">
        <v>45</v>
      </c>
      <c r="BU8" s="54" t="s">
        <v>31</v>
      </c>
      <c r="BV8" s="54" t="s">
        <v>112</v>
      </c>
      <c r="BW8" s="54" t="s">
        <v>46</v>
      </c>
      <c r="BX8" s="54" t="s">
        <v>32</v>
      </c>
      <c r="BY8" s="54" t="s">
        <v>33</v>
      </c>
      <c r="BZ8" s="54" t="s">
        <v>34</v>
      </c>
      <c r="CA8" s="54" t="s">
        <v>35</v>
      </c>
      <c r="CB8" s="54" t="s">
        <v>36</v>
      </c>
      <c r="CC8" s="54" t="s">
        <v>47</v>
      </c>
      <c r="CD8" s="54" t="s">
        <v>37</v>
      </c>
      <c r="CE8" s="53" t="s">
        <v>38</v>
      </c>
      <c r="CF8" s="60"/>
      <c r="CG8" s="55" t="s">
        <v>42</v>
      </c>
      <c r="CH8" s="54" t="s">
        <v>43</v>
      </c>
      <c r="CI8" s="54" t="s">
        <v>44</v>
      </c>
      <c r="CJ8" s="54" t="s">
        <v>45</v>
      </c>
      <c r="CK8" s="54" t="s">
        <v>31</v>
      </c>
      <c r="CL8" s="54" t="s">
        <v>112</v>
      </c>
      <c r="CM8" s="54" t="s">
        <v>46</v>
      </c>
      <c r="CN8" s="54" t="s">
        <v>32</v>
      </c>
      <c r="CO8" s="54" t="s">
        <v>33</v>
      </c>
      <c r="CP8" s="54" t="s">
        <v>34</v>
      </c>
      <c r="CQ8" s="54" t="s">
        <v>35</v>
      </c>
      <c r="CR8" s="54" t="s">
        <v>36</v>
      </c>
      <c r="CS8" s="54" t="s">
        <v>47</v>
      </c>
      <c r="CT8" s="54" t="s">
        <v>37</v>
      </c>
      <c r="CU8" s="62" t="s">
        <v>41</v>
      </c>
      <c r="CV8" s="60"/>
      <c r="CW8" s="55" t="s">
        <v>29</v>
      </c>
      <c r="CX8" s="54" t="s">
        <v>30</v>
      </c>
      <c r="CY8" s="54" t="s">
        <v>48</v>
      </c>
      <c r="CZ8" s="54" t="s">
        <v>49</v>
      </c>
      <c r="DA8" s="54" t="s">
        <v>31</v>
      </c>
      <c r="DB8" s="54" t="s">
        <v>40</v>
      </c>
      <c r="DC8" s="54" t="s">
        <v>50</v>
      </c>
      <c r="DD8" s="54" t="s">
        <v>32</v>
      </c>
      <c r="DE8" s="54" t="s">
        <v>33</v>
      </c>
      <c r="DF8" s="54" t="s">
        <v>34</v>
      </c>
      <c r="DG8" s="54" t="s">
        <v>51</v>
      </c>
      <c r="DH8" s="54" t="s">
        <v>52</v>
      </c>
      <c r="DI8" s="54" t="s">
        <v>53</v>
      </c>
      <c r="DJ8" s="54" t="s">
        <v>113</v>
      </c>
      <c r="DK8" s="53" t="s">
        <v>38</v>
      </c>
      <c r="DL8" s="26"/>
      <c r="DM8" s="55" t="s">
        <v>29</v>
      </c>
      <c r="DN8" s="54" t="s">
        <v>30</v>
      </c>
      <c r="DO8" s="54" t="s">
        <v>48</v>
      </c>
      <c r="DP8" s="54" t="s">
        <v>49</v>
      </c>
      <c r="DQ8" s="54" t="s">
        <v>31</v>
      </c>
      <c r="DR8" s="54" t="s">
        <v>40</v>
      </c>
      <c r="DS8" s="54" t="s">
        <v>50</v>
      </c>
      <c r="DT8" s="54" t="s">
        <v>32</v>
      </c>
      <c r="DU8" s="54" t="s">
        <v>33</v>
      </c>
      <c r="DV8" s="54" t="s">
        <v>34</v>
      </c>
      <c r="DW8" s="54" t="s">
        <v>51</v>
      </c>
      <c r="DX8" s="54" t="s">
        <v>52</v>
      </c>
      <c r="DY8" s="54" t="s">
        <v>53</v>
      </c>
      <c r="DZ8" s="54" t="s">
        <v>113</v>
      </c>
      <c r="EA8" s="53" t="s">
        <v>38</v>
      </c>
      <c r="EB8" s="60"/>
      <c r="EC8" s="55" t="s">
        <v>54</v>
      </c>
      <c r="ED8" s="53" t="s">
        <v>55</v>
      </c>
      <c r="EE8" s="64"/>
      <c r="EF8" s="183" t="s">
        <v>56</v>
      </c>
      <c r="EG8" s="63" t="s">
        <v>28</v>
      </c>
      <c r="EH8" s="63" t="s">
        <v>57</v>
      </c>
      <c r="EI8" s="62" t="s">
        <v>58</v>
      </c>
      <c r="EJ8" s="56"/>
      <c r="EK8" s="106" t="s">
        <v>59</v>
      </c>
      <c r="EL8" s="107" t="s">
        <v>60</v>
      </c>
      <c r="EM8" s="107" t="s">
        <v>61</v>
      </c>
      <c r="EN8" s="108" t="s">
        <v>62</v>
      </c>
      <c r="EO8" s="108" t="s">
        <v>63</v>
      </c>
      <c r="EP8" s="108" t="s">
        <v>64</v>
      </c>
      <c r="EQ8" s="108" t="s">
        <v>65</v>
      </c>
      <c r="ER8" s="107" t="s">
        <v>133</v>
      </c>
      <c r="ES8" s="109" t="s">
        <v>56</v>
      </c>
      <c r="ET8" s="60"/>
      <c r="EU8" s="59" t="s">
        <v>66</v>
      </c>
      <c r="EV8" s="57" t="s">
        <v>67</v>
      </c>
      <c r="EW8" s="60"/>
      <c r="EX8" s="61" t="s">
        <v>67</v>
      </c>
      <c r="EY8" s="60"/>
      <c r="EZ8" s="59" t="s">
        <v>68</v>
      </c>
      <c r="FA8" s="58" t="s">
        <v>69</v>
      </c>
      <c r="FB8" s="58" t="s">
        <v>70</v>
      </c>
      <c r="FC8" s="58" t="s">
        <v>71</v>
      </c>
      <c r="FD8" s="57" t="s">
        <v>67</v>
      </c>
      <c r="FE8" s="56"/>
      <c r="FF8" s="59" t="s">
        <v>72</v>
      </c>
      <c r="FG8" s="58" t="s">
        <v>73</v>
      </c>
      <c r="FH8" s="58" t="s">
        <v>74</v>
      </c>
      <c r="FI8" s="58" t="s">
        <v>67</v>
      </c>
      <c r="FJ8" s="57" t="s">
        <v>75</v>
      </c>
      <c r="FK8" s="64"/>
      <c r="FL8" s="55" t="s">
        <v>76</v>
      </c>
      <c r="FM8" s="54" t="s">
        <v>77</v>
      </c>
      <c r="FN8" s="54" t="s">
        <v>66</v>
      </c>
      <c r="FO8" s="54" t="s">
        <v>67</v>
      </c>
      <c r="FP8" s="54" t="s">
        <v>115</v>
      </c>
      <c r="FQ8" s="54" t="s">
        <v>116</v>
      </c>
      <c r="FR8" s="54" t="s">
        <v>119</v>
      </c>
      <c r="FS8" s="54" t="s">
        <v>120</v>
      </c>
      <c r="FT8" s="54" t="s">
        <v>117</v>
      </c>
      <c r="FU8" s="53" t="s">
        <v>118</v>
      </c>
      <c r="FV8" s="52"/>
      <c r="FW8" s="117" t="s">
        <v>108</v>
      </c>
      <c r="FX8" s="118" t="s">
        <v>109</v>
      </c>
      <c r="FY8" s="118" t="s">
        <v>110</v>
      </c>
      <c r="FZ8" s="118" t="s">
        <v>78</v>
      </c>
      <c r="GA8" s="119" t="s">
        <v>79</v>
      </c>
      <c r="GB8" s="119" t="s">
        <v>80</v>
      </c>
      <c r="GC8" s="119" t="s">
        <v>81</v>
      </c>
      <c r="GD8" s="119" t="s">
        <v>123</v>
      </c>
      <c r="GE8" s="120" t="s">
        <v>122</v>
      </c>
      <c r="GF8" s="119" t="s">
        <v>67</v>
      </c>
      <c r="GG8" s="119" t="s">
        <v>114</v>
      </c>
      <c r="GH8" s="119" t="s">
        <v>67</v>
      </c>
      <c r="GI8" s="119" t="s">
        <v>67</v>
      </c>
      <c r="GJ8" s="119" t="s">
        <v>67</v>
      </c>
      <c r="GK8" s="1"/>
    </row>
    <row r="9" spans="1:193" x14ac:dyDescent="0.4">
      <c r="A9" s="34"/>
      <c r="B9" s="21"/>
      <c r="C9" s="21"/>
      <c r="D9" s="34"/>
      <c r="E9" s="34"/>
      <c r="F9" s="20" t="s">
        <v>82</v>
      </c>
      <c r="G9" s="19">
        <v>1050</v>
      </c>
      <c r="H9" s="18">
        <v>1E-4</v>
      </c>
      <c r="I9" s="17">
        <v>-1</v>
      </c>
      <c r="J9" s="16">
        <v>49.6</v>
      </c>
      <c r="K9" s="16">
        <v>0.92</v>
      </c>
      <c r="L9" s="16">
        <v>14.6</v>
      </c>
      <c r="M9" s="16">
        <v>0</v>
      </c>
      <c r="N9" s="16">
        <v>9</v>
      </c>
      <c r="O9" s="16">
        <v>0</v>
      </c>
      <c r="P9" s="16">
        <v>8.6999999999999993</v>
      </c>
      <c r="Q9" s="16">
        <v>12.4</v>
      </c>
      <c r="R9" s="16">
        <v>2.2999999999999998</v>
      </c>
      <c r="S9" s="16">
        <v>0.21</v>
      </c>
      <c r="T9" s="16">
        <v>0</v>
      </c>
      <c r="U9" s="15">
        <v>0</v>
      </c>
      <c r="V9" s="16"/>
      <c r="W9" s="28">
        <f>IF(J9="","",J9/SUM($J9:$U9)*100)</f>
        <v>50.752072035199014</v>
      </c>
      <c r="X9" s="24">
        <f t="shared" ref="X9:AH24" si="0">IF(K9="","",K9/SUM($J9:$U9)*100)</f>
        <v>0.94136907807223991</v>
      </c>
      <c r="Y9" s="24">
        <f t="shared" si="0"/>
        <v>14.939117978102937</v>
      </c>
      <c r="Z9" s="24">
        <f t="shared" si="0"/>
        <v>0</v>
      </c>
      <c r="AA9" s="24">
        <f t="shared" si="0"/>
        <v>9.209045328967564</v>
      </c>
      <c r="AB9" s="24">
        <f t="shared" si="0"/>
        <v>0</v>
      </c>
      <c r="AC9" s="24">
        <f t="shared" si="0"/>
        <v>8.9020771513353107</v>
      </c>
      <c r="AD9" s="24">
        <f t="shared" si="0"/>
        <v>12.688018008799753</v>
      </c>
      <c r="AE9" s="24">
        <f t="shared" si="0"/>
        <v>2.3534226951805994</v>
      </c>
      <c r="AF9" s="24">
        <f t="shared" si="0"/>
        <v>0.21487772434257646</v>
      </c>
      <c r="AG9" s="24">
        <f t="shared" si="0"/>
        <v>0</v>
      </c>
      <c r="AH9" s="24">
        <f>IF(U9="","",U9/SUM($J9:$U9)*100)</f>
        <v>0</v>
      </c>
      <c r="AI9" s="14">
        <f>SUM(W9:AH9)</f>
        <v>99.999999999999986</v>
      </c>
      <c r="AJ9" s="26"/>
      <c r="AK9" s="50">
        <f>IF(W9="","",W9/60.09)</f>
        <v>0.84460096580460997</v>
      </c>
      <c r="AL9" s="47">
        <f>IF(X9="","",X9/79.9)</f>
        <v>1.1781840776874091E-2</v>
      </c>
      <c r="AM9" s="47">
        <f t="shared" ref="AM9:AM72" si="1">IF(Y9="","",Y9/101.96)</f>
        <v>0.14651939954985227</v>
      </c>
      <c r="AN9" s="49">
        <f>IF(Z9="","",Z9/151.9922)</f>
        <v>0</v>
      </c>
      <c r="AO9" s="49">
        <f>IF(AA9="","",AA9/71.85)</f>
        <v>0.12817042907400925</v>
      </c>
      <c r="AP9" s="47">
        <f t="shared" ref="AP9:AP72" si="2">IF(AB9="","",AB9/71)</f>
        <v>0</v>
      </c>
      <c r="AQ9" s="47">
        <f>IF(AC9="","",AC9/40.32)</f>
        <v>0.2207856436343083</v>
      </c>
      <c r="AR9" s="47">
        <f>IF(AD9="","",AD9/56.08)</f>
        <v>0.22624853796005268</v>
      </c>
      <c r="AS9" s="47">
        <f>IF(AE9="","",AE9/61.98)</f>
        <v>3.7970679173614061E-2</v>
      </c>
      <c r="AT9" s="47">
        <f>IF(AF9="","",AF9/94.2)</f>
        <v>2.2810798762481575E-3</v>
      </c>
      <c r="AU9" s="47">
        <f>IF(AG9="","",AG9/70.97)</f>
        <v>0</v>
      </c>
      <c r="AV9" s="47">
        <f t="shared" ref="AV9:AV72" si="3">IF(AH9="","",AH9/18.02)</f>
        <v>0</v>
      </c>
      <c r="AW9" s="47">
        <f>IF(SUM(AK9:AU9)=0,"",SUM(AK9:AU9))</f>
        <v>1.6183585758495689</v>
      </c>
      <c r="AX9" s="47">
        <f t="shared" ref="AX9:AX72" si="4">IF(OR(AA9="",I9=""),"",$AA9*(1-$EP9)/71.85)</f>
        <v>0.11315367065873948</v>
      </c>
      <c r="AY9" s="46">
        <f t="shared" ref="AY9:AY72" si="5">IF(OR(AA9="",I9=""),"",($AA9*$EP9)*1.111/159.6)</f>
        <v>7.5107643882478406E-3</v>
      </c>
      <c r="AZ9" s="26"/>
      <c r="BA9" s="187">
        <f>IF(OR(AW9="",$AK9=""),"",AK9/$AW9)</f>
        <v>0.52188741012555306</v>
      </c>
      <c r="BB9" s="177">
        <f t="shared" ref="BB9:BB72" si="6">IF(OR(AW9="",$AL9=""),"",AL9/$AW9)</f>
        <v>7.2801176158930848E-3</v>
      </c>
      <c r="BC9" s="177">
        <f t="shared" ref="BC9:BC72" si="7">IF(OR(AW9="",$AM9=""),"",AM9/$AW9)</f>
        <v>9.0535806919635142E-2</v>
      </c>
      <c r="BD9" s="177">
        <f t="shared" ref="BD9:BD72" si="8">IF(OR(AW9="",$AN9=""),"",AN9/$AW9)</f>
        <v>0</v>
      </c>
      <c r="BE9" s="177">
        <f t="shared" ref="BE9:BE72" si="9">IF(OR(AW9="",$AO9=""),"",AO9/$AW9)</f>
        <v>7.9197793978831463E-2</v>
      </c>
      <c r="BF9" s="177">
        <f t="shared" ref="BF9:BF72" si="10">IF(OR(AW9="",$AX9=""),"",AX9/$AW9)</f>
        <v>6.9918788300261978E-2</v>
      </c>
      <c r="BG9" s="177">
        <f t="shared" ref="BG9:BG72" si="11">IF(OR(AW9="",$AY9=""),"",AY9/$AW9)</f>
        <v>4.6409766663145164E-3</v>
      </c>
      <c r="BH9" s="177">
        <f t="shared" ref="BH9:BH72" si="12">IF(OR(AW9="",$AP9=""),"",AP9/$AW9)</f>
        <v>0</v>
      </c>
      <c r="BI9" s="177">
        <f t="shared" ref="BI9:BI72" si="13">IF(OR(AW9="",$AQ9=""),"",AQ9/$AW9)</f>
        <v>0.13642566420634272</v>
      </c>
      <c r="BJ9" s="177">
        <f t="shared" ref="BJ9:BJ72" si="14">IF(OR(AW9="",$AR9=""),"",AR9/$AW9)</f>
        <v>0.13980124141603284</v>
      </c>
      <c r="BK9" s="177">
        <f t="shared" ref="BK9:BK72" si="15">IF(OR(AW9="",$AS9=""),"",AS9/$AW9)</f>
        <v>2.3462463597525709E-2</v>
      </c>
      <c r="BL9" s="177">
        <f t="shared" ref="BL9:BL72" si="16">IF(OR(AW9="",$AT9=""),"",AT9/$AW9)</f>
        <v>1.4095021401858907E-3</v>
      </c>
      <c r="BM9" s="177">
        <f t="shared" ref="BM9:BM72" si="17">IF(OR(AW9="",$AU9=""),"",AU9/$AW9)</f>
        <v>0</v>
      </c>
      <c r="BN9" s="177">
        <f t="shared" ref="BN9:BN72" si="18">IF(OR(AV9="",AW9=""),"",AV9/AW9)</f>
        <v>0</v>
      </c>
      <c r="BO9" s="188">
        <f>IF(SUM(BA9:BE9,BH9:BM9)=0,"",SUM(BA9:BE9,BH9:BM9))</f>
        <v>0.99999999999999989</v>
      </c>
      <c r="BP9" s="13"/>
      <c r="BQ9" s="45">
        <f>IF(W9="","",W9/(60.09/2))</f>
        <v>1.6892019316092199</v>
      </c>
      <c r="BR9" s="44">
        <f t="shared" ref="BR9:BR72" si="19">IF(X9="","",X9/(79.9/2))</f>
        <v>2.3563681553748182E-2</v>
      </c>
      <c r="BS9" s="44">
        <f t="shared" ref="BS9:BS72" si="20">IF(Y9="","",Y9/(102/3))</f>
        <v>0.43938582288538047</v>
      </c>
      <c r="BT9" s="44">
        <f t="shared" ref="BT9:BT72" si="21">IF(Z9="","",Z9/(151.9922/3))</f>
        <v>0</v>
      </c>
      <c r="BU9" s="44">
        <f t="shared" ref="BU9:BU72" si="22">IF(AA9="","",AA9/(71.85))</f>
        <v>0.12817042907400925</v>
      </c>
      <c r="BV9" s="13">
        <f>IF($AA9="","",$AA9*(1-$EP9)/71.85)</f>
        <v>0.11315367065873948</v>
      </c>
      <c r="BW9" s="24">
        <f>IF(AA9="","",$AA9*$EP9*1.111/(159.6/3))</f>
        <v>2.2532293164743523E-2</v>
      </c>
      <c r="BX9" s="44">
        <f t="shared" ref="BX9:BX72" si="23">IF(AB9="","",AB9/71)</f>
        <v>0</v>
      </c>
      <c r="BY9" s="44">
        <f t="shared" ref="BY9:BY72" si="24">IF(AC9="","",AC9/40.3)</f>
        <v>0.22089521467333278</v>
      </c>
      <c r="BZ9" s="44">
        <f t="shared" ref="BZ9:BZ72" si="25">IF(AD9="","",AD9/56.1)</f>
        <v>0.22616787894473714</v>
      </c>
      <c r="CA9" s="44">
        <f t="shared" ref="CA9:CA72" si="26">IF(AE9="","",AE9/62)</f>
        <v>3.7958430567429022E-2</v>
      </c>
      <c r="CB9" s="44">
        <f t="shared" ref="CB9:CB72" si="27">IF(AF9="","",AF9/94.2)</f>
        <v>2.2810798762481575E-3</v>
      </c>
      <c r="CC9" s="44">
        <f t="shared" ref="CC9:CC72" si="28">IF(AG9="","",AG9/(70.97/5))</f>
        <v>0</v>
      </c>
      <c r="CD9" s="44">
        <f>IF(AH9="","",AH9/(18.02))</f>
        <v>0</v>
      </c>
      <c r="CE9" s="12">
        <f>IF(SUM(BQ9:BU9,BX9:CD9)=0,"",SUM(BQ9:BU9,BX9:CD9))</f>
        <v>2.767624469184105</v>
      </c>
      <c r="CF9" s="13"/>
      <c r="CG9" s="178">
        <f>IF(OR($CE9="",BQ9=""),"",BQ9/$CE9)</f>
        <v>0.61034361793570802</v>
      </c>
      <c r="CH9" s="179">
        <f t="shared" ref="CG9:CT27" si="29">IF(OR($CE9="",BR9=""),"",BR9/$CE9)</f>
        <v>8.5140458238161017E-3</v>
      </c>
      <c r="CI9" s="179">
        <f t="shared" si="29"/>
        <v>0.15875919142126652</v>
      </c>
      <c r="CJ9" s="179">
        <f t="shared" si="29"/>
        <v>0</v>
      </c>
      <c r="CK9" s="179">
        <f t="shared" si="29"/>
        <v>4.6310628664080956E-2</v>
      </c>
      <c r="CL9" s="179">
        <f>IF(OR($CE9="",BV9=""),"",BV9/$CE9)</f>
        <v>4.0884763058948219E-2</v>
      </c>
      <c r="CM9" s="179">
        <f t="shared" si="29"/>
        <v>8.1413838530579388E-3</v>
      </c>
      <c r="CN9" s="179">
        <f t="shared" si="29"/>
        <v>0</v>
      </c>
      <c r="CO9" s="179">
        <f t="shared" si="29"/>
        <v>7.9814012750961352E-2</v>
      </c>
      <c r="CP9" s="179">
        <f t="shared" si="29"/>
        <v>8.1719135476284968E-2</v>
      </c>
      <c r="CQ9" s="179">
        <f t="shared" si="29"/>
        <v>1.3715166558929563E-2</v>
      </c>
      <c r="CR9" s="179">
        <f t="shared" si="29"/>
        <v>8.2420136895256576E-4</v>
      </c>
      <c r="CS9" s="179">
        <f t="shared" si="29"/>
        <v>0</v>
      </c>
      <c r="CT9" s="179">
        <f>IF(OR($CE9="",CD9=""),"",CD9/$CE9)</f>
        <v>0</v>
      </c>
      <c r="CU9" s="180">
        <f t="shared" ref="CU9:CU72" si="30">IF(SUM(CG9:CK9,CN9:CT9)=0,"",SUM(CG9:CK9,CN9:CT9))</f>
        <v>1</v>
      </c>
      <c r="CV9" s="13"/>
      <c r="CW9" s="45">
        <f t="shared" ref="CW9:CW72" si="31">IF(W9="","",W9/60.09)</f>
        <v>0.84460096580460997</v>
      </c>
      <c r="CX9" s="44">
        <f t="shared" ref="CX9:CX72" si="32">IF(X9="","",X9/79.9)</f>
        <v>1.1781840776874091E-2</v>
      </c>
      <c r="CY9" s="44">
        <f t="shared" ref="CY9:CY72" si="33">IF(Y9="","",Y9/(102/2))</f>
        <v>0.29292388192358698</v>
      </c>
      <c r="CZ9" s="44">
        <f t="shared" ref="CZ9:CZ72" si="34">IF(Z9="","",Z9/(151.9922/2))</f>
        <v>0</v>
      </c>
      <c r="DA9" s="44">
        <f t="shared" ref="DA9:DA72" si="35">IF(Q9="","",Q9/71.8)</f>
        <v>0.17270194986072424</v>
      </c>
      <c r="DB9" s="44">
        <f t="shared" ref="DB9:DB72" si="36">IF($AA9="","",$AA9*(1-$EP9)/71.85)</f>
        <v>0.11315367065873948</v>
      </c>
      <c r="DC9" s="47">
        <f t="shared" ref="DC9:DC72" si="37">IF($AA9="","",$AA9*$EP9*1.111/(159.6/2))</f>
        <v>1.5021528776495681E-2</v>
      </c>
      <c r="DD9" s="44">
        <f t="shared" ref="DD9:DD72" si="38">IF(AB9="","",AB9/71)</f>
        <v>0</v>
      </c>
      <c r="DE9" s="44">
        <f t="shared" ref="DE9:DE72" si="39">IF(AC9="","",AC9/40.3)</f>
        <v>0.22089521467333278</v>
      </c>
      <c r="DF9" s="44">
        <f t="shared" ref="DF9:DF72" si="40">IF(AD9="","",AD9/56.1)</f>
        <v>0.22616787894473714</v>
      </c>
      <c r="DG9" s="44">
        <f t="shared" ref="DG9:DG72" si="41">IF(AE9="","",AE9/(62/2))</f>
        <v>7.5916861134858044E-2</v>
      </c>
      <c r="DH9" s="44">
        <f t="shared" ref="DH9:DH72" si="42">IF(AF9="","",AF9/(94.2/2))</f>
        <v>4.5621597524963149E-3</v>
      </c>
      <c r="DI9" s="44">
        <f t="shared" ref="DI9:DI72" si="43">IF(AG9="","",AG9/(70.97/2))</f>
        <v>0</v>
      </c>
      <c r="DJ9" s="44">
        <f>IF(AH9="","",AH9/(18.02/2))</f>
        <v>0</v>
      </c>
      <c r="DK9" s="43">
        <f>IF(SUM(CW9:DA9,DD9:DJ9)=0,"",SUM(CW9:DA9,DD9:DJ9))</f>
        <v>1.8495507528712194</v>
      </c>
      <c r="DL9" s="26"/>
      <c r="DM9" s="45">
        <f>IF(OR($DK9="",CW9=""),"",CW9/$DK9)</f>
        <v>0.45665195426157518</v>
      </c>
      <c r="DN9" s="44">
        <f t="shared" ref="DN9:DZ24" si="44">IF(OR($DK9="",CX9=""),"",CX9/$DK9)</f>
        <v>6.3701094758195249E-3</v>
      </c>
      <c r="DO9" s="44">
        <f t="shared" si="44"/>
        <v>0.15837569283722311</v>
      </c>
      <c r="DP9" s="44">
        <f t="shared" si="44"/>
        <v>0</v>
      </c>
      <c r="DQ9" s="44">
        <f t="shared" si="44"/>
        <v>9.3375080187782844E-2</v>
      </c>
      <c r="DR9" s="44">
        <f t="shared" si="44"/>
        <v>6.1179002783827985E-2</v>
      </c>
      <c r="DS9" s="44">
        <f t="shared" si="44"/>
        <v>8.1217175323123458E-3</v>
      </c>
      <c r="DT9" s="44">
        <f t="shared" si="44"/>
        <v>0</v>
      </c>
      <c r="DU9" s="44">
        <f t="shared" si="44"/>
        <v>0.11943182112219296</v>
      </c>
      <c r="DV9" s="44">
        <f t="shared" si="44"/>
        <v>0.12228260219063303</v>
      </c>
      <c r="DW9" s="44">
        <f t="shared" si="44"/>
        <v>4.1046108638546769E-2</v>
      </c>
      <c r="DX9" s="44">
        <f t="shared" si="44"/>
        <v>2.4666312862267094E-3</v>
      </c>
      <c r="DY9" s="44">
        <f t="shared" si="44"/>
        <v>0</v>
      </c>
      <c r="DZ9" s="44">
        <f t="shared" si="44"/>
        <v>0</v>
      </c>
      <c r="EA9" s="43">
        <f t="shared" ref="EA9:EA72" si="45">IF($DK9="","",DK9/$DK9)</f>
        <v>1</v>
      </c>
      <c r="EB9" s="26"/>
      <c r="EC9" s="30">
        <f t="shared" ref="EC9:EC72" si="46">IF(G9="","",G9+273)</f>
        <v>1323</v>
      </c>
      <c r="ED9" s="14">
        <f>IF(H9="","",H9*1000000000)</f>
        <v>100000</v>
      </c>
      <c r="EE9" s="29"/>
      <c r="EF9" s="184">
        <f>IF(I9="","",-25096.3/(G9+273)+8.735+0.11*(H9*10000-1)/(273+G9)+I9)</f>
        <v>-11.234236583522296</v>
      </c>
      <c r="EG9" s="13">
        <f>IF(I9="","",I9)</f>
        <v>-1</v>
      </c>
      <c r="EH9" s="13">
        <f>IF(EF9="","",24930/($EC9)-9.36-0.046*($ED9/100000)/($EC9)+$EF9)</f>
        <v>-1.7507339380196498</v>
      </c>
      <c r="EI9" s="12">
        <f t="shared" ref="EI9:EI72" si="47">IF(EF9="","",27489/($EC9)-6.702-0.055*($ED9/100000)/($EC9)+$EF9)</f>
        <v>2.8414996220710531</v>
      </c>
      <c r="EJ9" s="29"/>
      <c r="EK9" s="28">
        <f>IF(OR(EF9="",AW9=""),"",0.196*LN(10^$EF9)+11492/$EC9-6.675+($BC9*-2.243+$BE9*-1.828+$BJ9*3.201+$BK9*5.854+$BL9*6.215)-3.36*(1-1673.15/$EC9-LN($EC9/1673.15))-0.000000701*($ED9/$EC9)-0.000000000154*(($EC9-1673.15)*$ED9/$EC9)+0.0000000000000000385*($ED9^2/$EC9))</f>
        <v>-2.7127271876037007</v>
      </c>
      <c r="EL9" s="24">
        <f>IF(EK9="","",EK9/2.303)</f>
        <v>-1.1779101986989582</v>
      </c>
      <c r="EM9" s="24">
        <f>IF(EK9="","",EXP(EK9))</f>
        <v>6.6355595571260209E-2</v>
      </c>
      <c r="EN9" s="24">
        <f>IF(OR(AA9=0,EM9=""),"",BE9/(1+2*EM9))</f>
        <v>6.9918788300261964E-2</v>
      </c>
      <c r="EO9" s="24">
        <f>IF(OR(AA9=0,EM9=""),"",EM9*EN9)</f>
        <v>4.6395028392847426E-3</v>
      </c>
      <c r="EP9" s="24">
        <f>IF(EN9="","",EO9*2/(EO9*2+EN9))</f>
        <v>0.11716242602729117</v>
      </c>
      <c r="EQ9" s="24">
        <f>IF(AA9="","",LN(AY9/AX9))</f>
        <v>-2.7124095688769372</v>
      </c>
      <c r="ER9" s="24">
        <f t="shared" ref="ER9:ER72" si="48">IF(EQ9="","",(11492/$EC9-6.675+($BC9*-2.243+$BE9*-1.828+$BJ9*3.201+$BK9*5.854+$BL9*6.215)-3.36*(1-1673/$EC9-LN($EC9/1673))-0.000000701*($ED9/$EC9)-0.000000000154*(($EC9-1673)*$ED9/$EC9)+0.0000000000000000385*($ED9^2/$EC9)-$EQ9)/-0.196)</f>
        <v>-25.865758488754249</v>
      </c>
      <c r="ES9" s="25">
        <f t="shared" ref="ES9:ES72" si="49">IF(ER9="","",ER9/2.303)</f>
        <v>-11.231332387648393</v>
      </c>
      <c r="ET9" s="26"/>
      <c r="EU9" s="45">
        <f>IF(EP9="","",8*LOG(BG9/BF9)+8743600/(EC9)^2-27703/(EC9)+20.273)</f>
        <v>-5.095003714258187</v>
      </c>
      <c r="EV9" s="43">
        <f t="shared" ref="EV9:EV72" si="50">IF(EU9="","",1-1/(1+10^EU9))</f>
        <v>8.0351279375667772E-6</v>
      </c>
      <c r="EW9" s="26"/>
      <c r="EX9" s="48">
        <f>IF(EG9="","",1/(1+10^(2.1-2*EG9)))</f>
        <v>7.9426514400130776E-5</v>
      </c>
      <c r="EY9" s="26"/>
      <c r="EZ9" s="45">
        <f t="shared" ref="EZ9:EZ40" si="51">IF(EA9="","",-23590/(EC9)+8.77+(1673/(EC9))*(6.7*(DW9+DX9)+1.8*DO9+4.9*DU9+8.1*DV9+5*DN9+8.9*(DQ9+DT9)-22.2*(DQ9+DT9)*DN9+7.2*(DQ9+DT9)*DM9)-2.06*ERF(-7.2*DQ9+DT9))</f>
        <v>-3.5202195889606056</v>
      </c>
      <c r="FA9" s="44">
        <f t="shared" ref="FA9:FA72" si="52">IF($EA9="","",-8.02+(21100+44000*$DW9+18700*$DU9+4300*$DO9+44200*$DX9+35600*$DV9+12600*$DT9+16500*$DR9)/($EC9))</f>
        <v>15.632425246449014</v>
      </c>
      <c r="FB9" s="44">
        <f t="shared" ref="FB9:FB40" si="53">IF(G9="","",-55921/(EC9)+25.07-0.6465*LN(EC9))</f>
        <v>-21.845149910644157</v>
      </c>
      <c r="FC9" s="13">
        <f t="shared" ref="FC9:FC40" si="54">IF(EZ9="","",(FA9-FB9-EZ9)+2*LN(10)*EF9)</f>
        <v>-10.737776630719821</v>
      </c>
      <c r="FD9" s="43">
        <f t="shared" ref="FD9:FD72" si="55">IF(FC9="","",1-1/(1+EXP(FC9)))</f>
        <v>2.1708680819854109E-5</v>
      </c>
      <c r="FE9" s="13"/>
      <c r="FF9" s="45">
        <f t="shared" ref="FF9:FF40" si="56">IF(CU9="","",0.225+(25237*CL9+5214*CP9+12705*CN9+19829*CR9-1109*CG9-8879)/(EC9))</f>
        <v>-5.883568137304394</v>
      </c>
      <c r="FG9" s="44">
        <f t="shared" ref="FG9:FG40" si="57">IF(CU9="","",-12.948+(28649*CQ9+15602*CP9+9496*CO9+16016*CN9+4194*CI9+29244)/(EC9))</f>
        <v>11.493162261792662</v>
      </c>
      <c r="FH9" s="44">
        <f t="shared" ref="FH9:FH40" si="58">IF(CU9="","",-213.65+(25696*CQ9+15076*CP9+9543*CO9+16158*CN9+4316*CI9+68254)/(EC9)+55.03*LOG(EC9))</f>
        <v>12.010989548537111</v>
      </c>
      <c r="FI9" s="47">
        <f>IF(FF9="","",1-1/(1+10^(FG9-$FF9+2*$EF9)))</f>
        <v>8.0956871351123283E-6</v>
      </c>
      <c r="FJ9" s="46">
        <f t="shared" ref="FJ9:FJ40" si="59">IF(FH9="","",1-1/(1+10^(FH9-$FF9+2*$EF9)))</f>
        <v>2.667306569847927E-5</v>
      </c>
      <c r="FK9" s="13"/>
      <c r="FL9" s="23">
        <f>IF($CU9="","",195.99657+(-7632.6971*$CG9-10669.7107*$CH9-6900.9065*$CI9-4625.0612*$CK9+19113.53*$CN9+11739.931*$CP9+33266.912*$CQ9-4094.9829)/$EC9-57.2083*LOG($EC9))</f>
        <v>10.812353426545826</v>
      </c>
      <c r="FM9" s="13">
        <f>IF($CU9="","",0.646657+(-3368.52*$CG9-1233.439*$CI9+1295.54*$CP9+44885.3*$CR9+10914.48*($CG9*$CL9)-225569.4*($CL9*$CQ9)-871863.8*($CL9*$CR9)+54392.37*($CL9*$CI9)-7584.703)/($EC9)+3.86057*ERF($CL9))</f>
        <v>-6.1474259860952936</v>
      </c>
      <c r="FN9" s="13">
        <f>IF($FL9="","",$FL9-$FM9+2*$EF9)</f>
        <v>-5.508693754403474</v>
      </c>
      <c r="FO9" s="13">
        <f t="shared" ref="FO9:FO72" si="60">IF($FN9="","",1-1/(1+10^FN9))</f>
        <v>3.0995946275202968E-6</v>
      </c>
      <c r="FP9" s="23">
        <f>IF($FL9="","",$FL9-$FM9+2*($EF9-(0.0546*($H9*10000)/($G9+273))))</f>
        <v>-5.5087762940860152</v>
      </c>
      <c r="FQ9" s="13">
        <f>IF($FP9="","",1-1/(1+10^FP9))</f>
        <v>3.0990055928103999E-6</v>
      </c>
      <c r="FR9" s="13">
        <f>IF($FL9="","",$FL9-$FM9+2*($EF9-(0.0332*($H9*10000)/($G9+273))))</f>
        <v>-5.5087439433679499</v>
      </c>
      <c r="FS9" s="13">
        <f>IF($FT9="","",1-1/(1+10^FR9))</f>
        <v>3.0992364464799138E-6</v>
      </c>
      <c r="FT9" s="13">
        <f>IF($FL9="","",$FL9-$FM9+2*($EF9-(0.0601*($H9*10000)/($G9+273))))</f>
        <v>-5.5087846085228982</v>
      </c>
      <c r="FU9" s="12">
        <f>IF($FT9="","",1-1/(1+10^FT9))</f>
        <v>3.0989462641572985E-6</v>
      </c>
      <c r="FV9" s="22"/>
      <c r="FW9" s="42">
        <f t="shared" ref="FW9:FW40" si="61">EG9</f>
        <v>-1</v>
      </c>
      <c r="FX9" s="41">
        <f t="shared" ref="FX9:FX40" si="62">EH9</f>
        <v>-1.7507339380196498</v>
      </c>
      <c r="FY9" s="41">
        <f t="shared" ref="FY9:FY40" si="63">EI9</f>
        <v>2.8414996220710531</v>
      </c>
      <c r="FZ9" s="36">
        <f t="shared" ref="FZ9:FZ40" si="64">EF9</f>
        <v>-11.234236583522296</v>
      </c>
      <c r="GA9" s="10">
        <f t="shared" ref="GA9:GA40" si="65">EP9</f>
        <v>0.11716242602729117</v>
      </c>
      <c r="GB9" s="40">
        <f>FL9</f>
        <v>10.812353426545826</v>
      </c>
      <c r="GC9" s="39">
        <f>FM9</f>
        <v>-6.1474259860952936</v>
      </c>
      <c r="GD9" s="39">
        <f>$FO9</f>
        <v>3.0995946275202968E-6</v>
      </c>
      <c r="GE9" s="38">
        <f>$FQ9</f>
        <v>3.0990055928103999E-6</v>
      </c>
      <c r="GF9" s="37">
        <f t="shared" ref="GF9:GF40" si="66">FI9</f>
        <v>8.0956871351123283E-6</v>
      </c>
      <c r="GG9" s="36">
        <f t="shared" ref="GG9:GG40" si="67">FJ9</f>
        <v>2.667306569847927E-5</v>
      </c>
      <c r="GH9" s="35">
        <f t="shared" ref="GH9:GH40" si="68">FD9</f>
        <v>2.1708680819854109E-5</v>
      </c>
      <c r="GI9" s="35">
        <f t="shared" ref="GI9:GI40" si="69">EX9</f>
        <v>7.9426514400130776E-5</v>
      </c>
      <c r="GJ9" s="35">
        <f t="shared" ref="GJ9:GJ40" si="70">EV9</f>
        <v>8.0351279375667772E-6</v>
      </c>
      <c r="GK9" s="1"/>
    </row>
    <row r="10" spans="1:193" x14ac:dyDescent="0.4">
      <c r="A10" s="34"/>
      <c r="B10" s="21"/>
      <c r="C10" s="21"/>
      <c r="D10" s="34"/>
      <c r="E10" s="34"/>
      <c r="F10" s="20" t="s">
        <v>82</v>
      </c>
      <c r="G10" s="19">
        <v>1050</v>
      </c>
      <c r="H10" s="18">
        <v>1E-4</v>
      </c>
      <c r="I10" s="17">
        <v>-0.6</v>
      </c>
      <c r="J10" s="16">
        <v>49.6</v>
      </c>
      <c r="K10" s="16">
        <v>0.92</v>
      </c>
      <c r="L10" s="16">
        <v>14.6</v>
      </c>
      <c r="M10" s="16">
        <v>0</v>
      </c>
      <c r="N10" s="16">
        <v>9</v>
      </c>
      <c r="O10" s="16">
        <v>0</v>
      </c>
      <c r="P10" s="16">
        <v>8.6999999999999993</v>
      </c>
      <c r="Q10" s="16">
        <v>12.4</v>
      </c>
      <c r="R10" s="16">
        <v>2.2999999999999998</v>
      </c>
      <c r="S10" s="16">
        <v>0.21</v>
      </c>
      <c r="T10" s="16">
        <v>0</v>
      </c>
      <c r="U10" s="15">
        <v>0</v>
      </c>
      <c r="V10" s="16"/>
      <c r="W10" s="28">
        <f t="shared" ref="W10:W73" si="71">IF(J10="","",J10/SUM($J10:$U10)*100)</f>
        <v>50.752072035199014</v>
      </c>
      <c r="X10" s="24">
        <f t="shared" si="0"/>
        <v>0.94136907807223991</v>
      </c>
      <c r="Y10" s="24">
        <f t="shared" si="0"/>
        <v>14.939117978102937</v>
      </c>
      <c r="Z10" s="24">
        <f t="shared" si="0"/>
        <v>0</v>
      </c>
      <c r="AA10" s="24">
        <f t="shared" si="0"/>
        <v>9.209045328967564</v>
      </c>
      <c r="AB10" s="24">
        <f t="shared" si="0"/>
        <v>0</v>
      </c>
      <c r="AC10" s="24">
        <f t="shared" si="0"/>
        <v>8.9020771513353107</v>
      </c>
      <c r="AD10" s="24">
        <f t="shared" si="0"/>
        <v>12.688018008799753</v>
      </c>
      <c r="AE10" s="24">
        <f t="shared" si="0"/>
        <v>2.3534226951805994</v>
      </c>
      <c r="AF10" s="24">
        <f t="shared" si="0"/>
        <v>0.21487772434257646</v>
      </c>
      <c r="AG10" s="24">
        <f t="shared" si="0"/>
        <v>0</v>
      </c>
      <c r="AH10" s="24">
        <f t="shared" si="0"/>
        <v>0</v>
      </c>
      <c r="AI10" s="14">
        <f t="shared" ref="AI10:AI73" si="72">SUM(W10:AH10)</f>
        <v>99.999999999999986</v>
      </c>
      <c r="AJ10" s="26"/>
      <c r="AK10" s="50">
        <f t="shared" ref="AK10:AK73" si="73">IF(W10="","",W10/60.09)</f>
        <v>0.84460096580460997</v>
      </c>
      <c r="AL10" s="47">
        <f t="shared" ref="AL10:AL73" si="74">IF(X10="","",X10/79.9)</f>
        <v>1.1781840776874091E-2</v>
      </c>
      <c r="AM10" s="47">
        <f t="shared" ref="AM10:AM73" si="75">IF(Y10="","",Y10/101.96)</f>
        <v>0.14651939954985227</v>
      </c>
      <c r="AN10" s="49">
        <f t="shared" ref="AN10:AN73" si="76">IF(Z10="","",Z10/151.9922)</f>
        <v>0</v>
      </c>
      <c r="AO10" s="49">
        <f t="shared" ref="AO10:AO73" si="77">IF(AA10="","",AA10/71.85)</f>
        <v>0.12817042907400925</v>
      </c>
      <c r="AP10" s="47">
        <f t="shared" ref="AP10:AP73" si="78">IF(AB10="","",AB10/71)</f>
        <v>0</v>
      </c>
      <c r="AQ10" s="47">
        <f t="shared" ref="AQ10:AQ73" si="79">IF(AC10="","",AC10/40.32)</f>
        <v>0.2207856436343083</v>
      </c>
      <c r="AR10" s="47">
        <f t="shared" ref="AR10:AR73" si="80">IF(AD10="","",AD10/56.08)</f>
        <v>0.22624853796005268</v>
      </c>
      <c r="AS10" s="47">
        <f t="shared" ref="AS10:AS73" si="81">IF(AE10="","",AE10/61.98)</f>
        <v>3.7970679173614061E-2</v>
      </c>
      <c r="AT10" s="47">
        <f t="shared" ref="AT10:AT73" si="82">IF(AF10="","",AF10/94.2)</f>
        <v>2.2810798762481575E-3</v>
      </c>
      <c r="AU10" s="47">
        <f t="shared" ref="AU10:AU73" si="83">IF(AG10="","",AG10/70.97)</f>
        <v>0</v>
      </c>
      <c r="AV10" s="47">
        <f t="shared" ref="AV10:AV73" si="84">IF(AH10="","",AH10/18.02)</f>
        <v>0</v>
      </c>
      <c r="AW10" s="47">
        <f t="shared" ref="AW10:AW73" si="85">IF(SUM(AK10:AU10)=0,"",SUM(AK10:AU10))</f>
        <v>1.6183585758495689</v>
      </c>
      <c r="AX10" s="47">
        <f t="shared" ref="AX10:AX73" si="86">IF(OR(AA10="",I10=""),"",$AA10*(1-$EP10)/71.85)</f>
        <v>0.11059021184284749</v>
      </c>
      <c r="AY10" s="46">
        <f t="shared" ref="AY10:AY73" si="87">IF(OR(AA10="",I10=""),"",($AA10*$EP10)*1.111/159.6)</f>
        <v>8.7929009621147691E-3</v>
      </c>
      <c r="AZ10" s="26"/>
      <c r="BA10" s="23">
        <f t="shared" ref="BA10:BA72" si="88">IF(OR(AW10="",$AK10=""),"",AK10/$AW10)</f>
        <v>0.52188741012555306</v>
      </c>
      <c r="BB10" s="13">
        <f t="shared" si="6"/>
        <v>7.2801176158930848E-3</v>
      </c>
      <c r="BC10" s="13">
        <f t="shared" si="7"/>
        <v>9.0535806919635142E-2</v>
      </c>
      <c r="BD10" s="13">
        <f t="shared" si="8"/>
        <v>0</v>
      </c>
      <c r="BE10" s="13">
        <f t="shared" si="9"/>
        <v>7.9197793978831463E-2</v>
      </c>
      <c r="BF10" s="13">
        <f t="shared" si="10"/>
        <v>6.8334801380338331E-2</v>
      </c>
      <c r="BG10" s="13">
        <f t="shared" si="11"/>
        <v>5.4332217181837297E-3</v>
      </c>
      <c r="BH10" s="13">
        <f t="shared" si="12"/>
        <v>0</v>
      </c>
      <c r="BI10" s="13">
        <f t="shared" si="13"/>
        <v>0.13642566420634272</v>
      </c>
      <c r="BJ10" s="13">
        <f t="shared" si="14"/>
        <v>0.13980124141603284</v>
      </c>
      <c r="BK10" s="13">
        <f t="shared" si="15"/>
        <v>2.3462463597525709E-2</v>
      </c>
      <c r="BL10" s="13">
        <f t="shared" si="16"/>
        <v>1.4095021401858907E-3</v>
      </c>
      <c r="BM10" s="13">
        <f t="shared" si="17"/>
        <v>0</v>
      </c>
      <c r="BN10" s="13">
        <f t="shared" si="18"/>
        <v>0</v>
      </c>
      <c r="BO10" s="12">
        <f t="shared" ref="BO10:BO72" si="89">IF(SUM(BA10:BE10,BH10:BM10)=0,"",SUM(BA10:BE10,BH10:BM10))</f>
        <v>0.99999999999999989</v>
      </c>
      <c r="BP10" s="13"/>
      <c r="BQ10" s="23">
        <f t="shared" ref="BQ10:BQ72" si="90">IF(W10="","",W10/(60.09/2))</f>
        <v>1.6892019316092199</v>
      </c>
      <c r="BR10" s="13">
        <f t="shared" si="19"/>
        <v>2.3563681553748182E-2</v>
      </c>
      <c r="BS10" s="13">
        <f t="shared" si="20"/>
        <v>0.43938582288538047</v>
      </c>
      <c r="BT10" s="13">
        <f t="shared" si="21"/>
        <v>0</v>
      </c>
      <c r="BU10" s="13">
        <f t="shared" si="22"/>
        <v>0.12817042907400925</v>
      </c>
      <c r="BV10" s="13">
        <f t="shared" ref="BV9:BV72" si="91">IF($AA10="","",$AA10*(1-$EP10)/71.85)</f>
        <v>0.11059021184284749</v>
      </c>
      <c r="BW10" s="24">
        <f t="shared" ref="BW9:BW72" si="92">IF(AA10="","",$AA10*$EP10*1.111/(159.6/3))</f>
        <v>2.6378702886344307E-2</v>
      </c>
      <c r="BX10" s="13">
        <f t="shared" si="23"/>
        <v>0</v>
      </c>
      <c r="BY10" s="13">
        <f t="shared" si="24"/>
        <v>0.22089521467333278</v>
      </c>
      <c r="BZ10" s="13">
        <f t="shared" si="25"/>
        <v>0.22616787894473714</v>
      </c>
      <c r="CA10" s="13">
        <f t="shared" si="26"/>
        <v>3.7958430567429022E-2</v>
      </c>
      <c r="CB10" s="13">
        <f t="shared" si="27"/>
        <v>2.2810798762481575E-3</v>
      </c>
      <c r="CC10" s="13">
        <f t="shared" si="28"/>
        <v>0</v>
      </c>
      <c r="CD10" s="13">
        <f t="shared" ref="CD9:CD72" si="93">IF(AH10="","",AH10/(18.02))</f>
        <v>0</v>
      </c>
      <c r="CE10" s="12">
        <f t="shared" ref="CE9:CE72" si="94">IF(SUM(BQ10:BU10,BX10:CD10)=0,"",SUM(BQ10:BU10,BX10:CD10))</f>
        <v>2.767624469184105</v>
      </c>
      <c r="CF10" s="13"/>
      <c r="CG10" s="23">
        <f t="shared" si="29"/>
        <v>0.61034361793570802</v>
      </c>
      <c r="CH10" s="13">
        <f t="shared" si="29"/>
        <v>8.5140458238161017E-3</v>
      </c>
      <c r="CI10" s="13">
        <f t="shared" si="29"/>
        <v>0.15875919142126652</v>
      </c>
      <c r="CJ10" s="13">
        <f t="shared" si="29"/>
        <v>0</v>
      </c>
      <c r="CK10" s="13">
        <f t="shared" si="29"/>
        <v>4.6310628664080956E-2</v>
      </c>
      <c r="CL10" s="13">
        <f>IF(OR($CE10="",BV10=""),"",BV10/$CE10)</f>
        <v>3.9958532334933961E-2</v>
      </c>
      <c r="CM10" s="13">
        <f t="shared" si="29"/>
        <v>9.531171291501387E-3</v>
      </c>
      <c r="CN10" s="13">
        <f t="shared" si="29"/>
        <v>0</v>
      </c>
      <c r="CO10" s="13">
        <f t="shared" si="29"/>
        <v>7.9814012750961352E-2</v>
      </c>
      <c r="CP10" s="13">
        <f t="shared" si="29"/>
        <v>8.1719135476284968E-2</v>
      </c>
      <c r="CQ10" s="13">
        <f t="shared" si="29"/>
        <v>1.3715166558929563E-2</v>
      </c>
      <c r="CR10" s="13">
        <f t="shared" si="29"/>
        <v>8.2420136895256576E-4</v>
      </c>
      <c r="CS10" s="13">
        <f t="shared" si="29"/>
        <v>0</v>
      </c>
      <c r="CT10" s="13">
        <f t="shared" si="29"/>
        <v>0</v>
      </c>
      <c r="CU10" s="12">
        <f t="shared" si="30"/>
        <v>1</v>
      </c>
      <c r="CV10" s="26"/>
      <c r="CW10" s="23">
        <f t="shared" si="31"/>
        <v>0.84460096580460997</v>
      </c>
      <c r="CX10" s="13">
        <f t="shared" si="32"/>
        <v>1.1781840776874091E-2</v>
      </c>
      <c r="CY10" s="13">
        <f t="shared" si="33"/>
        <v>0.29292388192358698</v>
      </c>
      <c r="CZ10" s="13">
        <f t="shared" si="34"/>
        <v>0</v>
      </c>
      <c r="DA10" s="13">
        <f t="shared" si="35"/>
        <v>0.17270194986072424</v>
      </c>
      <c r="DB10" s="13">
        <f t="shared" si="36"/>
        <v>0.11059021184284749</v>
      </c>
      <c r="DC10" s="24">
        <f t="shared" si="37"/>
        <v>1.7585801924229538E-2</v>
      </c>
      <c r="DD10" s="13">
        <f t="shared" si="38"/>
        <v>0</v>
      </c>
      <c r="DE10" s="13">
        <f t="shared" si="39"/>
        <v>0.22089521467333278</v>
      </c>
      <c r="DF10" s="13">
        <f t="shared" si="40"/>
        <v>0.22616787894473714</v>
      </c>
      <c r="DG10" s="13">
        <f t="shared" si="41"/>
        <v>7.5916861134858044E-2</v>
      </c>
      <c r="DH10" s="13">
        <f t="shared" si="42"/>
        <v>4.5621597524963149E-3</v>
      </c>
      <c r="DI10" s="13">
        <f t="shared" si="43"/>
        <v>0</v>
      </c>
      <c r="DJ10" s="13">
        <f t="shared" ref="DJ10:DJ73" si="95">IF(AH10="","",AH10/(18.02/2))</f>
        <v>0</v>
      </c>
      <c r="DK10" s="12">
        <f t="shared" ref="DK10:DK73" si="96">IF(SUM(CW10:DA10,DD10:DJ10)=0,"",SUM(CW10:DA10,DD10:DJ10))</f>
        <v>1.8495507528712194</v>
      </c>
      <c r="DL10" s="26"/>
      <c r="DM10" s="23">
        <f t="shared" ref="DM10:DZ42" si="97">IF(OR($DK10="",CW10=""),"",CW10/$DK10)</f>
        <v>0.45665195426157518</v>
      </c>
      <c r="DN10" s="13">
        <f t="shared" si="44"/>
        <v>6.3701094758195249E-3</v>
      </c>
      <c r="DO10" s="13">
        <f t="shared" si="44"/>
        <v>0.15837569283722311</v>
      </c>
      <c r="DP10" s="13">
        <f t="shared" si="44"/>
        <v>0</v>
      </c>
      <c r="DQ10" s="13">
        <f t="shared" si="44"/>
        <v>9.3375080187782844E-2</v>
      </c>
      <c r="DR10" s="13">
        <f t="shared" si="44"/>
        <v>5.9793012801172739E-2</v>
      </c>
      <c r="DS10" s="13">
        <f t="shared" si="44"/>
        <v>9.5081478012590676E-3</v>
      </c>
      <c r="DT10" s="13">
        <f t="shared" si="44"/>
        <v>0</v>
      </c>
      <c r="DU10" s="13">
        <f t="shared" si="44"/>
        <v>0.11943182112219296</v>
      </c>
      <c r="DV10" s="13">
        <f t="shared" si="44"/>
        <v>0.12228260219063303</v>
      </c>
      <c r="DW10" s="13">
        <f t="shared" si="44"/>
        <v>4.1046108638546769E-2</v>
      </c>
      <c r="DX10" s="13">
        <f t="shared" si="44"/>
        <v>2.4666312862267094E-3</v>
      </c>
      <c r="DY10" s="13">
        <f t="shared" si="44"/>
        <v>0</v>
      </c>
      <c r="DZ10" s="13">
        <f t="shared" si="44"/>
        <v>0</v>
      </c>
      <c r="EA10" s="12">
        <f t="shared" si="45"/>
        <v>1</v>
      </c>
      <c r="EB10" s="26"/>
      <c r="EC10" s="30">
        <f t="shared" si="46"/>
        <v>1323</v>
      </c>
      <c r="ED10" s="14">
        <f t="shared" ref="ED9:ED72" si="98">IF(H10="","",H10*1000000000)</f>
        <v>100000</v>
      </c>
      <c r="EE10" s="29"/>
      <c r="EF10" s="184">
        <f>IF(I10="","",-25096.3/(G10+273)+8.735+0.11*(H10*10000-1)/(273+G10)+I10)</f>
        <v>-10.834236583522296</v>
      </c>
      <c r="EG10" s="13">
        <f t="shared" ref="EG10:EG73" si="99">IF(I10="","",I10)</f>
        <v>-0.6</v>
      </c>
      <c r="EH10" s="13">
        <f t="shared" ref="EH10:EH73" si="100">IF(EF10="","",24930/($EC10)-9.36-0.046*($ED10/100000)/($EC10)+$EF10)</f>
        <v>-1.3507339380196495</v>
      </c>
      <c r="EI10" s="12">
        <f t="shared" si="47"/>
        <v>3.2414996220710535</v>
      </c>
      <c r="EJ10" s="29"/>
      <c r="EK10" s="28">
        <f t="shared" ref="EK10:EK73" si="101">IF(OR(EF10="",AW10=""),"",0.196*LN(10^$EF10)+11492/$EC10-6.675+($BC10*-2.243+$BE10*-1.828+$BJ10*3.201+$BK10*5.854+$BL10*6.215)-3.36*(1-1673.15/$EC10-LN($EC10/1673.15))-0.000000701*($ED10/$EC10)-0.000000000154*(($EC10-1673.15)*$ED10/$EC10)+0.0000000000000000385*($ED10^2/$EC10))</f>
        <v>-2.5322045163129676</v>
      </c>
      <c r="EL10" s="24">
        <f t="shared" ref="EL9:EL72" si="102">IF(EK10="","",EK10/2.303)</f>
        <v>-1.099524323192778</v>
      </c>
      <c r="EM10" s="24">
        <f t="shared" ref="EM10:EM73" si="103">IF(EK10="","",EXP(EK10))</f>
        <v>7.9483604101165117E-2</v>
      </c>
      <c r="EN10" s="24">
        <f t="shared" ref="EN9:EN72" si="104">IF(OR(AA10=0,EM10=""),"",BE10/(1+2*EM10))</f>
        <v>6.8334801380338345E-2</v>
      </c>
      <c r="EO10" s="24">
        <f t="shared" ref="EO9:EO72" si="105">IF(OR(AA10=0,EM10=""),"",EM10*EN10)</f>
        <v>5.4314962992465642E-3</v>
      </c>
      <c r="EP10" s="24">
        <f t="shared" ref="EP9:EP72" si="106">IF(EN10="","",EO10*2/(EO10*2+EN10))</f>
        <v>0.1371628179617814</v>
      </c>
      <c r="EQ10" s="24">
        <f t="shared" ref="EQ9:EQ72" si="107">IF(AA10="","",LN(AY10/AX10))</f>
        <v>-2.5318868975862041</v>
      </c>
      <c r="ER10" s="24">
        <f t="shared" si="48"/>
        <v>-24.944724451556631</v>
      </c>
      <c r="ES10" s="25">
        <f t="shared" si="49"/>
        <v>-10.831404451392372</v>
      </c>
      <c r="ET10" s="26"/>
      <c r="EU10" s="23">
        <f>IF(EP10="","",8*LOG(BG10/BF10)+8743600/(EC10)^2-27703/(EC10)+20.273)</f>
        <v>-4.4678037142581886</v>
      </c>
      <c r="EV10" s="12">
        <f t="shared" si="50"/>
        <v>3.4055047907433078E-5</v>
      </c>
      <c r="EW10" s="26"/>
      <c r="EX10" s="27">
        <f t="shared" ref="EX10:EX72" si="108">IF(EG10="","",1/(1+10^(2.1-2*EG10)))</f>
        <v>5.0093617081359819E-4</v>
      </c>
      <c r="EY10" s="26"/>
      <c r="EZ10" s="23">
        <f t="shared" si="51"/>
        <v>-3.5202195889606056</v>
      </c>
      <c r="FA10" s="13">
        <f t="shared" si="52"/>
        <v>15.615139657096172</v>
      </c>
      <c r="FB10" s="13">
        <f t="shared" si="53"/>
        <v>-21.845149910644157</v>
      </c>
      <c r="FC10" s="13">
        <f t="shared" si="54"/>
        <v>-8.9129941456774233</v>
      </c>
      <c r="FD10" s="12">
        <f t="shared" si="55"/>
        <v>1.3461001138259654E-4</v>
      </c>
      <c r="FE10" s="13"/>
      <c r="FF10" s="23">
        <f t="shared" si="56"/>
        <v>-5.901236530941544</v>
      </c>
      <c r="FG10" s="13">
        <f t="shared" si="57"/>
        <v>11.493162261792662</v>
      </c>
      <c r="FH10" s="13">
        <f t="shared" si="58"/>
        <v>12.010989548537111</v>
      </c>
      <c r="FI10" s="24">
        <f t="shared" ref="FI9:FI40" si="109">IF(FF10="","",1-1/(1+10^(FG10-$FF10+2*$EF10)))</f>
        <v>5.3198883912086714E-5</v>
      </c>
      <c r="FJ10" s="25">
        <f t="shared" si="59"/>
        <v>1.7525757266090292E-4</v>
      </c>
      <c r="FK10" s="13"/>
      <c r="FL10" s="23">
        <f t="shared" ref="FL9:FL72" si="110">IF($CU10="","",195.99657+(-7632.6971*$CG10-10669.7107*$CH10-6900.9065*$CI10-4625.0612*$CK10+19113.53*$CN10+11739.931*$CP10+33266.912*$CQ10-4094.9829)/$EC10-57.2083*LOG($EC10))</f>
        <v>10.812353426545826</v>
      </c>
      <c r="FM10" s="13">
        <f>IF($CU10="","",0.646657+(-3368.52*$CG10-1233.439*$CI10+1295.54*$CP10+44885.3*$CR10+10914.48*($CG10*$CL10)-225569.4*($CL10*$CQ10)-871863.8*($CL10*$CR10)+54392.37*($CL10*$CI10)-7584.703)/($EC10)+3.86057*ERF($CL10))</f>
        <v>-6.1594945584938632</v>
      </c>
      <c r="FN10" s="13">
        <f t="shared" ref="FN9:FN40" si="111">IF($FL10="","",$FL10-$FM10+2*$EF10)</f>
        <v>-4.6966251820049045</v>
      </c>
      <c r="FO10" s="13">
        <f t="shared" si="60"/>
        <v>2.0107870758234725E-5</v>
      </c>
      <c r="FP10" s="23">
        <f t="shared" ref="FP9:FP40" si="112">IF($FL10="","",$FL10-$FM10+2*($EF10-(0.0546*($H10*10000)/($G10+273))))</f>
        <v>-4.6967077216874458</v>
      </c>
      <c r="FQ10" s="13">
        <f t="shared" ref="FQ9:FQ40" si="113">IF($FP10="","",1-1/(1+10^FP10))</f>
        <v>2.0104049603952845E-5</v>
      </c>
      <c r="FR10" s="13">
        <f t="shared" ref="FR9:FR40" si="114">IF($FL10="","",$FL10-$FM10+2*($EF10-(0.0332*($H10*10000)/($G10+273))))</f>
        <v>-4.6966753709693805</v>
      </c>
      <c r="FS10" s="13">
        <f t="shared" ref="FS10:FS73" si="115">IF($FT10="","",1-1/(1+10^FR10))</f>
        <v>2.0105547185900186E-5</v>
      </c>
      <c r="FT10" s="13">
        <f t="shared" ref="FT9:FT40" si="116">IF($FL10="","",$FL10-$FM10+2*($EF10-(0.0601*($H10*10000)/($G10+273))))</f>
        <v>-4.6967160361243288</v>
      </c>
      <c r="FU10" s="12">
        <f t="shared" ref="FU10:FU73" si="117">IF($FT10="","",1-1/(1+10^FT10))</f>
        <v>2.0103664729487214E-5</v>
      </c>
      <c r="FV10" s="22"/>
      <c r="FW10" s="11">
        <f t="shared" si="61"/>
        <v>-0.6</v>
      </c>
      <c r="FX10" s="10">
        <f t="shared" si="62"/>
        <v>-1.3507339380196495</v>
      </c>
      <c r="FY10" s="10">
        <f t="shared" si="63"/>
        <v>3.2414996220710535</v>
      </c>
      <c r="FZ10" s="5">
        <f t="shared" si="64"/>
        <v>-10.834236583522296</v>
      </c>
      <c r="GA10" s="10">
        <f t="shared" si="65"/>
        <v>0.1371628179617814</v>
      </c>
      <c r="GB10" s="9">
        <f t="shared" ref="GB10:GB59" si="118">FL10</f>
        <v>10.812353426545826</v>
      </c>
      <c r="GC10" s="8">
        <f t="shared" ref="GC10:GC59" si="119">FM10</f>
        <v>-6.1594945584938632</v>
      </c>
      <c r="GD10" s="8">
        <f t="shared" ref="GD10:GD73" si="120">$FO10</f>
        <v>2.0107870758234725E-5</v>
      </c>
      <c r="GE10" s="7">
        <f t="shared" ref="GE10:GE73" si="121">$FQ10</f>
        <v>2.0104049603952845E-5</v>
      </c>
      <c r="GF10" s="6">
        <f t="shared" si="66"/>
        <v>5.3198883912086714E-5</v>
      </c>
      <c r="GG10" s="5">
        <f t="shared" si="67"/>
        <v>1.7525757266090292E-4</v>
      </c>
      <c r="GH10" s="4">
        <f t="shared" si="68"/>
        <v>1.3461001138259654E-4</v>
      </c>
      <c r="GI10" s="4">
        <f t="shared" si="69"/>
        <v>5.0093617081359819E-4</v>
      </c>
      <c r="GJ10" s="4">
        <f t="shared" si="70"/>
        <v>3.4055047907433078E-5</v>
      </c>
      <c r="GK10" s="1"/>
    </row>
    <row r="11" spans="1:193" x14ac:dyDescent="0.4">
      <c r="A11" s="34"/>
      <c r="B11" s="21"/>
      <c r="C11" s="21"/>
      <c r="D11" s="34"/>
      <c r="E11" s="34"/>
      <c r="F11" s="20" t="s">
        <v>82</v>
      </c>
      <c r="G11" s="19">
        <v>1050</v>
      </c>
      <c r="H11" s="18">
        <v>1E-4</v>
      </c>
      <c r="I11" s="17">
        <v>-0.2</v>
      </c>
      <c r="J11" s="16">
        <v>49.6</v>
      </c>
      <c r="K11" s="16">
        <v>0.92</v>
      </c>
      <c r="L11" s="16">
        <v>14.6</v>
      </c>
      <c r="M11" s="16">
        <v>0</v>
      </c>
      <c r="N11" s="16">
        <v>9</v>
      </c>
      <c r="O11" s="16">
        <v>0</v>
      </c>
      <c r="P11" s="16">
        <v>8.6999999999999993</v>
      </c>
      <c r="Q11" s="16">
        <v>12.4</v>
      </c>
      <c r="R11" s="16">
        <v>2.2999999999999998</v>
      </c>
      <c r="S11" s="16">
        <v>0.21</v>
      </c>
      <c r="T11" s="16">
        <v>0</v>
      </c>
      <c r="U11" s="15">
        <v>0</v>
      </c>
      <c r="V11" s="16"/>
      <c r="W11" s="28">
        <f t="shared" si="71"/>
        <v>50.752072035199014</v>
      </c>
      <c r="X11" s="24">
        <f t="shared" si="0"/>
        <v>0.94136907807223991</v>
      </c>
      <c r="Y11" s="24">
        <f t="shared" si="0"/>
        <v>14.939117978102937</v>
      </c>
      <c r="Z11" s="24">
        <f t="shared" si="0"/>
        <v>0</v>
      </c>
      <c r="AA11" s="24">
        <f t="shared" si="0"/>
        <v>9.209045328967564</v>
      </c>
      <c r="AB11" s="24">
        <f t="shared" si="0"/>
        <v>0</v>
      </c>
      <c r="AC11" s="24">
        <f t="shared" si="0"/>
        <v>8.9020771513353107</v>
      </c>
      <c r="AD11" s="24">
        <f t="shared" si="0"/>
        <v>12.688018008799753</v>
      </c>
      <c r="AE11" s="24">
        <f t="shared" si="0"/>
        <v>2.3534226951805994</v>
      </c>
      <c r="AF11" s="24">
        <f t="shared" si="0"/>
        <v>0.21487772434257646</v>
      </c>
      <c r="AG11" s="24">
        <f t="shared" si="0"/>
        <v>0</v>
      </c>
      <c r="AH11" s="24">
        <f t="shared" si="0"/>
        <v>0</v>
      </c>
      <c r="AI11" s="14">
        <f t="shared" si="72"/>
        <v>99.999999999999986</v>
      </c>
      <c r="AJ11" s="26"/>
      <c r="AK11" s="50">
        <f t="shared" si="73"/>
        <v>0.84460096580460997</v>
      </c>
      <c r="AL11" s="47">
        <f t="shared" si="74"/>
        <v>1.1781840776874091E-2</v>
      </c>
      <c r="AM11" s="47">
        <f t="shared" si="75"/>
        <v>0.14651939954985227</v>
      </c>
      <c r="AN11" s="49">
        <f t="shared" si="76"/>
        <v>0</v>
      </c>
      <c r="AO11" s="49">
        <f t="shared" si="77"/>
        <v>0.12817042907400925</v>
      </c>
      <c r="AP11" s="47">
        <f t="shared" si="78"/>
        <v>0</v>
      </c>
      <c r="AQ11" s="47">
        <f t="shared" si="79"/>
        <v>0.2207856436343083</v>
      </c>
      <c r="AR11" s="47">
        <f t="shared" si="80"/>
        <v>0.22624853796005268</v>
      </c>
      <c r="AS11" s="47">
        <f t="shared" si="81"/>
        <v>3.7970679173614061E-2</v>
      </c>
      <c r="AT11" s="47">
        <f t="shared" si="82"/>
        <v>2.2810798762481575E-3</v>
      </c>
      <c r="AU11" s="47">
        <f t="shared" si="83"/>
        <v>0</v>
      </c>
      <c r="AV11" s="47">
        <f t="shared" si="84"/>
        <v>0</v>
      </c>
      <c r="AW11" s="47">
        <f t="shared" si="85"/>
        <v>1.6183585758495689</v>
      </c>
      <c r="AX11" s="47">
        <f t="shared" si="86"/>
        <v>0.10766844118651152</v>
      </c>
      <c r="AY11" s="46">
        <f t="shared" si="87"/>
        <v>1.0254250368516708E-2</v>
      </c>
      <c r="AZ11" s="26"/>
      <c r="BA11" s="23">
        <f t="shared" si="88"/>
        <v>0.52188741012555306</v>
      </c>
      <c r="BB11" s="13">
        <f t="shared" si="6"/>
        <v>7.2801176158930848E-3</v>
      </c>
      <c r="BC11" s="13">
        <f t="shared" si="7"/>
        <v>9.0535806919635142E-2</v>
      </c>
      <c r="BD11" s="13">
        <f t="shared" si="8"/>
        <v>0</v>
      </c>
      <c r="BE11" s="13">
        <f t="shared" si="9"/>
        <v>7.9197793978831463E-2</v>
      </c>
      <c r="BF11" s="13">
        <f t="shared" si="10"/>
        <v>6.6529409979485046E-2</v>
      </c>
      <c r="BG11" s="13">
        <f t="shared" si="11"/>
        <v>6.3362041772069373E-3</v>
      </c>
      <c r="BH11" s="13">
        <f t="shared" si="12"/>
        <v>0</v>
      </c>
      <c r="BI11" s="13">
        <f t="shared" si="13"/>
        <v>0.13642566420634272</v>
      </c>
      <c r="BJ11" s="13">
        <f t="shared" si="14"/>
        <v>0.13980124141603284</v>
      </c>
      <c r="BK11" s="13">
        <f t="shared" si="15"/>
        <v>2.3462463597525709E-2</v>
      </c>
      <c r="BL11" s="13">
        <f t="shared" si="16"/>
        <v>1.4095021401858907E-3</v>
      </c>
      <c r="BM11" s="13">
        <f t="shared" si="17"/>
        <v>0</v>
      </c>
      <c r="BN11" s="13">
        <f t="shared" si="18"/>
        <v>0</v>
      </c>
      <c r="BO11" s="12">
        <f t="shared" si="89"/>
        <v>0.99999999999999989</v>
      </c>
      <c r="BP11" s="13"/>
      <c r="BQ11" s="23">
        <f t="shared" si="90"/>
        <v>1.6892019316092199</v>
      </c>
      <c r="BR11" s="13">
        <f t="shared" si="19"/>
        <v>2.3563681553748182E-2</v>
      </c>
      <c r="BS11" s="13">
        <f t="shared" si="20"/>
        <v>0.43938582288538047</v>
      </c>
      <c r="BT11" s="13">
        <f t="shared" si="21"/>
        <v>0</v>
      </c>
      <c r="BU11" s="13">
        <f t="shared" si="22"/>
        <v>0.12817042907400925</v>
      </c>
      <c r="BV11" s="13">
        <f t="shared" si="91"/>
        <v>0.10766844118651152</v>
      </c>
      <c r="BW11" s="24">
        <f t="shared" si="92"/>
        <v>3.0762751105550126E-2</v>
      </c>
      <c r="BX11" s="13">
        <f t="shared" si="23"/>
        <v>0</v>
      </c>
      <c r="BY11" s="13">
        <f t="shared" si="24"/>
        <v>0.22089521467333278</v>
      </c>
      <c r="BZ11" s="13">
        <f t="shared" si="25"/>
        <v>0.22616787894473714</v>
      </c>
      <c r="CA11" s="13">
        <f t="shared" si="26"/>
        <v>3.7958430567429022E-2</v>
      </c>
      <c r="CB11" s="13">
        <f t="shared" si="27"/>
        <v>2.2810798762481575E-3</v>
      </c>
      <c r="CC11" s="13">
        <f t="shared" si="28"/>
        <v>0</v>
      </c>
      <c r="CD11" s="13">
        <f t="shared" si="93"/>
        <v>0</v>
      </c>
      <c r="CE11" s="12">
        <f t="shared" si="94"/>
        <v>2.767624469184105</v>
      </c>
      <c r="CF11" s="13"/>
      <c r="CG11" s="23">
        <f t="shared" si="29"/>
        <v>0.61034361793570802</v>
      </c>
      <c r="CH11" s="13">
        <f t="shared" si="29"/>
        <v>8.5140458238161017E-3</v>
      </c>
      <c r="CI11" s="13">
        <f t="shared" si="29"/>
        <v>0.15875919142126652</v>
      </c>
      <c r="CJ11" s="13">
        <f t="shared" si="29"/>
        <v>0</v>
      </c>
      <c r="CK11" s="13">
        <f t="shared" si="29"/>
        <v>4.6310628664080956E-2</v>
      </c>
      <c r="CL11" s="13">
        <f t="shared" si="29"/>
        <v>3.8902836127277102E-2</v>
      </c>
      <c r="CM11" s="13">
        <f t="shared" si="29"/>
        <v>1.1115218646198405E-2</v>
      </c>
      <c r="CN11" s="13">
        <f t="shared" si="29"/>
        <v>0</v>
      </c>
      <c r="CO11" s="13">
        <f t="shared" si="29"/>
        <v>7.9814012750961352E-2</v>
      </c>
      <c r="CP11" s="13">
        <f t="shared" si="29"/>
        <v>8.1719135476284968E-2</v>
      </c>
      <c r="CQ11" s="13">
        <f t="shared" si="29"/>
        <v>1.3715166558929563E-2</v>
      </c>
      <c r="CR11" s="13">
        <f t="shared" si="29"/>
        <v>8.2420136895256576E-4</v>
      </c>
      <c r="CS11" s="13">
        <f t="shared" si="29"/>
        <v>0</v>
      </c>
      <c r="CT11" s="13">
        <f t="shared" si="29"/>
        <v>0</v>
      </c>
      <c r="CU11" s="12">
        <f t="shared" si="30"/>
        <v>1</v>
      </c>
      <c r="CV11" s="26"/>
      <c r="CW11" s="23">
        <f t="shared" si="31"/>
        <v>0.84460096580460997</v>
      </c>
      <c r="CX11" s="13">
        <f t="shared" si="32"/>
        <v>1.1781840776874091E-2</v>
      </c>
      <c r="CY11" s="13">
        <f t="shared" si="33"/>
        <v>0.29292388192358698</v>
      </c>
      <c r="CZ11" s="13">
        <f t="shared" si="34"/>
        <v>0</v>
      </c>
      <c r="DA11" s="13">
        <f t="shared" si="35"/>
        <v>0.17270194986072424</v>
      </c>
      <c r="DB11" s="13">
        <f t="shared" si="36"/>
        <v>0.10766844118651152</v>
      </c>
      <c r="DC11" s="24">
        <f t="shared" si="37"/>
        <v>2.0508500737033416E-2</v>
      </c>
      <c r="DD11" s="13">
        <f t="shared" si="38"/>
        <v>0</v>
      </c>
      <c r="DE11" s="13">
        <f t="shared" si="39"/>
        <v>0.22089521467333278</v>
      </c>
      <c r="DF11" s="13">
        <f t="shared" si="40"/>
        <v>0.22616787894473714</v>
      </c>
      <c r="DG11" s="13">
        <f t="shared" si="41"/>
        <v>7.5916861134858044E-2</v>
      </c>
      <c r="DH11" s="13">
        <f t="shared" si="42"/>
        <v>4.5621597524963149E-3</v>
      </c>
      <c r="DI11" s="13">
        <f t="shared" si="43"/>
        <v>0</v>
      </c>
      <c r="DJ11" s="13">
        <f t="shared" si="95"/>
        <v>0</v>
      </c>
      <c r="DK11" s="12">
        <f t="shared" si="96"/>
        <v>1.8495507528712194</v>
      </c>
      <c r="DL11" s="26"/>
      <c r="DM11" s="23">
        <f t="shared" si="97"/>
        <v>0.45665195426157518</v>
      </c>
      <c r="DN11" s="13">
        <f t="shared" si="44"/>
        <v>6.3701094758195249E-3</v>
      </c>
      <c r="DO11" s="13">
        <f t="shared" si="44"/>
        <v>0.15837569283722311</v>
      </c>
      <c r="DP11" s="13">
        <f t="shared" si="44"/>
        <v>0</v>
      </c>
      <c r="DQ11" s="13">
        <f t="shared" si="44"/>
        <v>9.3375080187782844E-2</v>
      </c>
      <c r="DR11" s="13">
        <f t="shared" si="44"/>
        <v>5.8213293698141766E-2</v>
      </c>
      <c r="DS11" s="13">
        <f t="shared" si="44"/>
        <v>1.1088368732350966E-2</v>
      </c>
      <c r="DT11" s="13">
        <f t="shared" si="44"/>
        <v>0</v>
      </c>
      <c r="DU11" s="13">
        <f t="shared" si="44"/>
        <v>0.11943182112219296</v>
      </c>
      <c r="DV11" s="13">
        <f t="shared" si="44"/>
        <v>0.12228260219063303</v>
      </c>
      <c r="DW11" s="13">
        <f t="shared" si="44"/>
        <v>4.1046108638546769E-2</v>
      </c>
      <c r="DX11" s="13">
        <f t="shared" si="44"/>
        <v>2.4666312862267094E-3</v>
      </c>
      <c r="DY11" s="13">
        <f t="shared" si="44"/>
        <v>0</v>
      </c>
      <c r="DZ11" s="13">
        <f t="shared" si="44"/>
        <v>0</v>
      </c>
      <c r="EA11" s="12">
        <f t="shared" si="45"/>
        <v>1</v>
      </c>
      <c r="EB11" s="26"/>
      <c r="EC11" s="30">
        <f t="shared" si="46"/>
        <v>1323</v>
      </c>
      <c r="ED11" s="14">
        <f t="shared" si="98"/>
        <v>100000</v>
      </c>
      <c r="EE11" s="29"/>
      <c r="EF11" s="184">
        <f t="shared" ref="EF11:EF74" si="122">IF(I11="","",-25096.3/(G11+273)+8.735+0.11*(H11*10000-1)/(273+G11)+I11)</f>
        <v>-10.434236583522296</v>
      </c>
      <c r="EG11" s="13">
        <f t="shared" si="99"/>
        <v>-0.2</v>
      </c>
      <c r="EH11" s="13">
        <f t="shared" si="100"/>
        <v>-0.95073393801964912</v>
      </c>
      <c r="EI11" s="12">
        <f t="shared" si="47"/>
        <v>3.6414996220710538</v>
      </c>
      <c r="EJ11" s="29"/>
      <c r="EK11" s="28">
        <f t="shared" si="101"/>
        <v>-2.3516818450222337</v>
      </c>
      <c r="EL11" s="24">
        <f t="shared" si="102"/>
        <v>-1.0211384476865975</v>
      </c>
      <c r="EM11" s="24">
        <f t="shared" si="103"/>
        <v>9.5208900869952276E-2</v>
      </c>
      <c r="EN11" s="24">
        <f t="shared" si="104"/>
        <v>6.6529409979485046E-2</v>
      </c>
      <c r="EO11" s="24">
        <f t="shared" si="105"/>
        <v>6.3341919996732056E-3</v>
      </c>
      <c r="EP11" s="24">
        <f t="shared" si="106"/>
        <v>0.15995879888690467</v>
      </c>
      <c r="EQ11" s="24">
        <f t="shared" si="107"/>
        <v>-2.3513642262954697</v>
      </c>
      <c r="ER11" s="24">
        <f t="shared" si="48"/>
        <v>-24.023690414359006</v>
      </c>
      <c r="ES11" s="25">
        <f t="shared" si="49"/>
        <v>-10.431476515136346</v>
      </c>
      <c r="ET11" s="26"/>
      <c r="EU11" s="23">
        <f t="shared" ref="EU11:EU74" si="123">IF(EP11="","",8*LOG(BG11/BF11)+8743600/(EC11)^2-27703/(EC11)+20.273)</f>
        <v>-3.840603714258183</v>
      </c>
      <c r="EV11" s="12">
        <f t="shared" si="50"/>
        <v>1.4432235363781576E-4</v>
      </c>
      <c r="EW11" s="26"/>
      <c r="EX11" s="27">
        <f t="shared" si="108"/>
        <v>3.1523091832602089E-3</v>
      </c>
      <c r="EY11" s="26"/>
      <c r="EZ11" s="23">
        <f t="shared" si="51"/>
        <v>-3.5202195889606056</v>
      </c>
      <c r="FA11" s="13">
        <f t="shared" si="52"/>
        <v>15.595437944926854</v>
      </c>
      <c r="FB11" s="13">
        <f t="shared" si="53"/>
        <v>-21.845149910644157</v>
      </c>
      <c r="FC11" s="13">
        <f t="shared" si="54"/>
        <v>-7.0906277834515024</v>
      </c>
      <c r="FD11" s="12">
        <f t="shared" si="55"/>
        <v>8.3218123433004276E-4</v>
      </c>
      <c r="FE11" s="13"/>
      <c r="FF11" s="23">
        <f t="shared" si="56"/>
        <v>-5.9213745545187439</v>
      </c>
      <c r="FG11" s="13">
        <f t="shared" si="57"/>
        <v>11.493162261792662</v>
      </c>
      <c r="FH11" s="13">
        <f t="shared" si="58"/>
        <v>12.010989548537111</v>
      </c>
      <c r="FI11" s="24">
        <f t="shared" si="109"/>
        <v>3.5148838072607269E-4</v>
      </c>
      <c r="FJ11" s="25">
        <f t="shared" si="59"/>
        <v>1.1571458522390277E-3</v>
      </c>
      <c r="FK11" s="13"/>
      <c r="FL11" s="23">
        <f t="shared" si="110"/>
        <v>10.812353426545826</v>
      </c>
      <c r="FM11" s="13">
        <f t="shared" ref="FM9:FM72" si="124">IF($CU11="","",0.646657+(-3368.52*$CG11-1233.439*$CI11+1295.54*$CP11+44885.3*$CR11+10914.48*($CG11*$CL11)-225569.4*($CL11*$CQ11)-871863.8*($CL11*$CR11)+54392.37*($CL11*$CI11)-7584.703)/($EC11)+3.86057*ERF($CL11))</f>
        <v>-6.1732503994706764</v>
      </c>
      <c r="FN11" s="13">
        <f t="shared" si="111"/>
        <v>-3.8828693410280906</v>
      </c>
      <c r="FO11" s="13">
        <f t="shared" si="60"/>
        <v>1.3094043776540332E-4</v>
      </c>
      <c r="FP11" s="23">
        <f t="shared" si="112"/>
        <v>-3.8829518807106318</v>
      </c>
      <c r="FQ11" s="13">
        <f t="shared" si="113"/>
        <v>1.3091555754940476E-4</v>
      </c>
      <c r="FR11" s="13">
        <f t="shared" si="114"/>
        <v>-3.8829195299925665</v>
      </c>
      <c r="FS11" s="13">
        <f t="shared" si="115"/>
        <v>1.3092530857261586E-4</v>
      </c>
      <c r="FT11" s="13">
        <f t="shared" si="116"/>
        <v>-3.8829601951475148</v>
      </c>
      <c r="FU11" s="12">
        <f t="shared" si="117"/>
        <v>1.3091305156265332E-4</v>
      </c>
      <c r="FV11" s="22"/>
      <c r="FW11" s="11">
        <f t="shared" si="61"/>
        <v>-0.2</v>
      </c>
      <c r="FX11" s="10">
        <f t="shared" si="62"/>
        <v>-0.95073393801964912</v>
      </c>
      <c r="FY11" s="10">
        <f t="shared" si="63"/>
        <v>3.6414996220710538</v>
      </c>
      <c r="FZ11" s="5">
        <f t="shared" si="64"/>
        <v>-10.434236583522296</v>
      </c>
      <c r="GA11" s="10">
        <f t="shared" si="65"/>
        <v>0.15995879888690467</v>
      </c>
      <c r="GB11" s="9">
        <f t="shared" si="118"/>
        <v>10.812353426545826</v>
      </c>
      <c r="GC11" s="8">
        <f t="shared" si="119"/>
        <v>-6.1732503994706764</v>
      </c>
      <c r="GD11" s="8">
        <f t="shared" si="120"/>
        <v>1.3094043776540332E-4</v>
      </c>
      <c r="GE11" s="7">
        <f t="shared" si="121"/>
        <v>1.3091555754940476E-4</v>
      </c>
      <c r="GF11" s="6">
        <f t="shared" si="66"/>
        <v>3.5148838072607269E-4</v>
      </c>
      <c r="GG11" s="5">
        <f t="shared" si="67"/>
        <v>1.1571458522390277E-3</v>
      </c>
      <c r="GH11" s="4">
        <f t="shared" si="68"/>
        <v>8.3218123433004276E-4</v>
      </c>
      <c r="GI11" s="4">
        <f t="shared" si="69"/>
        <v>3.1523091832602089E-3</v>
      </c>
      <c r="GJ11" s="4">
        <f t="shared" si="70"/>
        <v>1.4432235363781576E-4</v>
      </c>
      <c r="GK11" s="1"/>
    </row>
    <row r="12" spans="1:193" x14ac:dyDescent="0.4">
      <c r="A12" s="34"/>
      <c r="B12" s="21"/>
      <c r="C12" s="21"/>
      <c r="D12" s="34"/>
      <c r="E12" s="34"/>
      <c r="F12" s="20" t="s">
        <v>82</v>
      </c>
      <c r="G12" s="19">
        <v>1050</v>
      </c>
      <c r="H12" s="18">
        <v>1E-4</v>
      </c>
      <c r="I12" s="17">
        <v>0.2</v>
      </c>
      <c r="J12" s="16">
        <v>49.6</v>
      </c>
      <c r="K12" s="16">
        <v>0.92</v>
      </c>
      <c r="L12" s="16">
        <v>14.6</v>
      </c>
      <c r="M12" s="16">
        <v>0</v>
      </c>
      <c r="N12" s="16">
        <v>9</v>
      </c>
      <c r="O12" s="16">
        <v>0</v>
      </c>
      <c r="P12" s="16">
        <v>8.6999999999999993</v>
      </c>
      <c r="Q12" s="16">
        <v>12.4</v>
      </c>
      <c r="R12" s="16">
        <v>2.2999999999999998</v>
      </c>
      <c r="S12" s="16">
        <v>0.21</v>
      </c>
      <c r="T12" s="16">
        <v>0</v>
      </c>
      <c r="U12" s="15">
        <v>0</v>
      </c>
      <c r="V12" s="16"/>
      <c r="W12" s="28">
        <f t="shared" si="71"/>
        <v>50.752072035199014</v>
      </c>
      <c r="X12" s="24">
        <f t="shared" si="0"/>
        <v>0.94136907807223991</v>
      </c>
      <c r="Y12" s="24">
        <f t="shared" si="0"/>
        <v>14.939117978102937</v>
      </c>
      <c r="Z12" s="24">
        <f t="shared" si="0"/>
        <v>0</v>
      </c>
      <c r="AA12" s="24">
        <f t="shared" si="0"/>
        <v>9.209045328967564</v>
      </c>
      <c r="AB12" s="24">
        <f t="shared" si="0"/>
        <v>0</v>
      </c>
      <c r="AC12" s="24">
        <f t="shared" si="0"/>
        <v>8.9020771513353107</v>
      </c>
      <c r="AD12" s="24">
        <f t="shared" si="0"/>
        <v>12.688018008799753</v>
      </c>
      <c r="AE12" s="24">
        <f t="shared" si="0"/>
        <v>2.3534226951805994</v>
      </c>
      <c r="AF12" s="24">
        <f t="shared" si="0"/>
        <v>0.21487772434257646</v>
      </c>
      <c r="AG12" s="24">
        <f t="shared" si="0"/>
        <v>0</v>
      </c>
      <c r="AH12" s="24">
        <f t="shared" si="0"/>
        <v>0</v>
      </c>
      <c r="AI12" s="14">
        <f t="shared" si="72"/>
        <v>99.999999999999986</v>
      </c>
      <c r="AJ12" s="26"/>
      <c r="AK12" s="50">
        <f t="shared" si="73"/>
        <v>0.84460096580460997</v>
      </c>
      <c r="AL12" s="47">
        <f t="shared" si="74"/>
        <v>1.1781840776874091E-2</v>
      </c>
      <c r="AM12" s="47">
        <f t="shared" si="75"/>
        <v>0.14651939954985227</v>
      </c>
      <c r="AN12" s="49">
        <f t="shared" si="76"/>
        <v>0</v>
      </c>
      <c r="AO12" s="49">
        <f t="shared" si="77"/>
        <v>0.12817042907400925</v>
      </c>
      <c r="AP12" s="47">
        <f t="shared" si="78"/>
        <v>0</v>
      </c>
      <c r="AQ12" s="47">
        <f t="shared" si="79"/>
        <v>0.2207856436343083</v>
      </c>
      <c r="AR12" s="47">
        <f t="shared" si="80"/>
        <v>0.22624853796005268</v>
      </c>
      <c r="AS12" s="47">
        <f t="shared" si="81"/>
        <v>3.7970679173614061E-2</v>
      </c>
      <c r="AT12" s="47">
        <f t="shared" si="82"/>
        <v>2.2810798762481575E-3</v>
      </c>
      <c r="AU12" s="47">
        <f t="shared" si="83"/>
        <v>0</v>
      </c>
      <c r="AV12" s="47">
        <f t="shared" si="84"/>
        <v>0</v>
      </c>
      <c r="AW12" s="47">
        <f t="shared" si="85"/>
        <v>1.6183585758495689</v>
      </c>
      <c r="AX12" s="47">
        <f t="shared" si="86"/>
        <v>0.10436560651873075</v>
      </c>
      <c r="AY12" s="46">
        <f t="shared" si="87"/>
        <v>1.1906192306785714E-2</v>
      </c>
      <c r="AZ12" s="26"/>
      <c r="BA12" s="23">
        <f t="shared" si="88"/>
        <v>0.52188741012555306</v>
      </c>
      <c r="BB12" s="13">
        <f t="shared" si="6"/>
        <v>7.2801176158930848E-3</v>
      </c>
      <c r="BC12" s="13">
        <f t="shared" si="7"/>
        <v>9.0535806919635142E-2</v>
      </c>
      <c r="BD12" s="13">
        <f t="shared" si="8"/>
        <v>0</v>
      </c>
      <c r="BE12" s="13">
        <f t="shared" si="9"/>
        <v>7.9197793978831463E-2</v>
      </c>
      <c r="BF12" s="13">
        <f t="shared" si="10"/>
        <v>6.4488555302982392E-2</v>
      </c>
      <c r="BG12" s="13">
        <f t="shared" si="11"/>
        <v>7.3569556737668436E-3</v>
      </c>
      <c r="BH12" s="13">
        <f t="shared" si="12"/>
        <v>0</v>
      </c>
      <c r="BI12" s="13">
        <f t="shared" si="13"/>
        <v>0.13642566420634272</v>
      </c>
      <c r="BJ12" s="13">
        <f t="shared" si="14"/>
        <v>0.13980124141603284</v>
      </c>
      <c r="BK12" s="13">
        <f t="shared" si="15"/>
        <v>2.3462463597525709E-2</v>
      </c>
      <c r="BL12" s="13">
        <f t="shared" si="16"/>
        <v>1.4095021401858907E-3</v>
      </c>
      <c r="BM12" s="13">
        <f t="shared" si="17"/>
        <v>0</v>
      </c>
      <c r="BN12" s="13">
        <f t="shared" si="18"/>
        <v>0</v>
      </c>
      <c r="BO12" s="12">
        <f t="shared" si="89"/>
        <v>0.99999999999999989</v>
      </c>
      <c r="BP12" s="13"/>
      <c r="BQ12" s="23">
        <f t="shared" si="90"/>
        <v>1.6892019316092199</v>
      </c>
      <c r="BR12" s="13">
        <f t="shared" si="19"/>
        <v>2.3563681553748182E-2</v>
      </c>
      <c r="BS12" s="13">
        <f t="shared" si="20"/>
        <v>0.43938582288538047</v>
      </c>
      <c r="BT12" s="13">
        <f t="shared" si="21"/>
        <v>0</v>
      </c>
      <c r="BU12" s="13">
        <f t="shared" si="22"/>
        <v>0.12817042907400925</v>
      </c>
      <c r="BV12" s="13">
        <f t="shared" si="91"/>
        <v>0.10436560651873075</v>
      </c>
      <c r="BW12" s="24">
        <f t="shared" si="92"/>
        <v>3.571857692035714E-2</v>
      </c>
      <c r="BX12" s="13">
        <f t="shared" si="23"/>
        <v>0</v>
      </c>
      <c r="BY12" s="13">
        <f t="shared" si="24"/>
        <v>0.22089521467333278</v>
      </c>
      <c r="BZ12" s="13">
        <f t="shared" si="25"/>
        <v>0.22616787894473714</v>
      </c>
      <c r="CA12" s="13">
        <f t="shared" si="26"/>
        <v>3.7958430567429022E-2</v>
      </c>
      <c r="CB12" s="13">
        <f t="shared" si="27"/>
        <v>2.2810798762481575E-3</v>
      </c>
      <c r="CC12" s="13">
        <f t="shared" si="28"/>
        <v>0</v>
      </c>
      <c r="CD12" s="13">
        <f t="shared" si="93"/>
        <v>0</v>
      </c>
      <c r="CE12" s="12">
        <f t="shared" si="94"/>
        <v>2.767624469184105</v>
      </c>
      <c r="CF12" s="13"/>
      <c r="CG12" s="23">
        <f t="shared" si="29"/>
        <v>0.61034361793570802</v>
      </c>
      <c r="CH12" s="13">
        <f t="shared" si="29"/>
        <v>8.5140458238161017E-3</v>
      </c>
      <c r="CI12" s="13">
        <f t="shared" si="29"/>
        <v>0.15875919142126652</v>
      </c>
      <c r="CJ12" s="13">
        <f t="shared" si="29"/>
        <v>0</v>
      </c>
      <c r="CK12" s="13">
        <f t="shared" si="29"/>
        <v>4.6310628664080956E-2</v>
      </c>
      <c r="CL12" s="13">
        <f t="shared" si="29"/>
        <v>3.7709453605711797E-2</v>
      </c>
      <c r="CM12" s="13">
        <f t="shared" si="29"/>
        <v>1.2905861079804288E-2</v>
      </c>
      <c r="CN12" s="13">
        <f t="shared" si="29"/>
        <v>0</v>
      </c>
      <c r="CO12" s="13">
        <f t="shared" si="29"/>
        <v>7.9814012750961352E-2</v>
      </c>
      <c r="CP12" s="13">
        <f t="shared" si="29"/>
        <v>8.1719135476284968E-2</v>
      </c>
      <c r="CQ12" s="13">
        <f t="shared" si="29"/>
        <v>1.3715166558929563E-2</v>
      </c>
      <c r="CR12" s="13">
        <f t="shared" si="29"/>
        <v>8.2420136895256576E-4</v>
      </c>
      <c r="CS12" s="13">
        <f t="shared" si="29"/>
        <v>0</v>
      </c>
      <c r="CT12" s="13">
        <f t="shared" si="29"/>
        <v>0</v>
      </c>
      <c r="CU12" s="12">
        <f t="shared" si="30"/>
        <v>1</v>
      </c>
      <c r="CV12" s="26"/>
      <c r="CW12" s="23">
        <f t="shared" si="31"/>
        <v>0.84460096580460997</v>
      </c>
      <c r="CX12" s="13">
        <f t="shared" si="32"/>
        <v>1.1781840776874091E-2</v>
      </c>
      <c r="CY12" s="13">
        <f t="shared" si="33"/>
        <v>0.29292388192358698</v>
      </c>
      <c r="CZ12" s="13">
        <f t="shared" si="34"/>
        <v>0</v>
      </c>
      <c r="DA12" s="13">
        <f t="shared" si="35"/>
        <v>0.17270194986072424</v>
      </c>
      <c r="DB12" s="13">
        <f t="shared" si="36"/>
        <v>0.10436560651873075</v>
      </c>
      <c r="DC12" s="24">
        <f t="shared" si="37"/>
        <v>2.3812384613571429E-2</v>
      </c>
      <c r="DD12" s="13">
        <f t="shared" si="38"/>
        <v>0</v>
      </c>
      <c r="DE12" s="13">
        <f t="shared" si="39"/>
        <v>0.22089521467333278</v>
      </c>
      <c r="DF12" s="13">
        <f t="shared" si="40"/>
        <v>0.22616787894473714</v>
      </c>
      <c r="DG12" s="13">
        <f t="shared" si="41"/>
        <v>7.5916861134858044E-2</v>
      </c>
      <c r="DH12" s="13">
        <f t="shared" si="42"/>
        <v>4.5621597524963149E-3</v>
      </c>
      <c r="DI12" s="13">
        <f t="shared" si="43"/>
        <v>0</v>
      </c>
      <c r="DJ12" s="13">
        <f t="shared" si="95"/>
        <v>0</v>
      </c>
      <c r="DK12" s="12">
        <f t="shared" si="96"/>
        <v>1.8495507528712194</v>
      </c>
      <c r="DL12" s="26"/>
      <c r="DM12" s="23">
        <f t="shared" si="97"/>
        <v>0.45665195426157518</v>
      </c>
      <c r="DN12" s="13">
        <f t="shared" si="44"/>
        <v>6.3701094758195249E-3</v>
      </c>
      <c r="DO12" s="13">
        <f t="shared" si="44"/>
        <v>0.15837569283722311</v>
      </c>
      <c r="DP12" s="13">
        <f t="shared" si="44"/>
        <v>0</v>
      </c>
      <c r="DQ12" s="13">
        <f t="shared" si="44"/>
        <v>9.3375080187782844E-2</v>
      </c>
      <c r="DR12" s="13">
        <f t="shared" si="44"/>
        <v>5.6427544016683456E-2</v>
      </c>
      <c r="DS12" s="13">
        <f t="shared" si="44"/>
        <v>1.2874685691433654E-2</v>
      </c>
      <c r="DT12" s="13">
        <f t="shared" si="44"/>
        <v>0</v>
      </c>
      <c r="DU12" s="13">
        <f t="shared" si="44"/>
        <v>0.11943182112219296</v>
      </c>
      <c r="DV12" s="13">
        <f t="shared" si="44"/>
        <v>0.12228260219063303</v>
      </c>
      <c r="DW12" s="13">
        <f t="shared" si="44"/>
        <v>4.1046108638546769E-2</v>
      </c>
      <c r="DX12" s="13">
        <f t="shared" si="44"/>
        <v>2.4666312862267094E-3</v>
      </c>
      <c r="DY12" s="13">
        <f t="shared" si="44"/>
        <v>0</v>
      </c>
      <c r="DZ12" s="13">
        <f t="shared" si="44"/>
        <v>0</v>
      </c>
      <c r="EA12" s="12">
        <f t="shared" si="45"/>
        <v>1</v>
      </c>
      <c r="EB12" s="26"/>
      <c r="EC12" s="30">
        <f t="shared" si="46"/>
        <v>1323</v>
      </c>
      <c r="ED12" s="14">
        <f t="shared" si="98"/>
        <v>100000</v>
      </c>
      <c r="EE12" s="29"/>
      <c r="EF12" s="184">
        <f t="shared" si="122"/>
        <v>-10.034236583522297</v>
      </c>
      <c r="EG12" s="13">
        <f t="shared" si="99"/>
        <v>0.2</v>
      </c>
      <c r="EH12" s="13">
        <f t="shared" si="100"/>
        <v>-0.55073393801965054</v>
      </c>
      <c r="EI12" s="12">
        <f t="shared" si="47"/>
        <v>4.0414996220710524</v>
      </c>
      <c r="EJ12" s="29"/>
      <c r="EK12" s="28">
        <f t="shared" si="101"/>
        <v>-2.1711591737315006</v>
      </c>
      <c r="EL12" s="24">
        <f t="shared" si="102"/>
        <v>-0.94275257218041708</v>
      </c>
      <c r="EM12" s="24">
        <f t="shared" si="103"/>
        <v>0.11404534189626053</v>
      </c>
      <c r="EN12" s="24">
        <f t="shared" si="104"/>
        <v>6.4488555302982392E-2</v>
      </c>
      <c r="EO12" s="24">
        <f t="shared" si="105"/>
        <v>7.3546193379245318E-3</v>
      </c>
      <c r="EP12" s="24">
        <f t="shared" si="106"/>
        <v>0.18572788378146812</v>
      </c>
      <c r="EQ12" s="24">
        <f t="shared" si="107"/>
        <v>-2.1708415550047366</v>
      </c>
      <c r="ER12" s="24">
        <f t="shared" si="48"/>
        <v>-23.102656377161392</v>
      </c>
      <c r="ES12" s="25">
        <f t="shared" si="49"/>
        <v>-10.031548578880326</v>
      </c>
      <c r="ET12" s="26"/>
      <c r="EU12" s="23">
        <f t="shared" si="123"/>
        <v>-3.2134037142581846</v>
      </c>
      <c r="EV12" s="12">
        <f t="shared" si="50"/>
        <v>6.1140737592713101E-4</v>
      </c>
      <c r="EW12" s="26"/>
      <c r="EX12" s="27">
        <f t="shared" si="108"/>
        <v>1.9562303872579508E-2</v>
      </c>
      <c r="EY12" s="26"/>
      <c r="EZ12" s="23">
        <f t="shared" si="51"/>
        <v>-3.5202195889606056</v>
      </c>
      <c r="FA12" s="13">
        <f t="shared" si="52"/>
        <v>15.573166690396192</v>
      </c>
      <c r="FB12" s="13">
        <f t="shared" si="53"/>
        <v>-21.845149910644157</v>
      </c>
      <c r="FC12" s="13">
        <f t="shared" si="54"/>
        <v>-5.2708309635869384</v>
      </c>
      <c r="FD12" s="12">
        <f t="shared" si="55"/>
        <v>5.1130604484224129E-3</v>
      </c>
      <c r="FE12" s="13"/>
      <c r="FF12" s="23">
        <f t="shared" si="56"/>
        <v>-5.9441390251889956</v>
      </c>
      <c r="FG12" s="13">
        <f t="shared" si="57"/>
        <v>11.493162261792662</v>
      </c>
      <c r="FH12" s="13">
        <f t="shared" si="58"/>
        <v>12.010989548537111</v>
      </c>
      <c r="FI12" s="24">
        <f t="shared" si="109"/>
        <v>2.332458701084783E-3</v>
      </c>
      <c r="FJ12" s="25">
        <f t="shared" si="59"/>
        <v>7.6440389183248802E-3</v>
      </c>
      <c r="FK12" s="13"/>
      <c r="FL12" s="23">
        <f t="shared" si="110"/>
        <v>10.812353426545826</v>
      </c>
      <c r="FM12" s="13">
        <f t="shared" si="124"/>
        <v>-6.1888007623207031</v>
      </c>
      <c r="FN12" s="13">
        <f t="shared" si="111"/>
        <v>-3.067318978178065</v>
      </c>
      <c r="FO12" s="13">
        <f t="shared" si="60"/>
        <v>8.5567579587031428E-4</v>
      </c>
      <c r="FP12" s="23">
        <f t="shared" si="112"/>
        <v>-3.0674015178606062</v>
      </c>
      <c r="FQ12" s="13">
        <f t="shared" si="113"/>
        <v>8.5551332528055468E-4</v>
      </c>
      <c r="FR12" s="13">
        <f t="shared" si="114"/>
        <v>-3.0673691671425409</v>
      </c>
      <c r="FS12" s="13">
        <f t="shared" si="115"/>
        <v>8.5557700055638453E-4</v>
      </c>
      <c r="FT12" s="13">
        <f t="shared" si="116"/>
        <v>-3.0674098322974892</v>
      </c>
      <c r="FU12" s="12">
        <f t="shared" si="117"/>
        <v>8.554969609042562E-4</v>
      </c>
      <c r="FV12" s="22"/>
      <c r="FW12" s="11">
        <f t="shared" si="61"/>
        <v>0.2</v>
      </c>
      <c r="FX12" s="10">
        <f t="shared" si="62"/>
        <v>-0.55073393801965054</v>
      </c>
      <c r="FY12" s="10">
        <f t="shared" si="63"/>
        <v>4.0414996220710524</v>
      </c>
      <c r="FZ12" s="5">
        <f t="shared" si="64"/>
        <v>-10.034236583522297</v>
      </c>
      <c r="GA12" s="10">
        <f t="shared" si="65"/>
        <v>0.18572788378146812</v>
      </c>
      <c r="GB12" s="9">
        <f t="shared" si="118"/>
        <v>10.812353426545826</v>
      </c>
      <c r="GC12" s="8">
        <f t="shared" si="119"/>
        <v>-6.1888007623207031</v>
      </c>
      <c r="GD12" s="8">
        <f t="shared" si="120"/>
        <v>8.5567579587031428E-4</v>
      </c>
      <c r="GE12" s="7">
        <f t="shared" si="121"/>
        <v>8.5551332528055468E-4</v>
      </c>
      <c r="GF12" s="6">
        <f t="shared" si="66"/>
        <v>2.332458701084783E-3</v>
      </c>
      <c r="GG12" s="5">
        <f t="shared" si="67"/>
        <v>7.6440389183248802E-3</v>
      </c>
      <c r="GH12" s="4">
        <f t="shared" si="68"/>
        <v>5.1130604484224129E-3</v>
      </c>
      <c r="GI12" s="4">
        <f t="shared" si="69"/>
        <v>1.9562303872579508E-2</v>
      </c>
      <c r="GJ12" s="4">
        <f t="shared" si="70"/>
        <v>6.1140737592713101E-4</v>
      </c>
      <c r="GK12" s="1"/>
    </row>
    <row r="13" spans="1:193" x14ac:dyDescent="0.4">
      <c r="A13" s="34"/>
      <c r="B13" s="21"/>
      <c r="C13" s="21"/>
      <c r="D13" s="34"/>
      <c r="E13" s="34"/>
      <c r="F13" s="20" t="s">
        <v>82</v>
      </c>
      <c r="G13" s="19">
        <v>1050</v>
      </c>
      <c r="H13" s="18">
        <v>1E-4</v>
      </c>
      <c r="I13" s="17">
        <v>0.6</v>
      </c>
      <c r="J13" s="16">
        <v>49.6</v>
      </c>
      <c r="K13" s="16">
        <v>0.92</v>
      </c>
      <c r="L13" s="16">
        <v>14.6</v>
      </c>
      <c r="M13" s="16">
        <v>0</v>
      </c>
      <c r="N13" s="16">
        <v>9</v>
      </c>
      <c r="O13" s="16">
        <v>0</v>
      </c>
      <c r="P13" s="16">
        <v>8.6999999999999993</v>
      </c>
      <c r="Q13" s="16">
        <v>12.4</v>
      </c>
      <c r="R13" s="16">
        <v>2.2999999999999998</v>
      </c>
      <c r="S13" s="16">
        <v>0.21</v>
      </c>
      <c r="T13" s="16">
        <v>0</v>
      </c>
      <c r="U13" s="15">
        <v>0</v>
      </c>
      <c r="V13" s="16"/>
      <c r="W13" s="28">
        <f t="shared" si="71"/>
        <v>50.752072035199014</v>
      </c>
      <c r="X13" s="24">
        <f t="shared" si="0"/>
        <v>0.94136907807223991</v>
      </c>
      <c r="Y13" s="24">
        <f t="shared" si="0"/>
        <v>14.939117978102937</v>
      </c>
      <c r="Z13" s="24">
        <f t="shared" si="0"/>
        <v>0</v>
      </c>
      <c r="AA13" s="24">
        <f t="shared" si="0"/>
        <v>9.209045328967564</v>
      </c>
      <c r="AB13" s="24">
        <f t="shared" si="0"/>
        <v>0</v>
      </c>
      <c r="AC13" s="24">
        <f t="shared" si="0"/>
        <v>8.9020771513353107</v>
      </c>
      <c r="AD13" s="24">
        <f t="shared" si="0"/>
        <v>12.688018008799753</v>
      </c>
      <c r="AE13" s="24">
        <f t="shared" si="0"/>
        <v>2.3534226951805994</v>
      </c>
      <c r="AF13" s="24">
        <f t="shared" si="0"/>
        <v>0.21487772434257646</v>
      </c>
      <c r="AG13" s="24">
        <f t="shared" si="0"/>
        <v>0</v>
      </c>
      <c r="AH13" s="24">
        <f t="shared" si="0"/>
        <v>0</v>
      </c>
      <c r="AI13" s="14">
        <f t="shared" si="72"/>
        <v>99.999999999999986</v>
      </c>
      <c r="AJ13" s="26"/>
      <c r="AK13" s="50">
        <f t="shared" si="73"/>
        <v>0.84460096580460997</v>
      </c>
      <c r="AL13" s="47">
        <f t="shared" si="74"/>
        <v>1.1781840776874091E-2</v>
      </c>
      <c r="AM13" s="47">
        <f t="shared" si="75"/>
        <v>0.14651939954985227</v>
      </c>
      <c r="AN13" s="49">
        <f t="shared" si="76"/>
        <v>0</v>
      </c>
      <c r="AO13" s="49">
        <f t="shared" si="77"/>
        <v>0.12817042907400925</v>
      </c>
      <c r="AP13" s="47">
        <f t="shared" si="78"/>
        <v>0</v>
      </c>
      <c r="AQ13" s="47">
        <f t="shared" si="79"/>
        <v>0.2207856436343083</v>
      </c>
      <c r="AR13" s="47">
        <f t="shared" si="80"/>
        <v>0.22624853796005268</v>
      </c>
      <c r="AS13" s="47">
        <f t="shared" si="81"/>
        <v>3.7970679173614061E-2</v>
      </c>
      <c r="AT13" s="47">
        <f t="shared" si="82"/>
        <v>2.2810798762481575E-3</v>
      </c>
      <c r="AU13" s="47">
        <f t="shared" si="83"/>
        <v>0</v>
      </c>
      <c r="AV13" s="47">
        <f t="shared" si="84"/>
        <v>0</v>
      </c>
      <c r="AW13" s="47">
        <f t="shared" si="85"/>
        <v>1.6183585758495689</v>
      </c>
      <c r="AX13" s="47">
        <f t="shared" si="86"/>
        <v>0.10066661057324512</v>
      </c>
      <c r="AY13" s="46">
        <f t="shared" si="87"/>
        <v>1.3756277808019871E-2</v>
      </c>
      <c r="AZ13" s="26"/>
      <c r="BA13" s="23">
        <f t="shared" si="88"/>
        <v>0.52188741012555306</v>
      </c>
      <c r="BB13" s="13">
        <f t="shared" si="6"/>
        <v>7.2801176158930848E-3</v>
      </c>
      <c r="BC13" s="13">
        <f t="shared" si="7"/>
        <v>9.0535806919635142E-2</v>
      </c>
      <c r="BD13" s="13">
        <f t="shared" si="8"/>
        <v>0</v>
      </c>
      <c r="BE13" s="13">
        <f t="shared" si="9"/>
        <v>7.9197793978831463E-2</v>
      </c>
      <c r="BF13" s="13">
        <f t="shared" si="10"/>
        <v>6.2202908598546811E-2</v>
      </c>
      <c r="BG13" s="13">
        <f t="shared" si="11"/>
        <v>8.5001420657337418E-3</v>
      </c>
      <c r="BH13" s="13">
        <f t="shared" si="12"/>
        <v>0</v>
      </c>
      <c r="BI13" s="13">
        <f t="shared" si="13"/>
        <v>0.13642566420634272</v>
      </c>
      <c r="BJ13" s="13">
        <f t="shared" si="14"/>
        <v>0.13980124141603284</v>
      </c>
      <c r="BK13" s="13">
        <f t="shared" si="15"/>
        <v>2.3462463597525709E-2</v>
      </c>
      <c r="BL13" s="13">
        <f t="shared" si="16"/>
        <v>1.4095021401858907E-3</v>
      </c>
      <c r="BM13" s="13">
        <f t="shared" si="17"/>
        <v>0</v>
      </c>
      <c r="BN13" s="13">
        <f t="shared" si="18"/>
        <v>0</v>
      </c>
      <c r="BO13" s="12">
        <f t="shared" si="89"/>
        <v>0.99999999999999989</v>
      </c>
      <c r="BP13" s="13"/>
      <c r="BQ13" s="23">
        <f t="shared" si="90"/>
        <v>1.6892019316092199</v>
      </c>
      <c r="BR13" s="13">
        <f t="shared" si="19"/>
        <v>2.3563681553748182E-2</v>
      </c>
      <c r="BS13" s="13">
        <f t="shared" si="20"/>
        <v>0.43938582288538047</v>
      </c>
      <c r="BT13" s="13">
        <f t="shared" si="21"/>
        <v>0</v>
      </c>
      <c r="BU13" s="13">
        <f t="shared" si="22"/>
        <v>0.12817042907400925</v>
      </c>
      <c r="BV13" s="13">
        <f t="shared" si="91"/>
        <v>0.10066661057324512</v>
      </c>
      <c r="BW13" s="24">
        <f t="shared" si="92"/>
        <v>4.1268833424059612E-2</v>
      </c>
      <c r="BX13" s="13">
        <f t="shared" si="23"/>
        <v>0</v>
      </c>
      <c r="BY13" s="13">
        <f t="shared" si="24"/>
        <v>0.22089521467333278</v>
      </c>
      <c r="BZ13" s="13">
        <f t="shared" si="25"/>
        <v>0.22616787894473714</v>
      </c>
      <c r="CA13" s="13">
        <f t="shared" si="26"/>
        <v>3.7958430567429022E-2</v>
      </c>
      <c r="CB13" s="13">
        <f t="shared" si="27"/>
        <v>2.2810798762481575E-3</v>
      </c>
      <c r="CC13" s="13">
        <f t="shared" si="28"/>
        <v>0</v>
      </c>
      <c r="CD13" s="13">
        <f t="shared" si="93"/>
        <v>0</v>
      </c>
      <c r="CE13" s="12">
        <f t="shared" si="94"/>
        <v>2.767624469184105</v>
      </c>
      <c r="CF13" s="13"/>
      <c r="CG13" s="23">
        <f t="shared" si="29"/>
        <v>0.61034361793570802</v>
      </c>
      <c r="CH13" s="13">
        <f t="shared" si="29"/>
        <v>8.5140458238161017E-3</v>
      </c>
      <c r="CI13" s="13">
        <f t="shared" si="29"/>
        <v>0.15875919142126652</v>
      </c>
      <c r="CJ13" s="13">
        <f t="shared" si="29"/>
        <v>0</v>
      </c>
      <c r="CK13" s="13">
        <f t="shared" si="29"/>
        <v>4.6310628664080956E-2</v>
      </c>
      <c r="CL13" s="13">
        <f t="shared" si="29"/>
        <v>3.6372929815482381E-2</v>
      </c>
      <c r="CM13" s="13">
        <f t="shared" si="29"/>
        <v>1.491128362375899E-2</v>
      </c>
      <c r="CN13" s="13">
        <f t="shared" si="29"/>
        <v>0</v>
      </c>
      <c r="CO13" s="13">
        <f t="shared" si="29"/>
        <v>7.9814012750961352E-2</v>
      </c>
      <c r="CP13" s="13">
        <f t="shared" si="29"/>
        <v>8.1719135476284968E-2</v>
      </c>
      <c r="CQ13" s="13">
        <f t="shared" si="29"/>
        <v>1.3715166558929563E-2</v>
      </c>
      <c r="CR13" s="13">
        <f t="shared" si="29"/>
        <v>8.2420136895256576E-4</v>
      </c>
      <c r="CS13" s="13">
        <f t="shared" si="29"/>
        <v>0</v>
      </c>
      <c r="CT13" s="13">
        <f t="shared" si="29"/>
        <v>0</v>
      </c>
      <c r="CU13" s="12">
        <f t="shared" si="30"/>
        <v>1</v>
      </c>
      <c r="CV13" s="26"/>
      <c r="CW13" s="23">
        <f t="shared" si="31"/>
        <v>0.84460096580460997</v>
      </c>
      <c r="CX13" s="13">
        <f t="shared" si="32"/>
        <v>1.1781840776874091E-2</v>
      </c>
      <c r="CY13" s="13">
        <f t="shared" si="33"/>
        <v>0.29292388192358698</v>
      </c>
      <c r="CZ13" s="13">
        <f t="shared" si="34"/>
        <v>0</v>
      </c>
      <c r="DA13" s="13">
        <f t="shared" si="35"/>
        <v>0.17270194986072424</v>
      </c>
      <c r="DB13" s="13">
        <f t="shared" si="36"/>
        <v>0.10066661057324512</v>
      </c>
      <c r="DC13" s="24">
        <f t="shared" si="37"/>
        <v>2.7512555616039741E-2</v>
      </c>
      <c r="DD13" s="13">
        <f t="shared" si="38"/>
        <v>0</v>
      </c>
      <c r="DE13" s="13">
        <f t="shared" si="39"/>
        <v>0.22089521467333278</v>
      </c>
      <c r="DF13" s="13">
        <f t="shared" si="40"/>
        <v>0.22616787894473714</v>
      </c>
      <c r="DG13" s="13">
        <f t="shared" si="41"/>
        <v>7.5916861134858044E-2</v>
      </c>
      <c r="DH13" s="13">
        <f t="shared" si="42"/>
        <v>4.5621597524963149E-3</v>
      </c>
      <c r="DI13" s="13">
        <f t="shared" si="43"/>
        <v>0</v>
      </c>
      <c r="DJ13" s="13">
        <f t="shared" si="95"/>
        <v>0</v>
      </c>
      <c r="DK13" s="12">
        <f>IF(SUM(CW13:DA13,DD13:DJ13)=0,"",SUM(CW13:DA13,DD13:DJ13))</f>
        <v>1.8495507528712194</v>
      </c>
      <c r="DL13" s="26"/>
      <c r="DM13" s="23">
        <f t="shared" si="97"/>
        <v>0.45665195426157518</v>
      </c>
      <c r="DN13" s="13">
        <f t="shared" si="44"/>
        <v>6.3701094758195249E-3</v>
      </c>
      <c r="DO13" s="13">
        <f t="shared" si="44"/>
        <v>0.15837569283722311</v>
      </c>
      <c r="DP13" s="13">
        <f t="shared" si="44"/>
        <v>0</v>
      </c>
      <c r="DQ13" s="13">
        <f t="shared" si="44"/>
        <v>9.3375080187782844E-2</v>
      </c>
      <c r="DR13" s="13">
        <f t="shared" si="44"/>
        <v>5.4427601090141234E-2</v>
      </c>
      <c r="DS13" s="13">
        <f t="shared" si="44"/>
        <v>1.4875263938191259E-2</v>
      </c>
      <c r="DT13" s="13">
        <f t="shared" si="44"/>
        <v>0</v>
      </c>
      <c r="DU13" s="13">
        <f t="shared" si="44"/>
        <v>0.11943182112219296</v>
      </c>
      <c r="DV13" s="13">
        <f t="shared" si="44"/>
        <v>0.12228260219063303</v>
      </c>
      <c r="DW13" s="13">
        <f t="shared" si="44"/>
        <v>4.1046108638546769E-2</v>
      </c>
      <c r="DX13" s="13">
        <f t="shared" si="44"/>
        <v>2.4666312862267094E-3</v>
      </c>
      <c r="DY13" s="13">
        <f t="shared" si="44"/>
        <v>0</v>
      </c>
      <c r="DZ13" s="13">
        <f t="shared" si="44"/>
        <v>0</v>
      </c>
      <c r="EA13" s="12">
        <f t="shared" si="45"/>
        <v>1</v>
      </c>
      <c r="EB13" s="26"/>
      <c r="EC13" s="30">
        <f t="shared" si="46"/>
        <v>1323</v>
      </c>
      <c r="ED13" s="14">
        <f t="shared" si="98"/>
        <v>100000</v>
      </c>
      <c r="EE13" s="29"/>
      <c r="EF13" s="184">
        <f t="shared" si="122"/>
        <v>-9.6342365835222967</v>
      </c>
      <c r="EG13" s="13">
        <f t="shared" si="99"/>
        <v>0.6</v>
      </c>
      <c r="EH13" s="13">
        <f t="shared" si="100"/>
        <v>-0.15073393801965018</v>
      </c>
      <c r="EI13" s="12">
        <f t="shared" si="47"/>
        <v>4.4414996220710528</v>
      </c>
      <c r="EJ13" s="29"/>
      <c r="EK13" s="28">
        <f t="shared" si="101"/>
        <v>-1.9906365024407682</v>
      </c>
      <c r="EL13" s="24">
        <f t="shared" si="102"/>
        <v>-0.86436669667423716</v>
      </c>
      <c r="EM13" s="24">
        <f t="shared" si="103"/>
        <v>0.13660844615778694</v>
      </c>
      <c r="EN13" s="24">
        <f t="shared" si="104"/>
        <v>6.2202908598546811E-2</v>
      </c>
      <c r="EO13" s="24">
        <f t="shared" si="105"/>
        <v>8.4974426901423244E-3</v>
      </c>
      <c r="EP13" s="24">
        <f t="shared" si="106"/>
        <v>0.21458786320269427</v>
      </c>
      <c r="EQ13" s="24">
        <f t="shared" si="107"/>
        <v>-1.9903188837140044</v>
      </c>
      <c r="ER13" s="24">
        <f t="shared" si="48"/>
        <v>-22.181622339963774</v>
      </c>
      <c r="ES13" s="25">
        <f t="shared" si="49"/>
        <v>-9.6316206426243056</v>
      </c>
      <c r="ET13" s="26"/>
      <c r="EU13" s="23">
        <f t="shared" si="123"/>
        <v>-2.5862037142581862</v>
      </c>
      <c r="EV13" s="12">
        <f t="shared" si="50"/>
        <v>2.5862567297897376E-3</v>
      </c>
      <c r="EW13" s="26"/>
      <c r="EX13" s="27">
        <f t="shared" si="108"/>
        <v>0.11181576977811693</v>
      </c>
      <c r="EY13" s="26"/>
      <c r="EZ13" s="23">
        <f t="shared" si="51"/>
        <v>-3.5202195889606056</v>
      </c>
      <c r="FA13" s="13">
        <f t="shared" si="52"/>
        <v>15.548224091539087</v>
      </c>
      <c r="FB13" s="13">
        <f t="shared" si="53"/>
        <v>-21.845149910644157</v>
      </c>
      <c r="FC13" s="13">
        <f t="shared" si="54"/>
        <v>-3.4537054880488043</v>
      </c>
      <c r="FD13" s="12">
        <f t="shared" si="55"/>
        <v>3.0658545718096897E-2</v>
      </c>
      <c r="FE13" s="13"/>
      <c r="FF13" s="23">
        <f t="shared" si="56"/>
        <v>-5.9696339994097221</v>
      </c>
      <c r="FG13" s="13">
        <f t="shared" si="57"/>
        <v>11.493162261792662</v>
      </c>
      <c r="FH13" s="13">
        <f t="shared" si="58"/>
        <v>12.010989548537111</v>
      </c>
      <c r="FI13" s="24">
        <f t="shared" si="109"/>
        <v>1.5402171950839039E-2</v>
      </c>
      <c r="FJ13" s="25">
        <f t="shared" si="59"/>
        <v>4.9014467728860422E-2</v>
      </c>
      <c r="FK13" s="13"/>
      <c r="FL13" s="23">
        <f t="shared" si="110"/>
        <v>10.812353426545826</v>
      </c>
      <c r="FM13" s="13">
        <f t="shared" si="124"/>
        <v>-6.2062168804522075</v>
      </c>
      <c r="FN13" s="13">
        <f t="shared" si="111"/>
        <v>-2.2499028600465607</v>
      </c>
      <c r="FO13" s="13">
        <f t="shared" si="60"/>
        <v>5.5932112242644827E-3</v>
      </c>
      <c r="FP13" s="23">
        <f t="shared" si="112"/>
        <v>-2.2499853997291019</v>
      </c>
      <c r="FQ13" s="13">
        <f t="shared" si="113"/>
        <v>5.592154253496795E-3</v>
      </c>
      <c r="FR13" s="13">
        <f t="shared" si="114"/>
        <v>-2.2499530490110367</v>
      </c>
      <c r="FS13" s="13">
        <f t="shared" si="115"/>
        <v>5.5925685004212244E-3</v>
      </c>
      <c r="FT13" s="13">
        <f t="shared" si="116"/>
        <v>-2.2499937141659849</v>
      </c>
      <c r="FU13" s="12">
        <f t="shared" si="117"/>
        <v>5.5920477930944124E-3</v>
      </c>
      <c r="FV13" s="22"/>
      <c r="FW13" s="11">
        <f t="shared" si="61"/>
        <v>0.6</v>
      </c>
      <c r="FX13" s="10">
        <f t="shared" si="62"/>
        <v>-0.15073393801965018</v>
      </c>
      <c r="FY13" s="10">
        <f t="shared" si="63"/>
        <v>4.4414996220710528</v>
      </c>
      <c r="FZ13" s="5">
        <f t="shared" si="64"/>
        <v>-9.6342365835222967</v>
      </c>
      <c r="GA13" s="10">
        <f t="shared" si="65"/>
        <v>0.21458786320269427</v>
      </c>
      <c r="GB13" s="9">
        <f t="shared" si="118"/>
        <v>10.812353426545826</v>
      </c>
      <c r="GC13" s="8">
        <f t="shared" si="119"/>
        <v>-6.2062168804522075</v>
      </c>
      <c r="GD13" s="8">
        <f t="shared" si="120"/>
        <v>5.5932112242644827E-3</v>
      </c>
      <c r="GE13" s="7">
        <f t="shared" si="121"/>
        <v>5.592154253496795E-3</v>
      </c>
      <c r="GF13" s="6">
        <f t="shared" si="66"/>
        <v>1.5402171950839039E-2</v>
      </c>
      <c r="GG13" s="5">
        <f t="shared" si="67"/>
        <v>4.9014467728860422E-2</v>
      </c>
      <c r="GH13" s="4">
        <f t="shared" si="68"/>
        <v>3.0658545718096897E-2</v>
      </c>
      <c r="GI13" s="4">
        <f t="shared" si="69"/>
        <v>0.11181576977811693</v>
      </c>
      <c r="GJ13" s="4">
        <f t="shared" si="70"/>
        <v>2.5862567297897376E-3</v>
      </c>
      <c r="GK13" s="1"/>
    </row>
    <row r="14" spans="1:193" x14ac:dyDescent="0.4">
      <c r="A14" s="34"/>
      <c r="B14" s="21"/>
      <c r="C14" s="21"/>
      <c r="D14" s="34"/>
      <c r="E14" s="34"/>
      <c r="F14" s="20" t="s">
        <v>82</v>
      </c>
      <c r="G14" s="19">
        <v>1050</v>
      </c>
      <c r="H14" s="18">
        <v>1E-4</v>
      </c>
      <c r="I14" s="17">
        <v>1</v>
      </c>
      <c r="J14" s="16">
        <v>49.6</v>
      </c>
      <c r="K14" s="16">
        <v>0.92</v>
      </c>
      <c r="L14" s="16">
        <v>14.6</v>
      </c>
      <c r="M14" s="16">
        <v>0</v>
      </c>
      <c r="N14" s="16">
        <v>9</v>
      </c>
      <c r="O14" s="16">
        <v>0</v>
      </c>
      <c r="P14" s="16">
        <v>8.6999999999999993</v>
      </c>
      <c r="Q14" s="16">
        <v>12.4</v>
      </c>
      <c r="R14" s="16">
        <v>2.2999999999999998</v>
      </c>
      <c r="S14" s="16">
        <v>0.21</v>
      </c>
      <c r="T14" s="16">
        <v>0</v>
      </c>
      <c r="U14" s="15">
        <v>0</v>
      </c>
      <c r="V14" s="16"/>
      <c r="W14" s="28">
        <f t="shared" si="71"/>
        <v>50.752072035199014</v>
      </c>
      <c r="X14" s="24">
        <f t="shared" si="0"/>
        <v>0.94136907807223991</v>
      </c>
      <c r="Y14" s="24">
        <f t="shared" si="0"/>
        <v>14.939117978102937</v>
      </c>
      <c r="Z14" s="24">
        <f t="shared" si="0"/>
        <v>0</v>
      </c>
      <c r="AA14" s="24">
        <f t="shared" si="0"/>
        <v>9.209045328967564</v>
      </c>
      <c r="AB14" s="24">
        <f t="shared" si="0"/>
        <v>0</v>
      </c>
      <c r="AC14" s="24">
        <f t="shared" si="0"/>
        <v>8.9020771513353107</v>
      </c>
      <c r="AD14" s="24">
        <f t="shared" si="0"/>
        <v>12.688018008799753</v>
      </c>
      <c r="AE14" s="24">
        <f t="shared" si="0"/>
        <v>2.3534226951805994</v>
      </c>
      <c r="AF14" s="24">
        <f t="shared" si="0"/>
        <v>0.21487772434257646</v>
      </c>
      <c r="AG14" s="24">
        <f t="shared" si="0"/>
        <v>0</v>
      </c>
      <c r="AH14" s="24">
        <f t="shared" si="0"/>
        <v>0</v>
      </c>
      <c r="AI14" s="14">
        <f t="shared" si="72"/>
        <v>99.999999999999986</v>
      </c>
      <c r="AJ14" s="26"/>
      <c r="AK14" s="50">
        <f t="shared" si="73"/>
        <v>0.84460096580460997</v>
      </c>
      <c r="AL14" s="47">
        <f t="shared" si="74"/>
        <v>1.1781840776874091E-2</v>
      </c>
      <c r="AM14" s="47">
        <f t="shared" si="75"/>
        <v>0.14651939954985227</v>
      </c>
      <c r="AN14" s="49">
        <f t="shared" si="76"/>
        <v>0</v>
      </c>
      <c r="AO14" s="49">
        <f t="shared" si="77"/>
        <v>0.12817042907400925</v>
      </c>
      <c r="AP14" s="47">
        <f t="shared" si="78"/>
        <v>0</v>
      </c>
      <c r="AQ14" s="47">
        <f t="shared" si="79"/>
        <v>0.2207856436343083</v>
      </c>
      <c r="AR14" s="47">
        <f t="shared" si="80"/>
        <v>0.22624853796005268</v>
      </c>
      <c r="AS14" s="47">
        <f t="shared" si="81"/>
        <v>3.7970679173614061E-2</v>
      </c>
      <c r="AT14" s="47">
        <f t="shared" si="82"/>
        <v>2.2810798762481575E-3</v>
      </c>
      <c r="AU14" s="47">
        <f t="shared" si="83"/>
        <v>0</v>
      </c>
      <c r="AV14" s="47">
        <f t="shared" si="84"/>
        <v>0</v>
      </c>
      <c r="AW14" s="47">
        <f t="shared" si="85"/>
        <v>1.6183585758495689</v>
      </c>
      <c r="AX14" s="47">
        <f t="shared" si="86"/>
        <v>9.6566886001741695E-2</v>
      </c>
      <c r="AY14" s="46">
        <f t="shared" si="87"/>
        <v>1.5806791271828526E-2</v>
      </c>
      <c r="AZ14" s="26"/>
      <c r="BA14" s="23">
        <f t="shared" si="88"/>
        <v>0.52188741012555306</v>
      </c>
      <c r="BB14" s="13">
        <f t="shared" si="6"/>
        <v>7.2801176158930848E-3</v>
      </c>
      <c r="BC14" s="13">
        <f t="shared" si="7"/>
        <v>9.0535806919635142E-2</v>
      </c>
      <c r="BD14" s="13">
        <f t="shared" si="8"/>
        <v>0</v>
      </c>
      <c r="BE14" s="13">
        <f t="shared" si="9"/>
        <v>7.9197793978831463E-2</v>
      </c>
      <c r="BF14" s="13">
        <f t="shared" si="10"/>
        <v>5.9669647655834379E-2</v>
      </c>
      <c r="BG14" s="13">
        <f t="shared" si="11"/>
        <v>9.7671749065442043E-3</v>
      </c>
      <c r="BH14" s="13">
        <f t="shared" si="12"/>
        <v>0</v>
      </c>
      <c r="BI14" s="13">
        <f t="shared" si="13"/>
        <v>0.13642566420634272</v>
      </c>
      <c r="BJ14" s="13">
        <f t="shared" si="14"/>
        <v>0.13980124141603284</v>
      </c>
      <c r="BK14" s="13">
        <f t="shared" si="15"/>
        <v>2.3462463597525709E-2</v>
      </c>
      <c r="BL14" s="13">
        <f t="shared" si="16"/>
        <v>1.4095021401858907E-3</v>
      </c>
      <c r="BM14" s="13">
        <f t="shared" si="17"/>
        <v>0</v>
      </c>
      <c r="BN14" s="13">
        <f t="shared" si="18"/>
        <v>0</v>
      </c>
      <c r="BO14" s="12">
        <f t="shared" si="89"/>
        <v>0.99999999999999989</v>
      </c>
      <c r="BP14" s="13"/>
      <c r="BQ14" s="23">
        <f t="shared" si="90"/>
        <v>1.6892019316092199</v>
      </c>
      <c r="BR14" s="13">
        <f t="shared" si="19"/>
        <v>2.3563681553748182E-2</v>
      </c>
      <c r="BS14" s="13">
        <f t="shared" si="20"/>
        <v>0.43938582288538047</v>
      </c>
      <c r="BT14" s="13">
        <f t="shared" si="21"/>
        <v>0</v>
      </c>
      <c r="BU14" s="13">
        <f t="shared" si="22"/>
        <v>0.12817042907400925</v>
      </c>
      <c r="BV14" s="13">
        <f t="shared" si="91"/>
        <v>9.6566886001741695E-2</v>
      </c>
      <c r="BW14" s="24">
        <f t="shared" si="92"/>
        <v>4.7420373815485577E-2</v>
      </c>
      <c r="BX14" s="13">
        <f t="shared" si="23"/>
        <v>0</v>
      </c>
      <c r="BY14" s="13">
        <f t="shared" si="24"/>
        <v>0.22089521467333278</v>
      </c>
      <c r="BZ14" s="13">
        <f t="shared" si="25"/>
        <v>0.22616787894473714</v>
      </c>
      <c r="CA14" s="13">
        <f t="shared" si="26"/>
        <v>3.7958430567429022E-2</v>
      </c>
      <c r="CB14" s="13">
        <f t="shared" si="27"/>
        <v>2.2810798762481575E-3</v>
      </c>
      <c r="CC14" s="13">
        <f t="shared" si="28"/>
        <v>0</v>
      </c>
      <c r="CD14" s="13">
        <f t="shared" si="93"/>
        <v>0</v>
      </c>
      <c r="CE14" s="12">
        <f t="shared" si="94"/>
        <v>2.767624469184105</v>
      </c>
      <c r="CF14" s="13"/>
      <c r="CG14" s="23">
        <f t="shared" si="29"/>
        <v>0.61034361793570802</v>
      </c>
      <c r="CH14" s="13">
        <f t="shared" si="29"/>
        <v>8.5140458238161017E-3</v>
      </c>
      <c r="CI14" s="13">
        <f t="shared" si="29"/>
        <v>0.15875919142126652</v>
      </c>
      <c r="CJ14" s="13">
        <f t="shared" si="29"/>
        <v>0</v>
      </c>
      <c r="CK14" s="13">
        <f t="shared" si="29"/>
        <v>4.6310628664080956E-2</v>
      </c>
      <c r="CL14" s="13">
        <f t="shared" si="29"/>
        <v>3.4891614479116664E-2</v>
      </c>
      <c r="CM14" s="13">
        <f t="shared" si="29"/>
        <v>1.7133962480634191E-2</v>
      </c>
      <c r="CN14" s="13">
        <f t="shared" si="29"/>
        <v>0</v>
      </c>
      <c r="CO14" s="13">
        <f t="shared" si="29"/>
        <v>7.9814012750961352E-2</v>
      </c>
      <c r="CP14" s="13">
        <f t="shared" si="29"/>
        <v>8.1719135476284968E-2</v>
      </c>
      <c r="CQ14" s="13">
        <f t="shared" si="29"/>
        <v>1.3715166558929563E-2</v>
      </c>
      <c r="CR14" s="13">
        <f t="shared" si="29"/>
        <v>8.2420136895256576E-4</v>
      </c>
      <c r="CS14" s="13">
        <f t="shared" si="29"/>
        <v>0</v>
      </c>
      <c r="CT14" s="13">
        <f t="shared" si="29"/>
        <v>0</v>
      </c>
      <c r="CU14" s="12">
        <f t="shared" si="30"/>
        <v>1</v>
      </c>
      <c r="CV14" s="26"/>
      <c r="CW14" s="23">
        <f t="shared" si="31"/>
        <v>0.84460096580460997</v>
      </c>
      <c r="CX14" s="13">
        <f t="shared" si="32"/>
        <v>1.1781840776874091E-2</v>
      </c>
      <c r="CY14" s="13">
        <f t="shared" si="33"/>
        <v>0.29292388192358698</v>
      </c>
      <c r="CZ14" s="13">
        <f t="shared" si="34"/>
        <v>0</v>
      </c>
      <c r="DA14" s="13">
        <f t="shared" si="35"/>
        <v>0.17270194986072424</v>
      </c>
      <c r="DB14" s="13">
        <f t="shared" si="36"/>
        <v>9.6566886001741695E-2</v>
      </c>
      <c r="DC14" s="24">
        <f t="shared" si="37"/>
        <v>3.1613582543657051E-2</v>
      </c>
      <c r="DD14" s="13">
        <f t="shared" si="38"/>
        <v>0</v>
      </c>
      <c r="DE14" s="13">
        <f t="shared" si="39"/>
        <v>0.22089521467333278</v>
      </c>
      <c r="DF14" s="13">
        <f t="shared" si="40"/>
        <v>0.22616787894473714</v>
      </c>
      <c r="DG14" s="13">
        <f t="shared" si="41"/>
        <v>7.5916861134858044E-2</v>
      </c>
      <c r="DH14" s="13">
        <f t="shared" si="42"/>
        <v>4.5621597524963149E-3</v>
      </c>
      <c r="DI14" s="13">
        <f t="shared" si="43"/>
        <v>0</v>
      </c>
      <c r="DJ14" s="13">
        <f t="shared" si="95"/>
        <v>0</v>
      </c>
      <c r="DK14" s="12">
        <f t="shared" si="96"/>
        <v>1.8495507528712194</v>
      </c>
      <c r="DL14" s="26"/>
      <c r="DM14" s="23">
        <f t="shared" si="97"/>
        <v>0.45665195426157518</v>
      </c>
      <c r="DN14" s="13">
        <f t="shared" si="44"/>
        <v>6.3701094758195249E-3</v>
      </c>
      <c r="DO14" s="13">
        <f t="shared" si="44"/>
        <v>0.15837569283722311</v>
      </c>
      <c r="DP14" s="13">
        <f t="shared" si="44"/>
        <v>0</v>
      </c>
      <c r="DQ14" s="13">
        <f t="shared" si="44"/>
        <v>9.3375080187782844E-2</v>
      </c>
      <c r="DR14" s="13">
        <f t="shared" si="44"/>
        <v>5.2210995481920389E-2</v>
      </c>
      <c r="DS14" s="13">
        <f t="shared" si="44"/>
        <v>1.7092573693682382E-2</v>
      </c>
      <c r="DT14" s="13">
        <f t="shared" si="44"/>
        <v>0</v>
      </c>
      <c r="DU14" s="13">
        <f t="shared" si="44"/>
        <v>0.11943182112219296</v>
      </c>
      <c r="DV14" s="13">
        <f t="shared" si="44"/>
        <v>0.12228260219063303</v>
      </c>
      <c r="DW14" s="13">
        <f t="shared" si="44"/>
        <v>4.1046108638546769E-2</v>
      </c>
      <c r="DX14" s="13">
        <f t="shared" si="44"/>
        <v>2.4666312862267094E-3</v>
      </c>
      <c r="DY14" s="13">
        <f t="shared" si="44"/>
        <v>0</v>
      </c>
      <c r="DZ14" s="13">
        <f t="shared" si="44"/>
        <v>0</v>
      </c>
      <c r="EA14" s="12">
        <f t="shared" si="45"/>
        <v>1</v>
      </c>
      <c r="EB14" s="26"/>
      <c r="EC14" s="30">
        <f t="shared" si="46"/>
        <v>1323</v>
      </c>
      <c r="ED14" s="14">
        <f t="shared" si="98"/>
        <v>100000</v>
      </c>
      <c r="EE14" s="29"/>
      <c r="EF14" s="184">
        <f t="shared" si="122"/>
        <v>-9.2342365835222964</v>
      </c>
      <c r="EG14" s="13">
        <f t="shared" si="99"/>
        <v>1</v>
      </c>
      <c r="EH14" s="13">
        <f>IF(EF14="","",24930/($EC14)-9.36-0.046*($ED14/100000)/($EC14)+$EF14)</f>
        <v>0.24926606198035017</v>
      </c>
      <c r="EI14" s="12">
        <f t="shared" si="47"/>
        <v>4.8414996220710531</v>
      </c>
      <c r="EJ14" s="29"/>
      <c r="EK14" s="28">
        <f t="shared" si="101"/>
        <v>-1.810113831150034</v>
      </c>
      <c r="EL14" s="24">
        <f t="shared" si="102"/>
        <v>-0.78598082116805645</v>
      </c>
      <c r="EM14" s="24">
        <f t="shared" si="103"/>
        <v>0.16363550892434051</v>
      </c>
      <c r="EN14" s="24">
        <f t="shared" si="104"/>
        <v>5.9669647655834379E-2</v>
      </c>
      <c r="EO14" s="24">
        <f t="shared" si="105"/>
        <v>9.7640731614985401E-3</v>
      </c>
      <c r="EP14" s="24">
        <f t="shared" si="106"/>
        <v>0.24657437211214114</v>
      </c>
      <c r="EQ14" s="24">
        <f t="shared" si="107"/>
        <v>-1.8097962124232703</v>
      </c>
      <c r="ER14" s="24">
        <f t="shared" si="48"/>
        <v>-21.260588302766148</v>
      </c>
      <c r="ES14" s="25">
        <f t="shared" si="49"/>
        <v>-9.2316927063682801</v>
      </c>
      <c r="ET14" s="26"/>
      <c r="EU14" s="23">
        <f t="shared" si="123"/>
        <v>-1.9590037142581842</v>
      </c>
      <c r="EV14" s="12">
        <f t="shared" si="50"/>
        <v>1.0870498017145125E-2</v>
      </c>
      <c r="EW14" s="26"/>
      <c r="EX14" s="27">
        <f t="shared" si="108"/>
        <v>0.44268836623770724</v>
      </c>
      <c r="EY14" s="26"/>
      <c r="EZ14" s="23">
        <f t="shared" si="51"/>
        <v>-3.5202195889606056</v>
      </c>
      <c r="FA14" s="13">
        <f t="shared" si="52"/>
        <v>15.520579350393476</v>
      </c>
      <c r="FB14" s="13">
        <f t="shared" si="53"/>
        <v>-21.845149910644157</v>
      </c>
      <c r="FC14" s="13">
        <f t="shared" si="54"/>
        <v>-1.6392821547991758</v>
      </c>
      <c r="FD14" s="12">
        <f t="shared" si="55"/>
        <v>0.1625627635648913</v>
      </c>
      <c r="FE14" s="13"/>
      <c r="FF14" s="23">
        <f t="shared" si="56"/>
        <v>-5.9978909571904184</v>
      </c>
      <c r="FG14" s="13">
        <f t="shared" si="57"/>
        <v>11.493162261792662</v>
      </c>
      <c r="FH14" s="13">
        <f t="shared" si="58"/>
        <v>12.010989548537111</v>
      </c>
      <c r="FI14" s="24">
        <f t="shared" si="109"/>
        <v>9.529836052474816E-2</v>
      </c>
      <c r="FJ14" s="25">
        <f t="shared" si="59"/>
        <v>0.25764379239844981</v>
      </c>
      <c r="FK14" s="13"/>
      <c r="FL14" s="23">
        <f t="shared" si="110"/>
        <v>10.812353426545826</v>
      </c>
      <c r="FM14" s="13">
        <f t="shared" si="124"/>
        <v>-6.2255204234821271</v>
      </c>
      <c r="FN14" s="13">
        <f t="shared" si="111"/>
        <v>-1.4305993170166396</v>
      </c>
      <c r="FO14" s="13">
        <f t="shared" si="60"/>
        <v>3.577495457038371E-2</v>
      </c>
      <c r="FP14" s="23">
        <f t="shared" si="112"/>
        <v>-1.4306818566991808</v>
      </c>
      <c r="FQ14" s="13">
        <f t="shared" si="113"/>
        <v>3.5768399193502387E-2</v>
      </c>
      <c r="FR14" s="13">
        <f t="shared" si="114"/>
        <v>-1.4306495059811155</v>
      </c>
      <c r="FS14" s="13">
        <f t="shared" si="115"/>
        <v>3.5770968379203127E-2</v>
      </c>
      <c r="FT14" s="13">
        <f t="shared" si="116"/>
        <v>-1.4306901711360638</v>
      </c>
      <c r="FU14" s="12">
        <f t="shared" si="117"/>
        <v>3.5767738917468317E-2</v>
      </c>
      <c r="FV14" s="22"/>
      <c r="FW14" s="11">
        <f t="shared" si="61"/>
        <v>1</v>
      </c>
      <c r="FX14" s="10">
        <f t="shared" si="62"/>
        <v>0.24926606198035017</v>
      </c>
      <c r="FY14" s="10">
        <f t="shared" si="63"/>
        <v>4.8414996220710531</v>
      </c>
      <c r="FZ14" s="5">
        <f t="shared" si="64"/>
        <v>-9.2342365835222964</v>
      </c>
      <c r="GA14" s="10">
        <f t="shared" si="65"/>
        <v>0.24657437211214114</v>
      </c>
      <c r="GB14" s="9">
        <f t="shared" si="118"/>
        <v>10.812353426545826</v>
      </c>
      <c r="GC14" s="8">
        <f t="shared" si="119"/>
        <v>-6.2255204234821271</v>
      </c>
      <c r="GD14" s="8">
        <f t="shared" si="120"/>
        <v>3.577495457038371E-2</v>
      </c>
      <c r="GE14" s="7">
        <f t="shared" si="121"/>
        <v>3.5768399193502387E-2</v>
      </c>
      <c r="GF14" s="6">
        <f t="shared" si="66"/>
        <v>9.529836052474816E-2</v>
      </c>
      <c r="GG14" s="5">
        <f t="shared" si="67"/>
        <v>0.25764379239844981</v>
      </c>
      <c r="GH14" s="4">
        <f t="shared" si="68"/>
        <v>0.1625627635648913</v>
      </c>
      <c r="GI14" s="4">
        <f t="shared" si="69"/>
        <v>0.44268836623770724</v>
      </c>
      <c r="GJ14" s="4">
        <f t="shared" si="70"/>
        <v>1.0870498017145125E-2</v>
      </c>
      <c r="GK14" s="1"/>
    </row>
    <row r="15" spans="1:193" x14ac:dyDescent="0.4">
      <c r="A15" s="34"/>
      <c r="B15" s="21"/>
      <c r="C15" s="21"/>
      <c r="D15" s="34"/>
      <c r="E15" s="34"/>
      <c r="F15" s="20" t="s">
        <v>82</v>
      </c>
      <c r="G15" s="19">
        <v>1050</v>
      </c>
      <c r="H15" s="18">
        <v>1E-4</v>
      </c>
      <c r="I15" s="17">
        <v>1.4</v>
      </c>
      <c r="J15" s="16">
        <v>49.6</v>
      </c>
      <c r="K15" s="16">
        <v>0.92</v>
      </c>
      <c r="L15" s="16">
        <v>14.6</v>
      </c>
      <c r="M15" s="16">
        <v>0</v>
      </c>
      <c r="N15" s="16">
        <v>9</v>
      </c>
      <c r="O15" s="16">
        <v>0</v>
      </c>
      <c r="P15" s="16">
        <v>8.6999999999999993</v>
      </c>
      <c r="Q15" s="16">
        <v>12.4</v>
      </c>
      <c r="R15" s="16">
        <v>2.2999999999999998</v>
      </c>
      <c r="S15" s="16">
        <v>0.21</v>
      </c>
      <c r="T15" s="16">
        <v>0</v>
      </c>
      <c r="U15" s="15">
        <v>0</v>
      </c>
      <c r="V15" s="16"/>
      <c r="W15" s="28">
        <f t="shared" si="71"/>
        <v>50.752072035199014</v>
      </c>
      <c r="X15" s="24">
        <f t="shared" si="0"/>
        <v>0.94136907807223991</v>
      </c>
      <c r="Y15" s="24">
        <f t="shared" si="0"/>
        <v>14.939117978102937</v>
      </c>
      <c r="Z15" s="24">
        <f t="shared" si="0"/>
        <v>0</v>
      </c>
      <c r="AA15" s="24">
        <f t="shared" si="0"/>
        <v>9.209045328967564</v>
      </c>
      <c r="AB15" s="24">
        <f t="shared" si="0"/>
        <v>0</v>
      </c>
      <c r="AC15" s="24">
        <f t="shared" si="0"/>
        <v>8.9020771513353107</v>
      </c>
      <c r="AD15" s="24">
        <f t="shared" si="0"/>
        <v>12.688018008799753</v>
      </c>
      <c r="AE15" s="24">
        <f t="shared" si="0"/>
        <v>2.3534226951805994</v>
      </c>
      <c r="AF15" s="24">
        <f t="shared" si="0"/>
        <v>0.21487772434257646</v>
      </c>
      <c r="AG15" s="24">
        <f t="shared" si="0"/>
        <v>0</v>
      </c>
      <c r="AH15" s="24">
        <f t="shared" si="0"/>
        <v>0</v>
      </c>
      <c r="AI15" s="14">
        <f t="shared" si="72"/>
        <v>99.999999999999986</v>
      </c>
      <c r="AJ15" s="26"/>
      <c r="AK15" s="50">
        <f t="shared" si="73"/>
        <v>0.84460096580460997</v>
      </c>
      <c r="AL15" s="47">
        <f t="shared" si="74"/>
        <v>1.1781840776874091E-2</v>
      </c>
      <c r="AM15" s="47">
        <f t="shared" si="75"/>
        <v>0.14651939954985227</v>
      </c>
      <c r="AN15" s="49">
        <f t="shared" si="76"/>
        <v>0</v>
      </c>
      <c r="AO15" s="49">
        <f t="shared" si="77"/>
        <v>0.12817042907400925</v>
      </c>
      <c r="AP15" s="47">
        <f t="shared" si="78"/>
        <v>0</v>
      </c>
      <c r="AQ15" s="47">
        <f t="shared" si="79"/>
        <v>0.2207856436343083</v>
      </c>
      <c r="AR15" s="47">
        <f t="shared" si="80"/>
        <v>0.22624853796005268</v>
      </c>
      <c r="AS15" s="47">
        <f t="shared" si="81"/>
        <v>3.7970679173614061E-2</v>
      </c>
      <c r="AT15" s="47">
        <f t="shared" si="82"/>
        <v>2.2810798762481575E-3</v>
      </c>
      <c r="AU15" s="47">
        <f t="shared" si="83"/>
        <v>0</v>
      </c>
      <c r="AV15" s="47">
        <f t="shared" si="84"/>
        <v>0</v>
      </c>
      <c r="AW15" s="47">
        <f t="shared" si="85"/>
        <v>1.6183585758495689</v>
      </c>
      <c r="AX15" s="47">
        <f t="shared" si="86"/>
        <v>9.2075175180163268E-2</v>
      </c>
      <c r="AY15" s="46">
        <f t="shared" si="87"/>
        <v>1.8053360121648605E-2</v>
      </c>
      <c r="AZ15" s="26"/>
      <c r="BA15" s="23">
        <f t="shared" si="88"/>
        <v>0.52188741012555306</v>
      </c>
      <c r="BB15" s="13">
        <f t="shared" si="6"/>
        <v>7.2801176158930848E-3</v>
      </c>
      <c r="BC15" s="13">
        <f t="shared" si="7"/>
        <v>9.0535806919635142E-2</v>
      </c>
      <c r="BD15" s="13">
        <f t="shared" si="8"/>
        <v>0</v>
      </c>
      <c r="BE15" s="13">
        <f t="shared" si="9"/>
        <v>7.9197793978831463E-2</v>
      </c>
      <c r="BF15" s="13">
        <f t="shared" si="10"/>
        <v>5.6894174476646964E-2</v>
      </c>
      <c r="BG15" s="13">
        <f t="shared" si="11"/>
        <v>1.1155352337272577E-2</v>
      </c>
      <c r="BH15" s="13">
        <f t="shared" si="12"/>
        <v>0</v>
      </c>
      <c r="BI15" s="13">
        <f t="shared" si="13"/>
        <v>0.13642566420634272</v>
      </c>
      <c r="BJ15" s="13">
        <f t="shared" si="14"/>
        <v>0.13980124141603284</v>
      </c>
      <c r="BK15" s="13">
        <f t="shared" si="15"/>
        <v>2.3462463597525709E-2</v>
      </c>
      <c r="BL15" s="13">
        <f t="shared" si="16"/>
        <v>1.4095021401858907E-3</v>
      </c>
      <c r="BM15" s="13">
        <f t="shared" si="17"/>
        <v>0</v>
      </c>
      <c r="BN15" s="13">
        <f t="shared" si="18"/>
        <v>0</v>
      </c>
      <c r="BO15" s="12">
        <f t="shared" si="89"/>
        <v>0.99999999999999989</v>
      </c>
      <c r="BP15" s="13"/>
      <c r="BQ15" s="23">
        <f t="shared" si="90"/>
        <v>1.6892019316092199</v>
      </c>
      <c r="BR15" s="13">
        <f t="shared" si="19"/>
        <v>2.3563681553748182E-2</v>
      </c>
      <c r="BS15" s="13">
        <f t="shared" si="20"/>
        <v>0.43938582288538047</v>
      </c>
      <c r="BT15" s="13">
        <f t="shared" si="21"/>
        <v>0</v>
      </c>
      <c r="BU15" s="13">
        <f t="shared" si="22"/>
        <v>0.12817042907400925</v>
      </c>
      <c r="BV15" s="13">
        <f t="shared" si="91"/>
        <v>9.2075175180163268E-2</v>
      </c>
      <c r="BW15" s="24">
        <f t="shared" si="92"/>
        <v>5.4160080364945823E-2</v>
      </c>
      <c r="BX15" s="13">
        <f t="shared" si="23"/>
        <v>0</v>
      </c>
      <c r="BY15" s="13">
        <f t="shared" si="24"/>
        <v>0.22089521467333278</v>
      </c>
      <c r="BZ15" s="13">
        <f t="shared" si="25"/>
        <v>0.22616787894473714</v>
      </c>
      <c r="CA15" s="13">
        <f t="shared" si="26"/>
        <v>3.7958430567429022E-2</v>
      </c>
      <c r="CB15" s="13">
        <f t="shared" si="27"/>
        <v>2.2810798762481575E-3</v>
      </c>
      <c r="CC15" s="13">
        <f t="shared" si="28"/>
        <v>0</v>
      </c>
      <c r="CD15" s="13">
        <f t="shared" si="93"/>
        <v>0</v>
      </c>
      <c r="CE15" s="12">
        <f t="shared" si="94"/>
        <v>2.767624469184105</v>
      </c>
      <c r="CF15" s="13"/>
      <c r="CG15" s="23">
        <f t="shared" si="29"/>
        <v>0.61034361793570802</v>
      </c>
      <c r="CH15" s="13">
        <f t="shared" si="29"/>
        <v>8.5140458238161017E-3</v>
      </c>
      <c r="CI15" s="13">
        <f t="shared" si="29"/>
        <v>0.15875919142126652</v>
      </c>
      <c r="CJ15" s="13">
        <f t="shared" si="29"/>
        <v>0</v>
      </c>
      <c r="CK15" s="13">
        <f t="shared" si="29"/>
        <v>4.6310628664080956E-2</v>
      </c>
      <c r="CL15" s="13">
        <f t="shared" si="29"/>
        <v>3.3268666397976675E-2</v>
      </c>
      <c r="CM15" s="13">
        <f t="shared" si="29"/>
        <v>1.9569157943206145E-2</v>
      </c>
      <c r="CN15" s="13">
        <f t="shared" si="29"/>
        <v>0</v>
      </c>
      <c r="CO15" s="13">
        <f t="shared" si="29"/>
        <v>7.9814012750961352E-2</v>
      </c>
      <c r="CP15" s="13">
        <f t="shared" si="29"/>
        <v>8.1719135476284968E-2</v>
      </c>
      <c r="CQ15" s="13">
        <f t="shared" si="29"/>
        <v>1.3715166558929563E-2</v>
      </c>
      <c r="CR15" s="13">
        <f t="shared" si="29"/>
        <v>8.2420136895256576E-4</v>
      </c>
      <c r="CS15" s="13">
        <f t="shared" si="29"/>
        <v>0</v>
      </c>
      <c r="CT15" s="13">
        <f t="shared" si="29"/>
        <v>0</v>
      </c>
      <c r="CU15" s="12">
        <f t="shared" si="30"/>
        <v>1</v>
      </c>
      <c r="CV15" s="26"/>
      <c r="CW15" s="23">
        <f t="shared" si="31"/>
        <v>0.84460096580460997</v>
      </c>
      <c r="CX15" s="13">
        <f t="shared" si="32"/>
        <v>1.1781840776874091E-2</v>
      </c>
      <c r="CY15" s="13">
        <f t="shared" si="33"/>
        <v>0.29292388192358698</v>
      </c>
      <c r="CZ15" s="13">
        <f t="shared" si="34"/>
        <v>0</v>
      </c>
      <c r="DA15" s="13">
        <f t="shared" si="35"/>
        <v>0.17270194986072424</v>
      </c>
      <c r="DB15" s="13">
        <f t="shared" si="36"/>
        <v>9.2075175180163268E-2</v>
      </c>
      <c r="DC15" s="24">
        <f t="shared" si="37"/>
        <v>3.6106720243297211E-2</v>
      </c>
      <c r="DD15" s="13">
        <f t="shared" si="38"/>
        <v>0</v>
      </c>
      <c r="DE15" s="13">
        <f t="shared" si="39"/>
        <v>0.22089521467333278</v>
      </c>
      <c r="DF15" s="13">
        <f t="shared" si="40"/>
        <v>0.22616787894473714</v>
      </c>
      <c r="DG15" s="13">
        <f t="shared" si="41"/>
        <v>7.5916861134858044E-2</v>
      </c>
      <c r="DH15" s="13">
        <f t="shared" si="42"/>
        <v>4.5621597524963149E-3</v>
      </c>
      <c r="DI15" s="13">
        <f t="shared" si="43"/>
        <v>0</v>
      </c>
      <c r="DJ15" s="13">
        <f t="shared" si="95"/>
        <v>0</v>
      </c>
      <c r="DK15" s="12">
        <f t="shared" si="96"/>
        <v>1.8495507528712194</v>
      </c>
      <c r="DL15" s="26"/>
      <c r="DM15" s="23">
        <f t="shared" si="97"/>
        <v>0.45665195426157518</v>
      </c>
      <c r="DN15" s="13">
        <f t="shared" si="44"/>
        <v>6.3701094758195249E-3</v>
      </c>
      <c r="DO15" s="13">
        <f t="shared" si="44"/>
        <v>0.15837569283722311</v>
      </c>
      <c r="DP15" s="13">
        <f t="shared" si="44"/>
        <v>0</v>
      </c>
      <c r="DQ15" s="13">
        <f t="shared" si="44"/>
        <v>9.3375080187782844E-2</v>
      </c>
      <c r="DR15" s="13">
        <f t="shared" si="44"/>
        <v>4.9782453948466629E-2</v>
      </c>
      <c r="DS15" s="13">
        <f t="shared" si="44"/>
        <v>1.9521886699916502E-2</v>
      </c>
      <c r="DT15" s="13">
        <f t="shared" si="44"/>
        <v>0</v>
      </c>
      <c r="DU15" s="13">
        <f t="shared" si="44"/>
        <v>0.11943182112219296</v>
      </c>
      <c r="DV15" s="13">
        <f t="shared" si="44"/>
        <v>0.12228260219063303</v>
      </c>
      <c r="DW15" s="13">
        <f t="shared" si="44"/>
        <v>4.1046108638546769E-2</v>
      </c>
      <c r="DX15" s="13">
        <f t="shared" si="44"/>
        <v>2.4666312862267094E-3</v>
      </c>
      <c r="DY15" s="13">
        <f t="shared" si="44"/>
        <v>0</v>
      </c>
      <c r="DZ15" s="13">
        <f t="shared" si="44"/>
        <v>0</v>
      </c>
      <c r="EA15" s="12">
        <f t="shared" si="45"/>
        <v>1</v>
      </c>
      <c r="EB15" s="26"/>
      <c r="EC15" s="30">
        <f t="shared" si="46"/>
        <v>1323</v>
      </c>
      <c r="ED15" s="14">
        <f t="shared" si="98"/>
        <v>100000</v>
      </c>
      <c r="EE15" s="29"/>
      <c r="EF15" s="184">
        <f t="shared" si="122"/>
        <v>-8.834236583522296</v>
      </c>
      <c r="EG15" s="13">
        <f t="shared" si="99"/>
        <v>1.4</v>
      </c>
      <c r="EH15" s="13">
        <f t="shared" si="100"/>
        <v>0.64926606198035053</v>
      </c>
      <c r="EI15" s="12">
        <f t="shared" si="47"/>
        <v>5.2414996220710535</v>
      </c>
      <c r="EJ15" s="29"/>
      <c r="EK15" s="28">
        <f t="shared" si="101"/>
        <v>-1.6295911598593009</v>
      </c>
      <c r="EL15" s="24">
        <f t="shared" si="102"/>
        <v>-0.7075949456618762</v>
      </c>
      <c r="EM15" s="24">
        <f t="shared" si="103"/>
        <v>0.196009694378634</v>
      </c>
      <c r="EN15" s="24">
        <f t="shared" si="104"/>
        <v>5.6894174476646964E-2</v>
      </c>
      <c r="EO15" s="24">
        <f t="shared" si="105"/>
        <v>1.115180975109225E-2</v>
      </c>
      <c r="EP15" s="24">
        <f t="shared" si="106"/>
        <v>0.28161920151647107</v>
      </c>
      <c r="EQ15" s="24">
        <f t="shared" si="107"/>
        <v>-1.6292735411325372</v>
      </c>
      <c r="ER15" s="24">
        <f t="shared" si="48"/>
        <v>-20.339554265568534</v>
      </c>
      <c r="ES15" s="25">
        <f t="shared" si="49"/>
        <v>-8.8317647701122599</v>
      </c>
      <c r="ET15" s="26"/>
      <c r="EU15" s="23">
        <f t="shared" si="123"/>
        <v>-1.3318037142581858</v>
      </c>
      <c r="EV15" s="12">
        <f t="shared" si="50"/>
        <v>4.4506556804549957E-2</v>
      </c>
      <c r="EW15" s="26"/>
      <c r="EX15" s="27">
        <f t="shared" si="108"/>
        <v>0.83366246918343812</v>
      </c>
      <c r="EY15" s="26"/>
      <c r="EZ15" s="23">
        <f t="shared" si="51"/>
        <v>-3.5202195889606056</v>
      </c>
      <c r="FA15" s="13">
        <f t="shared" si="52"/>
        <v>15.490291417436573</v>
      </c>
      <c r="FB15" s="13">
        <f t="shared" si="53"/>
        <v>-21.845149910644157</v>
      </c>
      <c r="FC15" s="13">
        <f t="shared" si="54"/>
        <v>0.17249798663916494</v>
      </c>
      <c r="FD15" s="12">
        <f t="shared" si="55"/>
        <v>0.54301788110994531</v>
      </c>
      <c r="FE15" s="13"/>
      <c r="FF15" s="23">
        <f t="shared" si="56"/>
        <v>-6.0288496425447109</v>
      </c>
      <c r="FG15" s="13">
        <f t="shared" si="57"/>
        <v>11.493162261792662</v>
      </c>
      <c r="FH15" s="13">
        <f t="shared" si="58"/>
        <v>12.010989548537111</v>
      </c>
      <c r="FI15" s="24">
        <f t="shared" si="109"/>
        <v>0.41648018606032267</v>
      </c>
      <c r="FJ15" s="25">
        <f t="shared" si="59"/>
        <v>0.70163628001335154</v>
      </c>
      <c r="FK15" s="13"/>
      <c r="FL15" s="23">
        <f t="shared" si="110"/>
        <v>10.812353426545826</v>
      </c>
      <c r="FM15" s="13">
        <f t="shared" si="124"/>
        <v>-6.2466703965950492</v>
      </c>
      <c r="FN15" s="13">
        <f t="shared" si="111"/>
        <v>-0.60944934390371586</v>
      </c>
      <c r="FO15" s="13">
        <f t="shared" si="60"/>
        <v>0.19729155220367167</v>
      </c>
      <c r="FP15" s="23">
        <f t="shared" si="112"/>
        <v>-0.60953188358625709</v>
      </c>
      <c r="FQ15" s="13">
        <f t="shared" si="113"/>
        <v>0.19726145543847629</v>
      </c>
      <c r="FR15" s="13">
        <f t="shared" si="114"/>
        <v>-0.60949953286819181</v>
      </c>
      <c r="FS15" s="13">
        <f t="shared" si="115"/>
        <v>0.1972732511938422</v>
      </c>
      <c r="FT15" s="13">
        <f t="shared" si="116"/>
        <v>-0.60954019802314008</v>
      </c>
      <c r="FU15" s="12">
        <f t="shared" si="117"/>
        <v>0.19725842390504278</v>
      </c>
      <c r="FV15" s="22"/>
      <c r="FW15" s="11">
        <f t="shared" si="61"/>
        <v>1.4</v>
      </c>
      <c r="FX15" s="10">
        <f t="shared" si="62"/>
        <v>0.64926606198035053</v>
      </c>
      <c r="FY15" s="10">
        <f t="shared" si="63"/>
        <v>5.2414996220710535</v>
      </c>
      <c r="FZ15" s="5">
        <f t="shared" si="64"/>
        <v>-8.834236583522296</v>
      </c>
      <c r="GA15" s="10">
        <f t="shared" si="65"/>
        <v>0.28161920151647107</v>
      </c>
      <c r="GB15" s="9">
        <f t="shared" si="118"/>
        <v>10.812353426545826</v>
      </c>
      <c r="GC15" s="8">
        <f t="shared" si="119"/>
        <v>-6.2466703965950492</v>
      </c>
      <c r="GD15" s="8">
        <f t="shared" si="120"/>
        <v>0.19729155220367167</v>
      </c>
      <c r="GE15" s="7">
        <f t="shared" si="121"/>
        <v>0.19726145543847629</v>
      </c>
      <c r="GF15" s="6">
        <f t="shared" si="66"/>
        <v>0.41648018606032267</v>
      </c>
      <c r="GG15" s="5">
        <f t="shared" si="67"/>
        <v>0.70163628001335154</v>
      </c>
      <c r="GH15" s="4">
        <f t="shared" si="68"/>
        <v>0.54301788110994531</v>
      </c>
      <c r="GI15" s="4">
        <f t="shared" si="69"/>
        <v>0.83366246918343812</v>
      </c>
      <c r="GJ15" s="4">
        <f t="shared" si="70"/>
        <v>4.4506556804549957E-2</v>
      </c>
      <c r="GK15" s="1"/>
    </row>
    <row r="16" spans="1:193" x14ac:dyDescent="0.4">
      <c r="A16" s="34"/>
      <c r="B16" s="21"/>
      <c r="C16" s="21"/>
      <c r="D16" s="34"/>
      <c r="E16" s="34"/>
      <c r="F16" s="20" t="s">
        <v>82</v>
      </c>
      <c r="G16" s="19">
        <v>1050</v>
      </c>
      <c r="H16" s="18">
        <v>1E-4</v>
      </c>
      <c r="I16" s="17">
        <v>1.8</v>
      </c>
      <c r="J16" s="16">
        <v>49.6</v>
      </c>
      <c r="K16" s="16">
        <v>0.92</v>
      </c>
      <c r="L16" s="16">
        <v>14.6</v>
      </c>
      <c r="M16" s="16">
        <v>0</v>
      </c>
      <c r="N16" s="16">
        <v>9</v>
      </c>
      <c r="O16" s="16">
        <v>0</v>
      </c>
      <c r="P16" s="16">
        <v>8.6999999999999993</v>
      </c>
      <c r="Q16" s="16">
        <v>12.4</v>
      </c>
      <c r="R16" s="16">
        <v>2.2999999999999998</v>
      </c>
      <c r="S16" s="16">
        <v>0.21</v>
      </c>
      <c r="T16" s="16">
        <v>0</v>
      </c>
      <c r="U16" s="15">
        <v>0</v>
      </c>
      <c r="V16" s="16"/>
      <c r="W16" s="28">
        <f t="shared" si="71"/>
        <v>50.752072035199014</v>
      </c>
      <c r="X16" s="24">
        <f t="shared" si="0"/>
        <v>0.94136907807223991</v>
      </c>
      <c r="Y16" s="24">
        <f t="shared" si="0"/>
        <v>14.939117978102937</v>
      </c>
      <c r="Z16" s="24">
        <f t="shared" si="0"/>
        <v>0</v>
      </c>
      <c r="AA16" s="24">
        <f t="shared" si="0"/>
        <v>9.209045328967564</v>
      </c>
      <c r="AB16" s="24">
        <f t="shared" si="0"/>
        <v>0</v>
      </c>
      <c r="AC16" s="24">
        <f t="shared" si="0"/>
        <v>8.9020771513353107</v>
      </c>
      <c r="AD16" s="24">
        <f t="shared" si="0"/>
        <v>12.688018008799753</v>
      </c>
      <c r="AE16" s="24">
        <f t="shared" si="0"/>
        <v>2.3534226951805994</v>
      </c>
      <c r="AF16" s="24">
        <f t="shared" si="0"/>
        <v>0.21487772434257646</v>
      </c>
      <c r="AG16" s="24">
        <f t="shared" si="0"/>
        <v>0</v>
      </c>
      <c r="AH16" s="24">
        <f t="shared" si="0"/>
        <v>0</v>
      </c>
      <c r="AI16" s="14">
        <f t="shared" si="72"/>
        <v>99.999999999999986</v>
      </c>
      <c r="AJ16" s="26"/>
      <c r="AK16" s="50">
        <f t="shared" si="73"/>
        <v>0.84460096580460997</v>
      </c>
      <c r="AL16" s="47">
        <f t="shared" si="74"/>
        <v>1.1781840776874091E-2</v>
      </c>
      <c r="AM16" s="47">
        <f t="shared" si="75"/>
        <v>0.14651939954985227</v>
      </c>
      <c r="AN16" s="49">
        <f t="shared" si="76"/>
        <v>0</v>
      </c>
      <c r="AO16" s="49">
        <f t="shared" si="77"/>
        <v>0.12817042907400925</v>
      </c>
      <c r="AP16" s="47">
        <f t="shared" si="78"/>
        <v>0</v>
      </c>
      <c r="AQ16" s="47">
        <f t="shared" si="79"/>
        <v>0.2207856436343083</v>
      </c>
      <c r="AR16" s="47">
        <f t="shared" si="80"/>
        <v>0.22624853796005268</v>
      </c>
      <c r="AS16" s="47">
        <f t="shared" si="81"/>
        <v>3.7970679173614061E-2</v>
      </c>
      <c r="AT16" s="47">
        <f t="shared" si="82"/>
        <v>2.2810798762481575E-3</v>
      </c>
      <c r="AU16" s="47">
        <f t="shared" si="83"/>
        <v>0</v>
      </c>
      <c r="AV16" s="47">
        <f t="shared" si="84"/>
        <v>0</v>
      </c>
      <c r="AW16" s="47">
        <f t="shared" si="85"/>
        <v>1.6183585758495689</v>
      </c>
      <c r="AX16" s="47">
        <f t="shared" si="86"/>
        <v>8.7215818026802061E-2</v>
      </c>
      <c r="AY16" s="46">
        <f t="shared" si="87"/>
        <v>2.048381053231316E-2</v>
      </c>
      <c r="AZ16" s="26"/>
      <c r="BA16" s="23">
        <f t="shared" si="88"/>
        <v>0.52188741012555306</v>
      </c>
      <c r="BB16" s="13">
        <f t="shared" si="6"/>
        <v>7.2801176158930848E-3</v>
      </c>
      <c r="BC16" s="13">
        <f t="shared" si="7"/>
        <v>9.0535806919635142E-2</v>
      </c>
      <c r="BD16" s="13">
        <f t="shared" si="8"/>
        <v>0</v>
      </c>
      <c r="BE16" s="13">
        <f t="shared" si="9"/>
        <v>7.9197793978831463E-2</v>
      </c>
      <c r="BF16" s="13">
        <f t="shared" si="10"/>
        <v>5.3891528940684545E-2</v>
      </c>
      <c r="BG16" s="13">
        <f t="shared" si="11"/>
        <v>1.2657152029215798E-2</v>
      </c>
      <c r="BH16" s="13">
        <f t="shared" si="12"/>
        <v>0</v>
      </c>
      <c r="BI16" s="13">
        <f t="shared" si="13"/>
        <v>0.13642566420634272</v>
      </c>
      <c r="BJ16" s="13">
        <f t="shared" si="14"/>
        <v>0.13980124141603284</v>
      </c>
      <c r="BK16" s="13">
        <f t="shared" si="15"/>
        <v>2.3462463597525709E-2</v>
      </c>
      <c r="BL16" s="13">
        <f t="shared" si="16"/>
        <v>1.4095021401858907E-3</v>
      </c>
      <c r="BM16" s="13">
        <f t="shared" si="17"/>
        <v>0</v>
      </c>
      <c r="BN16" s="13">
        <f t="shared" si="18"/>
        <v>0</v>
      </c>
      <c r="BO16" s="12">
        <f t="shared" si="89"/>
        <v>0.99999999999999989</v>
      </c>
      <c r="BP16" s="13"/>
      <c r="BQ16" s="23">
        <f t="shared" si="90"/>
        <v>1.6892019316092199</v>
      </c>
      <c r="BR16" s="13">
        <f t="shared" si="19"/>
        <v>2.3563681553748182E-2</v>
      </c>
      <c r="BS16" s="13">
        <f t="shared" si="20"/>
        <v>0.43938582288538047</v>
      </c>
      <c r="BT16" s="13">
        <f t="shared" si="21"/>
        <v>0</v>
      </c>
      <c r="BU16" s="13">
        <f t="shared" si="22"/>
        <v>0.12817042907400925</v>
      </c>
      <c r="BV16" s="13">
        <f t="shared" si="91"/>
        <v>8.7215818026802061E-2</v>
      </c>
      <c r="BW16" s="24">
        <f t="shared" si="92"/>
        <v>6.1451431596939485E-2</v>
      </c>
      <c r="BX16" s="13">
        <f t="shared" si="23"/>
        <v>0</v>
      </c>
      <c r="BY16" s="13">
        <f t="shared" si="24"/>
        <v>0.22089521467333278</v>
      </c>
      <c r="BZ16" s="13">
        <f t="shared" si="25"/>
        <v>0.22616787894473714</v>
      </c>
      <c r="CA16" s="13">
        <f t="shared" si="26"/>
        <v>3.7958430567429022E-2</v>
      </c>
      <c r="CB16" s="13">
        <f t="shared" si="27"/>
        <v>2.2810798762481575E-3</v>
      </c>
      <c r="CC16" s="13">
        <f t="shared" si="28"/>
        <v>0</v>
      </c>
      <c r="CD16" s="13">
        <f t="shared" si="93"/>
        <v>0</v>
      </c>
      <c r="CE16" s="12">
        <f t="shared" si="94"/>
        <v>2.767624469184105</v>
      </c>
      <c r="CF16" s="13"/>
      <c r="CG16" s="23">
        <f t="shared" si="29"/>
        <v>0.61034361793570802</v>
      </c>
      <c r="CH16" s="13">
        <f t="shared" si="29"/>
        <v>8.5140458238161017E-3</v>
      </c>
      <c r="CI16" s="13">
        <f t="shared" si="29"/>
        <v>0.15875919142126652</v>
      </c>
      <c r="CJ16" s="13">
        <f t="shared" si="29"/>
        <v>0</v>
      </c>
      <c r="CK16" s="13">
        <f t="shared" si="29"/>
        <v>4.6310628664080956E-2</v>
      </c>
      <c r="CL16" s="13">
        <f t="shared" si="29"/>
        <v>3.1512880088284977E-2</v>
      </c>
      <c r="CM16" s="13">
        <f t="shared" si="29"/>
        <v>2.2203674046520967E-2</v>
      </c>
      <c r="CN16" s="13">
        <f t="shared" si="29"/>
        <v>0</v>
      </c>
      <c r="CO16" s="13">
        <f t="shared" si="29"/>
        <v>7.9814012750961352E-2</v>
      </c>
      <c r="CP16" s="13">
        <f t="shared" si="29"/>
        <v>8.1719135476284968E-2</v>
      </c>
      <c r="CQ16" s="13">
        <f t="shared" si="29"/>
        <v>1.3715166558929563E-2</v>
      </c>
      <c r="CR16" s="13">
        <f t="shared" si="29"/>
        <v>8.2420136895256576E-4</v>
      </c>
      <c r="CS16" s="13">
        <f t="shared" si="29"/>
        <v>0</v>
      </c>
      <c r="CT16" s="13">
        <f t="shared" si="29"/>
        <v>0</v>
      </c>
      <c r="CU16" s="12">
        <f t="shared" si="30"/>
        <v>1</v>
      </c>
      <c r="CV16" s="26"/>
      <c r="CW16" s="23">
        <f t="shared" si="31"/>
        <v>0.84460096580460997</v>
      </c>
      <c r="CX16" s="13">
        <f t="shared" si="32"/>
        <v>1.1781840776874091E-2</v>
      </c>
      <c r="CY16" s="13">
        <f t="shared" si="33"/>
        <v>0.29292388192358698</v>
      </c>
      <c r="CZ16" s="13">
        <f t="shared" si="34"/>
        <v>0</v>
      </c>
      <c r="DA16" s="13">
        <f t="shared" si="35"/>
        <v>0.17270194986072424</v>
      </c>
      <c r="DB16" s="13">
        <f t="shared" si="36"/>
        <v>8.7215818026802061E-2</v>
      </c>
      <c r="DC16" s="24">
        <f t="shared" si="37"/>
        <v>4.0967621064626321E-2</v>
      </c>
      <c r="DD16" s="13">
        <f t="shared" si="38"/>
        <v>0</v>
      </c>
      <c r="DE16" s="13">
        <f t="shared" si="39"/>
        <v>0.22089521467333278</v>
      </c>
      <c r="DF16" s="13">
        <f t="shared" si="40"/>
        <v>0.22616787894473714</v>
      </c>
      <c r="DG16" s="13">
        <f t="shared" si="41"/>
        <v>7.5916861134858044E-2</v>
      </c>
      <c r="DH16" s="13">
        <f t="shared" si="42"/>
        <v>4.5621597524963149E-3</v>
      </c>
      <c r="DI16" s="13">
        <f t="shared" si="43"/>
        <v>0</v>
      </c>
      <c r="DJ16" s="13">
        <f t="shared" si="95"/>
        <v>0</v>
      </c>
      <c r="DK16" s="12">
        <f t="shared" si="96"/>
        <v>1.8495507528712194</v>
      </c>
      <c r="DL16" s="26"/>
      <c r="DM16" s="23">
        <f t="shared" si="97"/>
        <v>0.45665195426157518</v>
      </c>
      <c r="DN16" s="13">
        <f t="shared" si="44"/>
        <v>6.3701094758195249E-3</v>
      </c>
      <c r="DO16" s="13">
        <f t="shared" si="44"/>
        <v>0.15837569283722311</v>
      </c>
      <c r="DP16" s="13">
        <f t="shared" si="44"/>
        <v>0</v>
      </c>
      <c r="DQ16" s="13">
        <f t="shared" si="44"/>
        <v>9.3375080187782844E-2</v>
      </c>
      <c r="DR16" s="13">
        <f t="shared" si="44"/>
        <v>4.7155136398073595E-2</v>
      </c>
      <c r="DS16" s="13">
        <f t="shared" si="44"/>
        <v>2.2150038868102809E-2</v>
      </c>
      <c r="DT16" s="13">
        <f t="shared" si="44"/>
        <v>0</v>
      </c>
      <c r="DU16" s="13">
        <f t="shared" si="44"/>
        <v>0.11943182112219296</v>
      </c>
      <c r="DV16" s="13">
        <f t="shared" si="44"/>
        <v>0.12228260219063303</v>
      </c>
      <c r="DW16" s="13">
        <f t="shared" si="44"/>
        <v>4.1046108638546769E-2</v>
      </c>
      <c r="DX16" s="13">
        <f t="shared" si="44"/>
        <v>2.4666312862267094E-3</v>
      </c>
      <c r="DY16" s="13">
        <f t="shared" si="44"/>
        <v>0</v>
      </c>
      <c r="DZ16" s="13">
        <f t="shared" si="44"/>
        <v>0</v>
      </c>
      <c r="EA16" s="12">
        <f t="shared" si="45"/>
        <v>1</v>
      </c>
      <c r="EB16" s="26"/>
      <c r="EC16" s="30">
        <f t="shared" si="46"/>
        <v>1323</v>
      </c>
      <c r="ED16" s="14">
        <f t="shared" si="98"/>
        <v>100000</v>
      </c>
      <c r="EE16" s="29"/>
      <c r="EF16" s="184">
        <f t="shared" si="122"/>
        <v>-8.4342365835222957</v>
      </c>
      <c r="EG16" s="13">
        <f t="shared" si="99"/>
        <v>1.8</v>
      </c>
      <c r="EH16" s="13">
        <f t="shared" si="100"/>
        <v>1.0492660619803509</v>
      </c>
      <c r="EI16" s="12">
        <f t="shared" si="47"/>
        <v>5.6414996220710538</v>
      </c>
      <c r="EJ16" s="29"/>
      <c r="EK16" s="28">
        <f t="shared" si="101"/>
        <v>-1.4490684885685678</v>
      </c>
      <c r="EL16" s="24">
        <f t="shared" si="102"/>
        <v>-0.62920907015569605</v>
      </c>
      <c r="EM16" s="24">
        <f t="shared" si="103"/>
        <v>0.234788894800147</v>
      </c>
      <c r="EN16" s="24">
        <f t="shared" si="104"/>
        <v>5.3891528940684545E-2</v>
      </c>
      <c r="EO16" s="24">
        <f t="shared" si="105"/>
        <v>1.2653132519073461E-2</v>
      </c>
      <c r="EP16" s="24">
        <f t="shared" si="106"/>
        <v>0.31953244865521074</v>
      </c>
      <c r="EQ16" s="24">
        <f t="shared" si="107"/>
        <v>-1.4487508698418041</v>
      </c>
      <c r="ER16" s="24">
        <f t="shared" si="48"/>
        <v>-19.418520228370916</v>
      </c>
      <c r="ES16" s="25">
        <f t="shared" si="49"/>
        <v>-8.4318368338562379</v>
      </c>
      <c r="ET16" s="26"/>
      <c r="EU16" s="23">
        <f t="shared" si="123"/>
        <v>-0.70460371425818735</v>
      </c>
      <c r="EV16" s="12">
        <f t="shared" si="50"/>
        <v>0.16487276862777034</v>
      </c>
      <c r="EW16" s="26"/>
      <c r="EX16" s="27">
        <f t="shared" si="108"/>
        <v>0.96934656996828439</v>
      </c>
      <c r="EY16" s="26"/>
      <c r="EZ16" s="23">
        <f t="shared" si="51"/>
        <v>-3.5202195889606056</v>
      </c>
      <c r="FA16" s="13">
        <f t="shared" si="52"/>
        <v>15.457524418508765</v>
      </c>
      <c r="FB16" s="13">
        <f t="shared" si="53"/>
        <v>-21.845149910644157</v>
      </c>
      <c r="FC16" s="13">
        <f t="shared" si="54"/>
        <v>1.9817990621065888</v>
      </c>
      <c r="FD16" s="12">
        <f t="shared" si="55"/>
        <v>0.87887281255015337</v>
      </c>
      <c r="FE16" s="13"/>
      <c r="FF16" s="23">
        <f t="shared" si="56"/>
        <v>-6.0623422949239174</v>
      </c>
      <c r="FG16" s="13">
        <f t="shared" si="57"/>
        <v>11.493162261792662</v>
      </c>
      <c r="FH16" s="13">
        <f t="shared" si="58"/>
        <v>12.010989548537111</v>
      </c>
      <c r="FI16" s="24">
        <f t="shared" si="109"/>
        <v>0.82948025880434706</v>
      </c>
      <c r="FJ16" s="25">
        <f t="shared" si="59"/>
        <v>0.94127056771934237</v>
      </c>
      <c r="FK16" s="13"/>
      <c r="FL16" s="23">
        <f t="shared" si="110"/>
        <v>10.812353426545826</v>
      </c>
      <c r="FM16" s="13">
        <f t="shared" si="124"/>
        <v>-6.2695523517185681</v>
      </c>
      <c r="FN16" s="13">
        <f t="shared" si="111"/>
        <v>0.21343261121980106</v>
      </c>
      <c r="FO16" s="13">
        <f t="shared" si="60"/>
        <v>0.62044719015390937</v>
      </c>
      <c r="FP16" s="23">
        <f t="shared" si="112"/>
        <v>0.21335007153725982</v>
      </c>
      <c r="FQ16" s="13">
        <f t="shared" si="113"/>
        <v>0.62040243269142259</v>
      </c>
      <c r="FR16" s="13">
        <f t="shared" si="114"/>
        <v>0.21338242225532511</v>
      </c>
      <c r="FS16" s="13">
        <f t="shared" si="115"/>
        <v>0.62041997523769932</v>
      </c>
      <c r="FT16" s="13">
        <f t="shared" si="116"/>
        <v>0.21334175710037684</v>
      </c>
      <c r="FU16" s="12">
        <f t="shared" si="117"/>
        <v>0.62039792404225058</v>
      </c>
      <c r="FV16" s="22"/>
      <c r="FW16" s="11">
        <f t="shared" si="61"/>
        <v>1.8</v>
      </c>
      <c r="FX16" s="10">
        <f t="shared" si="62"/>
        <v>1.0492660619803509</v>
      </c>
      <c r="FY16" s="10">
        <f t="shared" si="63"/>
        <v>5.6414996220710538</v>
      </c>
      <c r="FZ16" s="5">
        <f t="shared" si="64"/>
        <v>-8.4342365835222957</v>
      </c>
      <c r="GA16" s="10">
        <f t="shared" si="65"/>
        <v>0.31953244865521074</v>
      </c>
      <c r="GB16" s="9">
        <f t="shared" si="118"/>
        <v>10.812353426545826</v>
      </c>
      <c r="GC16" s="8">
        <f t="shared" si="119"/>
        <v>-6.2695523517185681</v>
      </c>
      <c r="GD16" s="8">
        <f t="shared" si="120"/>
        <v>0.62044719015390937</v>
      </c>
      <c r="GE16" s="7">
        <f t="shared" si="121"/>
        <v>0.62040243269142259</v>
      </c>
      <c r="GF16" s="6">
        <f t="shared" si="66"/>
        <v>0.82948025880434706</v>
      </c>
      <c r="GG16" s="5">
        <f t="shared" si="67"/>
        <v>0.94127056771934237</v>
      </c>
      <c r="GH16" s="4">
        <f t="shared" si="68"/>
        <v>0.87887281255015337</v>
      </c>
      <c r="GI16" s="4">
        <f t="shared" si="69"/>
        <v>0.96934656996828439</v>
      </c>
      <c r="GJ16" s="4">
        <f t="shared" si="70"/>
        <v>0.16487276862777034</v>
      </c>
      <c r="GK16" s="1"/>
    </row>
    <row r="17" spans="1:193" x14ac:dyDescent="0.4">
      <c r="A17" s="34"/>
      <c r="B17" s="21"/>
      <c r="C17" s="21"/>
      <c r="D17" s="34"/>
      <c r="E17" s="34"/>
      <c r="F17" s="20" t="s">
        <v>82</v>
      </c>
      <c r="G17" s="19">
        <v>1050</v>
      </c>
      <c r="H17" s="18">
        <v>1E-4</v>
      </c>
      <c r="I17" s="17">
        <v>2.2000000000000002</v>
      </c>
      <c r="J17" s="16">
        <v>49.6</v>
      </c>
      <c r="K17" s="16">
        <v>0.92</v>
      </c>
      <c r="L17" s="16">
        <v>14.6</v>
      </c>
      <c r="M17" s="16">
        <v>0</v>
      </c>
      <c r="N17" s="16">
        <v>9</v>
      </c>
      <c r="O17" s="16">
        <v>0</v>
      </c>
      <c r="P17" s="16">
        <v>8.6999999999999993</v>
      </c>
      <c r="Q17" s="16">
        <v>12.4</v>
      </c>
      <c r="R17" s="16">
        <v>2.2999999999999998</v>
      </c>
      <c r="S17" s="16">
        <v>0.21</v>
      </c>
      <c r="T17" s="16">
        <v>0</v>
      </c>
      <c r="U17" s="15">
        <v>0</v>
      </c>
      <c r="V17" s="16"/>
      <c r="W17" s="28">
        <f t="shared" si="71"/>
        <v>50.752072035199014</v>
      </c>
      <c r="X17" s="24">
        <f t="shared" si="0"/>
        <v>0.94136907807223991</v>
      </c>
      <c r="Y17" s="24">
        <f t="shared" si="0"/>
        <v>14.939117978102937</v>
      </c>
      <c r="Z17" s="24">
        <f t="shared" si="0"/>
        <v>0</v>
      </c>
      <c r="AA17" s="24">
        <f t="shared" si="0"/>
        <v>9.209045328967564</v>
      </c>
      <c r="AB17" s="24">
        <f t="shared" si="0"/>
        <v>0</v>
      </c>
      <c r="AC17" s="24">
        <f t="shared" si="0"/>
        <v>8.9020771513353107</v>
      </c>
      <c r="AD17" s="24">
        <f t="shared" si="0"/>
        <v>12.688018008799753</v>
      </c>
      <c r="AE17" s="24">
        <f t="shared" si="0"/>
        <v>2.3534226951805994</v>
      </c>
      <c r="AF17" s="24">
        <f t="shared" si="0"/>
        <v>0.21487772434257646</v>
      </c>
      <c r="AG17" s="24">
        <f t="shared" si="0"/>
        <v>0</v>
      </c>
      <c r="AH17" s="24">
        <f t="shared" si="0"/>
        <v>0</v>
      </c>
      <c r="AI17" s="14">
        <f t="shared" si="72"/>
        <v>99.999999999999986</v>
      </c>
      <c r="AJ17" s="26"/>
      <c r="AK17" s="50">
        <f t="shared" si="73"/>
        <v>0.84460096580460997</v>
      </c>
      <c r="AL17" s="47">
        <f t="shared" si="74"/>
        <v>1.1781840776874091E-2</v>
      </c>
      <c r="AM17" s="47">
        <f t="shared" si="75"/>
        <v>0.14651939954985227</v>
      </c>
      <c r="AN17" s="49">
        <f t="shared" si="76"/>
        <v>0</v>
      </c>
      <c r="AO17" s="49">
        <f t="shared" si="77"/>
        <v>0.12817042907400925</v>
      </c>
      <c r="AP17" s="47">
        <f t="shared" si="78"/>
        <v>0</v>
      </c>
      <c r="AQ17" s="47">
        <f t="shared" si="79"/>
        <v>0.2207856436343083</v>
      </c>
      <c r="AR17" s="47">
        <f t="shared" si="80"/>
        <v>0.22624853796005268</v>
      </c>
      <c r="AS17" s="47">
        <f t="shared" si="81"/>
        <v>3.7970679173614061E-2</v>
      </c>
      <c r="AT17" s="47">
        <f t="shared" si="82"/>
        <v>2.2810798762481575E-3</v>
      </c>
      <c r="AU17" s="47">
        <f t="shared" si="83"/>
        <v>0</v>
      </c>
      <c r="AV17" s="47">
        <f t="shared" si="84"/>
        <v>0</v>
      </c>
      <c r="AW17" s="47">
        <f t="shared" si="85"/>
        <v>1.6183585758495689</v>
      </c>
      <c r="AX17" s="47">
        <f t="shared" si="86"/>
        <v>8.20300931618273E-2</v>
      </c>
      <c r="AY17" s="46">
        <f t="shared" si="87"/>
        <v>2.3077496637265001E-2</v>
      </c>
      <c r="AZ17" s="26"/>
      <c r="BA17" s="23">
        <f t="shared" si="88"/>
        <v>0.52188741012555306</v>
      </c>
      <c r="BB17" s="13">
        <f t="shared" si="6"/>
        <v>7.2801176158930848E-3</v>
      </c>
      <c r="BC17" s="13">
        <f t="shared" si="7"/>
        <v>9.0535806919635142E-2</v>
      </c>
      <c r="BD17" s="13">
        <f t="shared" si="8"/>
        <v>0</v>
      </c>
      <c r="BE17" s="13">
        <f t="shared" si="9"/>
        <v>7.9197793978831463E-2</v>
      </c>
      <c r="BF17" s="13">
        <f t="shared" si="10"/>
        <v>5.0687217521472344E-2</v>
      </c>
      <c r="BG17" s="13">
        <f t="shared" si="11"/>
        <v>1.4259816694301078E-2</v>
      </c>
      <c r="BH17" s="13">
        <f t="shared" si="12"/>
        <v>0</v>
      </c>
      <c r="BI17" s="13">
        <f t="shared" si="13"/>
        <v>0.13642566420634272</v>
      </c>
      <c r="BJ17" s="13">
        <f t="shared" si="14"/>
        <v>0.13980124141603284</v>
      </c>
      <c r="BK17" s="13">
        <f t="shared" si="15"/>
        <v>2.3462463597525709E-2</v>
      </c>
      <c r="BL17" s="13">
        <f t="shared" si="16"/>
        <v>1.4095021401858907E-3</v>
      </c>
      <c r="BM17" s="13">
        <f t="shared" si="17"/>
        <v>0</v>
      </c>
      <c r="BN17" s="13">
        <f t="shared" si="18"/>
        <v>0</v>
      </c>
      <c r="BO17" s="12">
        <f t="shared" si="89"/>
        <v>0.99999999999999989</v>
      </c>
      <c r="BP17" s="13"/>
      <c r="BQ17" s="23">
        <f t="shared" si="90"/>
        <v>1.6892019316092199</v>
      </c>
      <c r="BR17" s="13">
        <f t="shared" si="19"/>
        <v>2.3563681553748182E-2</v>
      </c>
      <c r="BS17" s="13">
        <f t="shared" si="20"/>
        <v>0.43938582288538047</v>
      </c>
      <c r="BT17" s="13">
        <f t="shared" si="21"/>
        <v>0</v>
      </c>
      <c r="BU17" s="13">
        <f t="shared" si="22"/>
        <v>0.12817042907400925</v>
      </c>
      <c r="BV17" s="13">
        <f t="shared" si="91"/>
        <v>8.20300931618273E-2</v>
      </c>
      <c r="BW17" s="24">
        <f t="shared" si="92"/>
        <v>6.9232489911795009E-2</v>
      </c>
      <c r="BX17" s="13">
        <f t="shared" si="23"/>
        <v>0</v>
      </c>
      <c r="BY17" s="13">
        <f t="shared" si="24"/>
        <v>0.22089521467333278</v>
      </c>
      <c r="BZ17" s="13">
        <f t="shared" si="25"/>
        <v>0.22616787894473714</v>
      </c>
      <c r="CA17" s="13">
        <f t="shared" si="26"/>
        <v>3.7958430567429022E-2</v>
      </c>
      <c r="CB17" s="13">
        <f t="shared" si="27"/>
        <v>2.2810798762481575E-3</v>
      </c>
      <c r="CC17" s="13">
        <f t="shared" si="28"/>
        <v>0</v>
      </c>
      <c r="CD17" s="13">
        <f t="shared" si="93"/>
        <v>0</v>
      </c>
      <c r="CE17" s="12">
        <f t="shared" si="94"/>
        <v>2.767624469184105</v>
      </c>
      <c r="CF17" s="13"/>
      <c r="CG17" s="23">
        <f t="shared" si="29"/>
        <v>0.61034361793570802</v>
      </c>
      <c r="CH17" s="13">
        <f t="shared" si="29"/>
        <v>8.5140458238161017E-3</v>
      </c>
      <c r="CI17" s="13">
        <f t="shared" si="29"/>
        <v>0.15875919142126652</v>
      </c>
      <c r="CJ17" s="13">
        <f t="shared" si="29"/>
        <v>0</v>
      </c>
      <c r="CK17" s="13">
        <f t="shared" si="29"/>
        <v>4.6310628664080956E-2</v>
      </c>
      <c r="CL17" s="13">
        <f t="shared" si="29"/>
        <v>2.9639170369818904E-2</v>
      </c>
      <c r="CM17" s="13">
        <f t="shared" si="29"/>
        <v>2.5015131453944954E-2</v>
      </c>
      <c r="CN17" s="13">
        <f t="shared" si="29"/>
        <v>0</v>
      </c>
      <c r="CO17" s="13">
        <f t="shared" si="29"/>
        <v>7.9814012750961352E-2</v>
      </c>
      <c r="CP17" s="13">
        <f t="shared" si="29"/>
        <v>8.1719135476284968E-2</v>
      </c>
      <c r="CQ17" s="13">
        <f t="shared" si="29"/>
        <v>1.3715166558929563E-2</v>
      </c>
      <c r="CR17" s="13">
        <f t="shared" si="29"/>
        <v>8.2420136895256576E-4</v>
      </c>
      <c r="CS17" s="13">
        <f t="shared" si="29"/>
        <v>0</v>
      </c>
      <c r="CT17" s="13">
        <f t="shared" si="29"/>
        <v>0</v>
      </c>
      <c r="CU17" s="12">
        <f t="shared" si="30"/>
        <v>1</v>
      </c>
      <c r="CV17" s="26"/>
      <c r="CW17" s="23">
        <f t="shared" si="31"/>
        <v>0.84460096580460997</v>
      </c>
      <c r="CX17" s="13">
        <f t="shared" si="32"/>
        <v>1.1781840776874091E-2</v>
      </c>
      <c r="CY17" s="13">
        <f t="shared" si="33"/>
        <v>0.29292388192358698</v>
      </c>
      <c r="CZ17" s="13">
        <f t="shared" si="34"/>
        <v>0</v>
      </c>
      <c r="DA17" s="13">
        <f t="shared" si="35"/>
        <v>0.17270194986072424</v>
      </c>
      <c r="DB17" s="13">
        <f t="shared" si="36"/>
        <v>8.20300931618273E-2</v>
      </c>
      <c r="DC17" s="24">
        <f t="shared" si="37"/>
        <v>4.6154993274530001E-2</v>
      </c>
      <c r="DD17" s="13">
        <f t="shared" si="38"/>
        <v>0</v>
      </c>
      <c r="DE17" s="13">
        <f t="shared" si="39"/>
        <v>0.22089521467333278</v>
      </c>
      <c r="DF17" s="13">
        <f t="shared" si="40"/>
        <v>0.22616787894473714</v>
      </c>
      <c r="DG17" s="13">
        <f t="shared" si="41"/>
        <v>7.5916861134858044E-2</v>
      </c>
      <c r="DH17" s="13">
        <f t="shared" si="42"/>
        <v>4.5621597524963149E-3</v>
      </c>
      <c r="DI17" s="13">
        <f t="shared" si="43"/>
        <v>0</v>
      </c>
      <c r="DJ17" s="13">
        <f t="shared" si="95"/>
        <v>0</v>
      </c>
      <c r="DK17" s="12">
        <f t="shared" si="96"/>
        <v>1.8495507528712194</v>
      </c>
      <c r="DL17" s="26"/>
      <c r="DM17" s="23">
        <f t="shared" si="97"/>
        <v>0.45665195426157518</v>
      </c>
      <c r="DN17" s="13">
        <f t="shared" si="44"/>
        <v>6.3701094758195249E-3</v>
      </c>
      <c r="DO17" s="13">
        <f t="shared" si="44"/>
        <v>0.15837569283722311</v>
      </c>
      <c r="DP17" s="13">
        <f t="shared" si="44"/>
        <v>0</v>
      </c>
      <c r="DQ17" s="13">
        <f t="shared" si="44"/>
        <v>9.3375080187782844E-2</v>
      </c>
      <c r="DR17" s="13">
        <f t="shared" si="44"/>
        <v>4.4351361018066041E-2</v>
      </c>
      <c r="DS17" s="13">
        <f t="shared" si="44"/>
        <v>2.495470492111642E-2</v>
      </c>
      <c r="DT17" s="13">
        <f t="shared" si="44"/>
        <v>0</v>
      </c>
      <c r="DU17" s="13">
        <f t="shared" si="44"/>
        <v>0.11943182112219296</v>
      </c>
      <c r="DV17" s="13">
        <f t="shared" si="44"/>
        <v>0.12228260219063303</v>
      </c>
      <c r="DW17" s="13">
        <f t="shared" si="44"/>
        <v>4.1046108638546769E-2</v>
      </c>
      <c r="DX17" s="13">
        <f t="shared" si="44"/>
        <v>2.4666312862267094E-3</v>
      </c>
      <c r="DY17" s="13">
        <f t="shared" si="44"/>
        <v>0</v>
      </c>
      <c r="DZ17" s="13">
        <f t="shared" si="44"/>
        <v>0</v>
      </c>
      <c r="EA17" s="12">
        <f t="shared" si="45"/>
        <v>1</v>
      </c>
      <c r="EB17" s="26"/>
      <c r="EC17" s="30">
        <f t="shared" si="46"/>
        <v>1323</v>
      </c>
      <c r="ED17" s="14">
        <f t="shared" si="98"/>
        <v>100000</v>
      </c>
      <c r="EE17" s="29"/>
      <c r="EF17" s="184">
        <f t="shared" si="122"/>
        <v>-8.0342365835222971</v>
      </c>
      <c r="EG17" s="13">
        <f t="shared" si="99"/>
        <v>2.2000000000000002</v>
      </c>
      <c r="EH17" s="13">
        <f t="shared" si="100"/>
        <v>1.4492660619803495</v>
      </c>
      <c r="EI17" s="12">
        <f t="shared" si="47"/>
        <v>6.0414996220710524</v>
      </c>
      <c r="EJ17" s="29"/>
      <c r="EK17" s="28">
        <f t="shared" si="101"/>
        <v>-1.2685458172778357</v>
      </c>
      <c r="EL17" s="24">
        <f t="shared" si="102"/>
        <v>-0.55082319464951612</v>
      </c>
      <c r="EM17" s="24">
        <f t="shared" si="103"/>
        <v>0.28124029934451766</v>
      </c>
      <c r="EN17" s="24">
        <f t="shared" si="104"/>
        <v>5.0687217521472337E-2</v>
      </c>
      <c r="EO17" s="24">
        <f t="shared" si="105"/>
        <v>1.4255288228679561E-2</v>
      </c>
      <c r="EP17" s="24">
        <f t="shared" si="106"/>
        <v>0.35999205312435378</v>
      </c>
      <c r="EQ17" s="24">
        <f t="shared" si="107"/>
        <v>-1.2682281985510719</v>
      </c>
      <c r="ER17" s="24">
        <f t="shared" si="48"/>
        <v>-18.497486191173302</v>
      </c>
      <c r="ES17" s="25">
        <f t="shared" si="49"/>
        <v>-8.0319088976002178</v>
      </c>
      <c r="ET17" s="26"/>
      <c r="EU17" s="23">
        <f t="shared" si="123"/>
        <v>-7.7403714258188927E-2</v>
      </c>
      <c r="EV17" s="12">
        <f t="shared" si="50"/>
        <v>0.45556041506119471</v>
      </c>
      <c r="EW17" s="26"/>
      <c r="EX17" s="27">
        <f t="shared" si="108"/>
        <v>0.99501312126331209</v>
      </c>
      <c r="EY17" s="26"/>
      <c r="EZ17" s="23">
        <f t="shared" si="51"/>
        <v>-3.5202195889606056</v>
      </c>
      <c r="FA17" s="13">
        <f t="shared" si="52"/>
        <v>15.422556698349943</v>
      </c>
      <c r="FB17" s="13">
        <f t="shared" si="53"/>
        <v>-21.845149910644157</v>
      </c>
      <c r="FC17" s="13">
        <f t="shared" si="54"/>
        <v>3.7888994163429999</v>
      </c>
      <c r="FD17" s="12">
        <f t="shared" si="55"/>
        <v>0.97787988384015234</v>
      </c>
      <c r="FE17" s="13"/>
      <c r="FF17" s="23">
        <f t="shared" si="56"/>
        <v>-6.0980844054038332</v>
      </c>
      <c r="FG17" s="13">
        <f t="shared" si="57"/>
        <v>11.493162261792662</v>
      </c>
      <c r="FH17" s="13">
        <f t="shared" si="58"/>
        <v>12.010989548537111</v>
      </c>
      <c r="FI17" s="24">
        <f t="shared" si="109"/>
        <v>0.97086693288193027</v>
      </c>
      <c r="FJ17" s="25">
        <f t="shared" si="59"/>
        <v>0.9909746972550173</v>
      </c>
      <c r="FK17" s="13"/>
      <c r="FL17" s="23">
        <f t="shared" si="110"/>
        <v>10.812353426545826</v>
      </c>
      <c r="FM17" s="13">
        <f t="shared" si="124"/>
        <v>-6.2939720529790302</v>
      </c>
      <c r="FN17" s="13">
        <f t="shared" si="111"/>
        <v>1.0378523124802612</v>
      </c>
      <c r="FO17" s="13">
        <f t="shared" si="60"/>
        <v>0.91604182480844654</v>
      </c>
      <c r="FP17" s="23">
        <f t="shared" si="112"/>
        <v>1.03776977279772</v>
      </c>
      <c r="FQ17" s="13">
        <f t="shared" si="113"/>
        <v>0.91602720670210647</v>
      </c>
      <c r="FR17" s="13">
        <f t="shared" si="114"/>
        <v>1.0378021235157853</v>
      </c>
      <c r="FS17" s="13">
        <f t="shared" si="115"/>
        <v>0.91603293641851857</v>
      </c>
      <c r="FT17" s="13">
        <f t="shared" si="116"/>
        <v>1.037761458360837</v>
      </c>
      <c r="FU17" s="12">
        <f t="shared" si="117"/>
        <v>0.91602573405407484</v>
      </c>
      <c r="FV17" s="22"/>
      <c r="FW17" s="11">
        <f t="shared" si="61"/>
        <v>2.2000000000000002</v>
      </c>
      <c r="FX17" s="10">
        <f t="shared" si="62"/>
        <v>1.4492660619803495</v>
      </c>
      <c r="FY17" s="10">
        <f t="shared" si="63"/>
        <v>6.0414996220710524</v>
      </c>
      <c r="FZ17" s="5">
        <f t="shared" si="64"/>
        <v>-8.0342365835222971</v>
      </c>
      <c r="GA17" s="10">
        <f t="shared" si="65"/>
        <v>0.35999205312435378</v>
      </c>
      <c r="GB17" s="9">
        <f t="shared" si="118"/>
        <v>10.812353426545826</v>
      </c>
      <c r="GC17" s="8">
        <f t="shared" si="119"/>
        <v>-6.2939720529790302</v>
      </c>
      <c r="GD17" s="8">
        <f t="shared" si="120"/>
        <v>0.91604182480844654</v>
      </c>
      <c r="GE17" s="7">
        <f t="shared" si="121"/>
        <v>0.91602720670210647</v>
      </c>
      <c r="GF17" s="6">
        <f t="shared" si="66"/>
        <v>0.97086693288193027</v>
      </c>
      <c r="GG17" s="5">
        <f t="shared" si="67"/>
        <v>0.9909746972550173</v>
      </c>
      <c r="GH17" s="4">
        <f t="shared" si="68"/>
        <v>0.97787988384015234</v>
      </c>
      <c r="GI17" s="4">
        <f t="shared" si="69"/>
        <v>0.99501312126331209</v>
      </c>
      <c r="GJ17" s="4">
        <f t="shared" si="70"/>
        <v>0.45556041506119471</v>
      </c>
      <c r="GK17" s="1"/>
    </row>
    <row r="18" spans="1:193" x14ac:dyDescent="0.4">
      <c r="A18" s="34"/>
      <c r="B18" s="21"/>
      <c r="C18" s="21"/>
      <c r="D18" s="34"/>
      <c r="E18" s="34"/>
      <c r="F18" s="20" t="s">
        <v>82</v>
      </c>
      <c r="G18" s="19">
        <v>1050</v>
      </c>
      <c r="H18" s="18">
        <v>1E-4</v>
      </c>
      <c r="I18" s="17">
        <v>2.6</v>
      </c>
      <c r="J18" s="16">
        <v>49.6</v>
      </c>
      <c r="K18" s="16">
        <v>0.92</v>
      </c>
      <c r="L18" s="16">
        <v>14.6</v>
      </c>
      <c r="M18" s="16">
        <v>0</v>
      </c>
      <c r="N18" s="16">
        <v>9</v>
      </c>
      <c r="O18" s="16">
        <v>0</v>
      </c>
      <c r="P18" s="16">
        <v>8.6999999999999993</v>
      </c>
      <c r="Q18" s="16">
        <v>12.4</v>
      </c>
      <c r="R18" s="16">
        <v>2.2999999999999998</v>
      </c>
      <c r="S18" s="16">
        <v>0.21</v>
      </c>
      <c r="T18" s="16">
        <v>0</v>
      </c>
      <c r="U18" s="15">
        <v>0</v>
      </c>
      <c r="V18" s="16"/>
      <c r="W18" s="28">
        <f t="shared" si="71"/>
        <v>50.752072035199014</v>
      </c>
      <c r="X18" s="24">
        <f t="shared" si="0"/>
        <v>0.94136907807223991</v>
      </c>
      <c r="Y18" s="24">
        <f t="shared" si="0"/>
        <v>14.939117978102937</v>
      </c>
      <c r="Z18" s="24">
        <f t="shared" si="0"/>
        <v>0</v>
      </c>
      <c r="AA18" s="24">
        <f t="shared" si="0"/>
        <v>9.209045328967564</v>
      </c>
      <c r="AB18" s="24">
        <f t="shared" si="0"/>
        <v>0</v>
      </c>
      <c r="AC18" s="24">
        <f t="shared" si="0"/>
        <v>8.9020771513353107</v>
      </c>
      <c r="AD18" s="24">
        <f t="shared" si="0"/>
        <v>12.688018008799753</v>
      </c>
      <c r="AE18" s="24">
        <f t="shared" si="0"/>
        <v>2.3534226951805994</v>
      </c>
      <c r="AF18" s="24">
        <f t="shared" si="0"/>
        <v>0.21487772434257646</v>
      </c>
      <c r="AG18" s="24">
        <f t="shared" si="0"/>
        <v>0</v>
      </c>
      <c r="AH18" s="24">
        <f t="shared" si="0"/>
        <v>0</v>
      </c>
      <c r="AI18" s="14">
        <f t="shared" si="72"/>
        <v>99.999999999999986</v>
      </c>
      <c r="AJ18" s="26"/>
      <c r="AK18" s="50">
        <f t="shared" si="73"/>
        <v>0.84460096580460997</v>
      </c>
      <c r="AL18" s="47">
        <f t="shared" si="74"/>
        <v>1.1781840776874091E-2</v>
      </c>
      <c r="AM18" s="47">
        <f t="shared" si="75"/>
        <v>0.14651939954985227</v>
      </c>
      <c r="AN18" s="49">
        <f t="shared" si="76"/>
        <v>0</v>
      </c>
      <c r="AO18" s="49">
        <f t="shared" si="77"/>
        <v>0.12817042907400925</v>
      </c>
      <c r="AP18" s="47">
        <f t="shared" si="78"/>
        <v>0</v>
      </c>
      <c r="AQ18" s="47">
        <f t="shared" si="79"/>
        <v>0.2207856436343083</v>
      </c>
      <c r="AR18" s="47">
        <f t="shared" si="80"/>
        <v>0.22624853796005268</v>
      </c>
      <c r="AS18" s="47">
        <f t="shared" si="81"/>
        <v>3.7970679173614061E-2</v>
      </c>
      <c r="AT18" s="47">
        <f t="shared" si="82"/>
        <v>2.2810798762481575E-3</v>
      </c>
      <c r="AU18" s="47">
        <f t="shared" si="83"/>
        <v>0</v>
      </c>
      <c r="AV18" s="47">
        <f t="shared" si="84"/>
        <v>0</v>
      </c>
      <c r="AW18" s="47">
        <f t="shared" si="85"/>
        <v>1.6183585758495689</v>
      </c>
      <c r="AX18" s="47">
        <f t="shared" si="86"/>
        <v>7.6576183616429427E-2</v>
      </c>
      <c r="AY18" s="46">
        <f t="shared" si="87"/>
        <v>2.5805317679431197E-2</v>
      </c>
      <c r="AZ18" s="26"/>
      <c r="BA18" s="23">
        <f t="shared" si="88"/>
        <v>0.52188741012555306</v>
      </c>
      <c r="BB18" s="13">
        <f t="shared" si="6"/>
        <v>7.2801176158930848E-3</v>
      </c>
      <c r="BC18" s="13">
        <f t="shared" si="7"/>
        <v>9.0535806919635142E-2</v>
      </c>
      <c r="BD18" s="13">
        <f t="shared" si="8"/>
        <v>0</v>
      </c>
      <c r="BE18" s="13">
        <f t="shared" si="9"/>
        <v>7.9197793978831463E-2</v>
      </c>
      <c r="BF18" s="13">
        <f t="shared" si="10"/>
        <v>4.7317192097697025E-2</v>
      </c>
      <c r="BG18" s="13">
        <f t="shared" si="11"/>
        <v>1.5945364682783302E-2</v>
      </c>
      <c r="BH18" s="13">
        <f t="shared" si="12"/>
        <v>0</v>
      </c>
      <c r="BI18" s="13">
        <f t="shared" si="13"/>
        <v>0.13642566420634272</v>
      </c>
      <c r="BJ18" s="13">
        <f t="shared" si="14"/>
        <v>0.13980124141603284</v>
      </c>
      <c r="BK18" s="13">
        <f t="shared" si="15"/>
        <v>2.3462463597525709E-2</v>
      </c>
      <c r="BL18" s="13">
        <f t="shared" si="16"/>
        <v>1.4095021401858907E-3</v>
      </c>
      <c r="BM18" s="13">
        <f t="shared" si="17"/>
        <v>0</v>
      </c>
      <c r="BN18" s="13">
        <f t="shared" si="18"/>
        <v>0</v>
      </c>
      <c r="BO18" s="12">
        <f t="shared" si="89"/>
        <v>0.99999999999999989</v>
      </c>
      <c r="BP18" s="13"/>
      <c r="BQ18" s="23">
        <f t="shared" si="90"/>
        <v>1.6892019316092199</v>
      </c>
      <c r="BR18" s="13">
        <f t="shared" si="19"/>
        <v>2.3563681553748182E-2</v>
      </c>
      <c r="BS18" s="13">
        <f t="shared" si="20"/>
        <v>0.43938582288538047</v>
      </c>
      <c r="BT18" s="13">
        <f t="shared" si="21"/>
        <v>0</v>
      </c>
      <c r="BU18" s="13">
        <f t="shared" si="22"/>
        <v>0.12817042907400925</v>
      </c>
      <c r="BV18" s="13">
        <f t="shared" si="91"/>
        <v>7.6576183616429427E-2</v>
      </c>
      <c r="BW18" s="24">
        <f t="shared" si="92"/>
        <v>7.74159530382936E-2</v>
      </c>
      <c r="BX18" s="13">
        <f t="shared" si="23"/>
        <v>0</v>
      </c>
      <c r="BY18" s="13">
        <f t="shared" si="24"/>
        <v>0.22089521467333278</v>
      </c>
      <c r="BZ18" s="13">
        <f t="shared" si="25"/>
        <v>0.22616787894473714</v>
      </c>
      <c r="CA18" s="13">
        <f t="shared" si="26"/>
        <v>3.7958430567429022E-2</v>
      </c>
      <c r="CB18" s="13">
        <f t="shared" si="27"/>
        <v>2.2810798762481575E-3</v>
      </c>
      <c r="CC18" s="13">
        <f t="shared" si="28"/>
        <v>0</v>
      </c>
      <c r="CD18" s="13">
        <f t="shared" si="93"/>
        <v>0</v>
      </c>
      <c r="CE18" s="12">
        <f t="shared" si="94"/>
        <v>2.767624469184105</v>
      </c>
      <c r="CF18" s="13"/>
      <c r="CG18" s="23">
        <f t="shared" si="29"/>
        <v>0.61034361793570802</v>
      </c>
      <c r="CH18" s="13">
        <f t="shared" si="29"/>
        <v>8.5140458238161017E-3</v>
      </c>
      <c r="CI18" s="13">
        <f t="shared" si="29"/>
        <v>0.15875919142126652</v>
      </c>
      <c r="CJ18" s="13">
        <f t="shared" si="29"/>
        <v>0</v>
      </c>
      <c r="CK18" s="13">
        <f t="shared" si="29"/>
        <v>4.6310628664080956E-2</v>
      </c>
      <c r="CL18" s="13">
        <f t="shared" si="29"/>
        <v>2.7668559975914674E-2</v>
      </c>
      <c r="CM18" s="13">
        <f t="shared" si="29"/>
        <v>2.7971986048062294E-2</v>
      </c>
      <c r="CN18" s="13">
        <f t="shared" si="29"/>
        <v>0</v>
      </c>
      <c r="CO18" s="13">
        <f t="shared" si="29"/>
        <v>7.9814012750961352E-2</v>
      </c>
      <c r="CP18" s="13">
        <f t="shared" si="29"/>
        <v>8.1719135476284968E-2</v>
      </c>
      <c r="CQ18" s="13">
        <f t="shared" si="29"/>
        <v>1.3715166558929563E-2</v>
      </c>
      <c r="CR18" s="13">
        <f t="shared" si="29"/>
        <v>8.2420136895256576E-4</v>
      </c>
      <c r="CS18" s="13">
        <f t="shared" si="29"/>
        <v>0</v>
      </c>
      <c r="CT18" s="13">
        <f t="shared" si="29"/>
        <v>0</v>
      </c>
      <c r="CU18" s="12">
        <f t="shared" si="30"/>
        <v>1</v>
      </c>
      <c r="CV18" s="26"/>
      <c r="CW18" s="23">
        <f t="shared" si="31"/>
        <v>0.84460096580460997</v>
      </c>
      <c r="CX18" s="13">
        <f t="shared" si="32"/>
        <v>1.1781840776874091E-2</v>
      </c>
      <c r="CY18" s="13">
        <f t="shared" si="33"/>
        <v>0.29292388192358698</v>
      </c>
      <c r="CZ18" s="13">
        <f t="shared" si="34"/>
        <v>0</v>
      </c>
      <c r="DA18" s="13">
        <f t="shared" si="35"/>
        <v>0.17270194986072424</v>
      </c>
      <c r="DB18" s="13">
        <f t="shared" si="36"/>
        <v>7.6576183616429427E-2</v>
      </c>
      <c r="DC18" s="24">
        <f t="shared" si="37"/>
        <v>5.1610635358862393E-2</v>
      </c>
      <c r="DD18" s="13">
        <f t="shared" si="38"/>
        <v>0</v>
      </c>
      <c r="DE18" s="13">
        <f t="shared" si="39"/>
        <v>0.22089521467333278</v>
      </c>
      <c r="DF18" s="13">
        <f t="shared" si="40"/>
        <v>0.22616787894473714</v>
      </c>
      <c r="DG18" s="13">
        <f t="shared" si="41"/>
        <v>7.5916861134858044E-2</v>
      </c>
      <c r="DH18" s="13">
        <f t="shared" si="42"/>
        <v>4.5621597524963149E-3</v>
      </c>
      <c r="DI18" s="13">
        <f t="shared" si="43"/>
        <v>0</v>
      </c>
      <c r="DJ18" s="13">
        <f t="shared" si="95"/>
        <v>0</v>
      </c>
      <c r="DK18" s="12">
        <f t="shared" si="96"/>
        <v>1.8495507528712194</v>
      </c>
      <c r="DL18" s="26"/>
      <c r="DM18" s="23">
        <f t="shared" si="97"/>
        <v>0.45665195426157518</v>
      </c>
      <c r="DN18" s="13">
        <f t="shared" si="44"/>
        <v>6.3701094758195249E-3</v>
      </c>
      <c r="DO18" s="13">
        <f t="shared" si="44"/>
        <v>0.15837569283722311</v>
      </c>
      <c r="DP18" s="13">
        <f t="shared" si="44"/>
        <v>0</v>
      </c>
      <c r="DQ18" s="13">
        <f t="shared" si="44"/>
        <v>9.3375080187782844E-2</v>
      </c>
      <c r="DR18" s="13">
        <f t="shared" si="44"/>
        <v>4.1402585734699911E-2</v>
      </c>
      <c r="DS18" s="13">
        <f t="shared" si="44"/>
        <v>2.7904416939487975E-2</v>
      </c>
      <c r="DT18" s="13">
        <f t="shared" si="44"/>
        <v>0</v>
      </c>
      <c r="DU18" s="13">
        <f t="shared" si="44"/>
        <v>0.11943182112219296</v>
      </c>
      <c r="DV18" s="13">
        <f t="shared" si="44"/>
        <v>0.12228260219063303</v>
      </c>
      <c r="DW18" s="13">
        <f t="shared" si="44"/>
        <v>4.1046108638546769E-2</v>
      </c>
      <c r="DX18" s="13">
        <f t="shared" si="44"/>
        <v>2.4666312862267094E-3</v>
      </c>
      <c r="DY18" s="13">
        <f t="shared" si="44"/>
        <v>0</v>
      </c>
      <c r="DZ18" s="13">
        <f t="shared" si="44"/>
        <v>0</v>
      </c>
      <c r="EA18" s="12">
        <f t="shared" si="45"/>
        <v>1</v>
      </c>
      <c r="EB18" s="26"/>
      <c r="EC18" s="30">
        <f t="shared" si="46"/>
        <v>1323</v>
      </c>
      <c r="ED18" s="14">
        <f t="shared" si="98"/>
        <v>100000</v>
      </c>
      <c r="EE18" s="29"/>
      <c r="EF18" s="184">
        <f t="shared" si="122"/>
        <v>-7.6342365835222967</v>
      </c>
      <c r="EG18" s="13">
        <f t="shared" si="99"/>
        <v>2.6</v>
      </c>
      <c r="EH18" s="13">
        <f t="shared" si="100"/>
        <v>1.8492660619803498</v>
      </c>
      <c r="EI18" s="12">
        <f t="shared" si="47"/>
        <v>6.4414996220710528</v>
      </c>
      <c r="EJ18" s="29"/>
      <c r="EK18" s="28">
        <f t="shared" si="101"/>
        <v>-1.0880231459871017</v>
      </c>
      <c r="EL18" s="24">
        <f t="shared" si="102"/>
        <v>-0.47243731914333553</v>
      </c>
      <c r="EM18" s="24">
        <f t="shared" si="103"/>
        <v>0.33688180202356199</v>
      </c>
      <c r="EN18" s="24">
        <f t="shared" si="104"/>
        <v>4.7317192097697025E-2</v>
      </c>
      <c r="EO18" s="24">
        <f t="shared" si="105"/>
        <v>1.5940300940567222E-2</v>
      </c>
      <c r="EP18" s="24">
        <f t="shared" si="106"/>
        <v>0.40254406441744711</v>
      </c>
      <c r="EQ18" s="24">
        <f t="shared" si="107"/>
        <v>-1.087705527260338</v>
      </c>
      <c r="ER18" s="24">
        <f t="shared" si="48"/>
        <v>-17.57645215397568</v>
      </c>
      <c r="ES18" s="25">
        <f t="shared" si="49"/>
        <v>-7.6319809613441949</v>
      </c>
      <c r="ET18" s="26"/>
      <c r="EU18" s="23">
        <f t="shared" si="123"/>
        <v>0.54979628574181305</v>
      </c>
      <c r="EV18" s="12">
        <f t="shared" si="50"/>
        <v>0.78004913516165575</v>
      </c>
      <c r="EW18" s="26"/>
      <c r="EX18" s="27">
        <f t="shared" si="108"/>
        <v>0.99920630222183082</v>
      </c>
      <c r="EY18" s="26"/>
      <c r="EZ18" s="23">
        <f t="shared" si="51"/>
        <v>-3.5202195889606056</v>
      </c>
      <c r="FA18" s="13">
        <f t="shared" si="52"/>
        <v>15.38578058937372</v>
      </c>
      <c r="FB18" s="13">
        <f t="shared" si="53"/>
        <v>-21.845149910644157</v>
      </c>
      <c r="FC18" s="13">
        <f t="shared" si="54"/>
        <v>5.5941913817620161</v>
      </c>
      <c r="FD18" s="12">
        <f t="shared" si="55"/>
        <v>0.99629437701612922</v>
      </c>
      <c r="FE18" s="13"/>
      <c r="FF18" s="23">
        <f t="shared" si="56"/>
        <v>-6.1356749530311658</v>
      </c>
      <c r="FG18" s="13">
        <f t="shared" si="57"/>
        <v>11.493162261792662</v>
      </c>
      <c r="FH18" s="13">
        <f t="shared" si="58"/>
        <v>12.010989548537111</v>
      </c>
      <c r="FI18" s="24">
        <f t="shared" si="109"/>
        <v>0.99565743932436435</v>
      </c>
      <c r="FJ18" s="25">
        <f t="shared" si="59"/>
        <v>0.99867799181271932</v>
      </c>
      <c r="FK18" s="13"/>
      <c r="FL18" s="23">
        <f t="shared" si="110"/>
        <v>10.812353426545826</v>
      </c>
      <c r="FM18" s="13">
        <f t="shared" si="124"/>
        <v>-6.3196556184517831</v>
      </c>
      <c r="FN18" s="13">
        <f t="shared" si="111"/>
        <v>1.8635358779530158</v>
      </c>
      <c r="FO18" s="13">
        <f t="shared" si="60"/>
        <v>0.98649302362134195</v>
      </c>
      <c r="FP18" s="23">
        <f t="shared" si="112"/>
        <v>1.8634533382704763</v>
      </c>
      <c r="FQ18" s="13">
        <f t="shared" si="113"/>
        <v>0.98649049099688124</v>
      </c>
      <c r="FR18" s="13">
        <f t="shared" si="114"/>
        <v>1.8634856889885416</v>
      </c>
      <c r="FS18" s="13">
        <f t="shared" si="115"/>
        <v>0.98649148369304529</v>
      </c>
      <c r="FT18" s="13">
        <f t="shared" si="116"/>
        <v>1.8634450238335898</v>
      </c>
      <c r="FU18" s="12">
        <f t="shared" si="117"/>
        <v>0.98649023585306739</v>
      </c>
      <c r="FV18" s="22"/>
      <c r="FW18" s="11">
        <f t="shared" si="61"/>
        <v>2.6</v>
      </c>
      <c r="FX18" s="10">
        <f t="shared" si="62"/>
        <v>1.8492660619803498</v>
      </c>
      <c r="FY18" s="10">
        <f t="shared" si="63"/>
        <v>6.4414996220710528</v>
      </c>
      <c r="FZ18" s="5">
        <f t="shared" si="64"/>
        <v>-7.6342365835222967</v>
      </c>
      <c r="GA18" s="10">
        <f t="shared" si="65"/>
        <v>0.40254406441744711</v>
      </c>
      <c r="GB18" s="9">
        <f t="shared" si="118"/>
        <v>10.812353426545826</v>
      </c>
      <c r="GC18" s="8">
        <f t="shared" si="119"/>
        <v>-6.3196556184517831</v>
      </c>
      <c r="GD18" s="8">
        <f t="shared" si="120"/>
        <v>0.98649302362134195</v>
      </c>
      <c r="GE18" s="7">
        <f t="shared" si="121"/>
        <v>0.98649049099688124</v>
      </c>
      <c r="GF18" s="6">
        <f t="shared" si="66"/>
        <v>0.99565743932436435</v>
      </c>
      <c r="GG18" s="5">
        <f t="shared" si="67"/>
        <v>0.99867799181271932</v>
      </c>
      <c r="GH18" s="4">
        <f t="shared" si="68"/>
        <v>0.99629437701612922</v>
      </c>
      <c r="GI18" s="4">
        <f t="shared" si="69"/>
        <v>0.99920630222183082</v>
      </c>
      <c r="GJ18" s="4">
        <f t="shared" si="70"/>
        <v>0.78004913516165575</v>
      </c>
      <c r="GK18" s="1"/>
    </row>
    <row r="19" spans="1:193" x14ac:dyDescent="0.4">
      <c r="A19" s="34"/>
      <c r="B19" s="21"/>
      <c r="C19" s="21"/>
      <c r="D19" s="34"/>
      <c r="E19" s="34"/>
      <c r="F19" s="20" t="s">
        <v>82</v>
      </c>
      <c r="G19" s="19">
        <v>1050</v>
      </c>
      <c r="H19" s="18">
        <v>1E-4</v>
      </c>
      <c r="I19" s="17">
        <v>3</v>
      </c>
      <c r="J19" s="16">
        <v>49.6</v>
      </c>
      <c r="K19" s="16">
        <v>0.92</v>
      </c>
      <c r="L19" s="16">
        <v>14.6</v>
      </c>
      <c r="M19" s="16">
        <v>0</v>
      </c>
      <c r="N19" s="16">
        <v>9</v>
      </c>
      <c r="O19" s="16">
        <v>0</v>
      </c>
      <c r="P19" s="16">
        <v>8.6999999999999993</v>
      </c>
      <c r="Q19" s="16">
        <v>12.4</v>
      </c>
      <c r="R19" s="16">
        <v>2.2999999999999998</v>
      </c>
      <c r="S19" s="16">
        <v>0.21</v>
      </c>
      <c r="T19" s="16">
        <v>0</v>
      </c>
      <c r="U19" s="15">
        <v>0</v>
      </c>
      <c r="V19" s="16"/>
      <c r="W19" s="28">
        <f t="shared" si="71"/>
        <v>50.752072035199014</v>
      </c>
      <c r="X19" s="24">
        <f t="shared" si="0"/>
        <v>0.94136907807223991</v>
      </c>
      <c r="Y19" s="24">
        <f t="shared" si="0"/>
        <v>14.939117978102937</v>
      </c>
      <c r="Z19" s="24">
        <f t="shared" si="0"/>
        <v>0</v>
      </c>
      <c r="AA19" s="24">
        <f t="shared" si="0"/>
        <v>9.209045328967564</v>
      </c>
      <c r="AB19" s="24">
        <f t="shared" si="0"/>
        <v>0</v>
      </c>
      <c r="AC19" s="24">
        <f t="shared" si="0"/>
        <v>8.9020771513353107</v>
      </c>
      <c r="AD19" s="24">
        <f t="shared" si="0"/>
        <v>12.688018008799753</v>
      </c>
      <c r="AE19" s="24">
        <f t="shared" si="0"/>
        <v>2.3534226951805994</v>
      </c>
      <c r="AF19" s="24">
        <f t="shared" si="0"/>
        <v>0.21487772434257646</v>
      </c>
      <c r="AG19" s="24">
        <f t="shared" si="0"/>
        <v>0</v>
      </c>
      <c r="AH19" s="24">
        <f t="shared" si="0"/>
        <v>0</v>
      </c>
      <c r="AI19" s="14">
        <f t="shared" si="72"/>
        <v>99.999999999999986</v>
      </c>
      <c r="AJ19" s="26"/>
      <c r="AK19" s="50">
        <f t="shared" si="73"/>
        <v>0.84460096580460997</v>
      </c>
      <c r="AL19" s="47">
        <f t="shared" si="74"/>
        <v>1.1781840776874091E-2</v>
      </c>
      <c r="AM19" s="47">
        <f t="shared" si="75"/>
        <v>0.14651939954985227</v>
      </c>
      <c r="AN19" s="49">
        <f t="shared" si="76"/>
        <v>0</v>
      </c>
      <c r="AO19" s="49">
        <f t="shared" si="77"/>
        <v>0.12817042907400925</v>
      </c>
      <c r="AP19" s="47">
        <f t="shared" si="78"/>
        <v>0</v>
      </c>
      <c r="AQ19" s="47">
        <f t="shared" si="79"/>
        <v>0.2207856436343083</v>
      </c>
      <c r="AR19" s="47">
        <f t="shared" si="80"/>
        <v>0.22624853796005268</v>
      </c>
      <c r="AS19" s="47">
        <f t="shared" si="81"/>
        <v>3.7970679173614061E-2</v>
      </c>
      <c r="AT19" s="47">
        <f t="shared" si="82"/>
        <v>2.2810798762481575E-3</v>
      </c>
      <c r="AU19" s="47">
        <f t="shared" si="83"/>
        <v>0</v>
      </c>
      <c r="AV19" s="47">
        <f t="shared" si="84"/>
        <v>0</v>
      </c>
      <c r="AW19" s="47">
        <f t="shared" si="85"/>
        <v>1.6183585758495689</v>
      </c>
      <c r="AX19" s="47">
        <f t="shared" si="86"/>
        <v>7.0927474364889095E-2</v>
      </c>
      <c r="AY19" s="46">
        <f t="shared" si="87"/>
        <v>2.8630569515599398E-2</v>
      </c>
      <c r="AZ19" s="26"/>
      <c r="BA19" s="23">
        <f t="shared" si="88"/>
        <v>0.52188741012555306</v>
      </c>
      <c r="BB19" s="13">
        <f t="shared" si="6"/>
        <v>7.2801176158930848E-3</v>
      </c>
      <c r="BC19" s="13">
        <f t="shared" si="7"/>
        <v>9.0535806919635142E-2</v>
      </c>
      <c r="BD19" s="13">
        <f t="shared" si="8"/>
        <v>0</v>
      </c>
      <c r="BE19" s="13">
        <f t="shared" si="9"/>
        <v>7.9197793978831463E-2</v>
      </c>
      <c r="BF19" s="13">
        <f t="shared" si="10"/>
        <v>4.3826797981192281E-2</v>
      </c>
      <c r="BG19" s="13">
        <f t="shared" si="11"/>
        <v>1.7691116136341771E-2</v>
      </c>
      <c r="BH19" s="13">
        <f t="shared" si="12"/>
        <v>0</v>
      </c>
      <c r="BI19" s="13">
        <f t="shared" si="13"/>
        <v>0.13642566420634272</v>
      </c>
      <c r="BJ19" s="13">
        <f t="shared" si="14"/>
        <v>0.13980124141603284</v>
      </c>
      <c r="BK19" s="13">
        <f t="shared" si="15"/>
        <v>2.3462463597525709E-2</v>
      </c>
      <c r="BL19" s="13">
        <f t="shared" si="16"/>
        <v>1.4095021401858907E-3</v>
      </c>
      <c r="BM19" s="13">
        <f t="shared" si="17"/>
        <v>0</v>
      </c>
      <c r="BN19" s="13">
        <f t="shared" si="18"/>
        <v>0</v>
      </c>
      <c r="BO19" s="12">
        <f t="shared" si="89"/>
        <v>0.99999999999999989</v>
      </c>
      <c r="BP19" s="13"/>
      <c r="BQ19" s="23">
        <f t="shared" si="90"/>
        <v>1.6892019316092199</v>
      </c>
      <c r="BR19" s="13">
        <f t="shared" si="19"/>
        <v>2.3563681553748182E-2</v>
      </c>
      <c r="BS19" s="13">
        <f t="shared" si="20"/>
        <v>0.43938582288538047</v>
      </c>
      <c r="BT19" s="13">
        <f t="shared" si="21"/>
        <v>0</v>
      </c>
      <c r="BU19" s="13">
        <f t="shared" si="22"/>
        <v>0.12817042907400925</v>
      </c>
      <c r="BV19" s="13">
        <f t="shared" si="91"/>
        <v>7.0927474364889095E-2</v>
      </c>
      <c r="BW19" s="24">
        <f t="shared" si="92"/>
        <v>8.5891708546798201E-2</v>
      </c>
      <c r="BX19" s="13">
        <f t="shared" si="23"/>
        <v>0</v>
      </c>
      <c r="BY19" s="13">
        <f t="shared" si="24"/>
        <v>0.22089521467333278</v>
      </c>
      <c r="BZ19" s="13">
        <f t="shared" si="25"/>
        <v>0.22616787894473714</v>
      </c>
      <c r="CA19" s="13">
        <f t="shared" si="26"/>
        <v>3.7958430567429022E-2</v>
      </c>
      <c r="CB19" s="13">
        <f t="shared" si="27"/>
        <v>2.2810798762481575E-3</v>
      </c>
      <c r="CC19" s="13">
        <f t="shared" si="28"/>
        <v>0</v>
      </c>
      <c r="CD19" s="13">
        <f t="shared" si="93"/>
        <v>0</v>
      </c>
      <c r="CE19" s="12">
        <f t="shared" si="94"/>
        <v>2.767624469184105</v>
      </c>
      <c r="CF19" s="13"/>
      <c r="CG19" s="23">
        <f t="shared" si="29"/>
        <v>0.61034361793570802</v>
      </c>
      <c r="CH19" s="13">
        <f t="shared" si="29"/>
        <v>8.5140458238161017E-3</v>
      </c>
      <c r="CI19" s="13">
        <f t="shared" si="29"/>
        <v>0.15875919142126652</v>
      </c>
      <c r="CJ19" s="13">
        <f t="shared" si="29"/>
        <v>0</v>
      </c>
      <c r="CK19" s="13">
        <f t="shared" si="29"/>
        <v>4.6310628664080956E-2</v>
      </c>
      <c r="CL19" s="13">
        <f t="shared" si="29"/>
        <v>2.5627564416569312E-2</v>
      </c>
      <c r="CM19" s="13">
        <f t="shared" si="29"/>
        <v>3.1034451929137286E-2</v>
      </c>
      <c r="CN19" s="13">
        <f t="shared" si="29"/>
        <v>0</v>
      </c>
      <c r="CO19" s="13">
        <f t="shared" si="29"/>
        <v>7.9814012750961352E-2</v>
      </c>
      <c r="CP19" s="13">
        <f t="shared" si="29"/>
        <v>8.1719135476284968E-2</v>
      </c>
      <c r="CQ19" s="13">
        <f t="shared" si="29"/>
        <v>1.3715166558929563E-2</v>
      </c>
      <c r="CR19" s="13">
        <f t="shared" si="29"/>
        <v>8.2420136895256576E-4</v>
      </c>
      <c r="CS19" s="13">
        <f t="shared" si="29"/>
        <v>0</v>
      </c>
      <c r="CT19" s="13">
        <f t="shared" si="29"/>
        <v>0</v>
      </c>
      <c r="CU19" s="12">
        <f t="shared" si="30"/>
        <v>1</v>
      </c>
      <c r="CV19" s="26"/>
      <c r="CW19" s="23">
        <f t="shared" si="31"/>
        <v>0.84460096580460997</v>
      </c>
      <c r="CX19" s="13">
        <f t="shared" si="32"/>
        <v>1.1781840776874091E-2</v>
      </c>
      <c r="CY19" s="13">
        <f t="shared" si="33"/>
        <v>0.29292388192358698</v>
      </c>
      <c r="CZ19" s="13">
        <f t="shared" si="34"/>
        <v>0</v>
      </c>
      <c r="DA19" s="13">
        <f t="shared" si="35"/>
        <v>0.17270194986072424</v>
      </c>
      <c r="DB19" s="13">
        <f t="shared" si="36"/>
        <v>7.0927474364889095E-2</v>
      </c>
      <c r="DC19" s="24">
        <f t="shared" si="37"/>
        <v>5.7261139031198796E-2</v>
      </c>
      <c r="DD19" s="13">
        <f t="shared" si="38"/>
        <v>0</v>
      </c>
      <c r="DE19" s="13">
        <f t="shared" si="39"/>
        <v>0.22089521467333278</v>
      </c>
      <c r="DF19" s="13">
        <f t="shared" si="40"/>
        <v>0.22616787894473714</v>
      </c>
      <c r="DG19" s="13">
        <f t="shared" si="41"/>
        <v>7.5916861134858044E-2</v>
      </c>
      <c r="DH19" s="13">
        <f t="shared" si="42"/>
        <v>4.5621597524963149E-3</v>
      </c>
      <c r="DI19" s="13">
        <f t="shared" si="43"/>
        <v>0</v>
      </c>
      <c r="DJ19" s="13">
        <f t="shared" si="95"/>
        <v>0</v>
      </c>
      <c r="DK19" s="12">
        <f t="shared" si="96"/>
        <v>1.8495507528712194</v>
      </c>
      <c r="DL19" s="26"/>
      <c r="DM19" s="23">
        <f t="shared" si="97"/>
        <v>0.45665195426157518</v>
      </c>
      <c r="DN19" s="13">
        <f t="shared" si="44"/>
        <v>6.3701094758195249E-3</v>
      </c>
      <c r="DO19" s="13">
        <f t="shared" si="44"/>
        <v>0.15837569283722311</v>
      </c>
      <c r="DP19" s="13">
        <f t="shared" si="44"/>
        <v>0</v>
      </c>
      <c r="DQ19" s="13">
        <f t="shared" si="44"/>
        <v>9.3375080187782844E-2</v>
      </c>
      <c r="DR19" s="13">
        <f t="shared" si="44"/>
        <v>3.8348487736701561E-2</v>
      </c>
      <c r="DS19" s="13">
        <f t="shared" si="44"/>
        <v>3.0959485130271403E-2</v>
      </c>
      <c r="DT19" s="13">
        <f t="shared" si="44"/>
        <v>0</v>
      </c>
      <c r="DU19" s="13">
        <f t="shared" si="44"/>
        <v>0.11943182112219296</v>
      </c>
      <c r="DV19" s="13">
        <f t="shared" si="44"/>
        <v>0.12228260219063303</v>
      </c>
      <c r="DW19" s="13">
        <f t="shared" si="44"/>
        <v>4.1046108638546769E-2</v>
      </c>
      <c r="DX19" s="13">
        <f t="shared" si="44"/>
        <v>2.4666312862267094E-3</v>
      </c>
      <c r="DY19" s="13">
        <f t="shared" si="44"/>
        <v>0</v>
      </c>
      <c r="DZ19" s="13">
        <f t="shared" si="44"/>
        <v>0</v>
      </c>
      <c r="EA19" s="12">
        <f t="shared" si="45"/>
        <v>1</v>
      </c>
      <c r="EB19" s="26"/>
      <c r="EC19" s="30">
        <f t="shared" si="46"/>
        <v>1323</v>
      </c>
      <c r="ED19" s="14">
        <f t="shared" si="98"/>
        <v>100000</v>
      </c>
      <c r="EE19" s="29"/>
      <c r="EF19" s="184">
        <f t="shared" si="122"/>
        <v>-7.2342365835222964</v>
      </c>
      <c r="EG19" s="13">
        <f t="shared" si="99"/>
        <v>3</v>
      </c>
      <c r="EH19" s="13">
        <f t="shared" si="100"/>
        <v>2.2492660619803502</v>
      </c>
      <c r="EI19" s="12">
        <f t="shared" si="47"/>
        <v>6.8414996220710531</v>
      </c>
      <c r="EJ19" s="29"/>
      <c r="EK19" s="28">
        <f t="shared" si="101"/>
        <v>-0.90750047469636852</v>
      </c>
      <c r="EL19" s="24">
        <f t="shared" si="102"/>
        <v>-0.39405144363715527</v>
      </c>
      <c r="EM19" s="24">
        <f t="shared" si="103"/>
        <v>0.4035316019757843</v>
      </c>
      <c r="EN19" s="24">
        <f t="shared" si="104"/>
        <v>4.3826797981192281E-2</v>
      </c>
      <c r="EO19" s="24">
        <f t="shared" si="105"/>
        <v>1.7685497998819591E-2</v>
      </c>
      <c r="EP19" s="24">
        <f t="shared" si="106"/>
        <v>0.44661592477049789</v>
      </c>
      <c r="EQ19" s="24">
        <f t="shared" si="107"/>
        <v>-0.90718285596960468</v>
      </c>
      <c r="ER19" s="24">
        <f t="shared" si="48"/>
        <v>-16.655418116778062</v>
      </c>
      <c r="ES19" s="25">
        <f t="shared" si="49"/>
        <v>-7.2320530250881729</v>
      </c>
      <c r="ET19" s="26"/>
      <c r="EU19" s="23">
        <f t="shared" si="123"/>
        <v>1.176996285741815</v>
      </c>
      <c r="EV19" s="12">
        <f t="shared" si="50"/>
        <v>0.93762199230630894</v>
      </c>
      <c r="EW19" s="26"/>
      <c r="EX19" s="27">
        <f t="shared" si="108"/>
        <v>0.99987412330575753</v>
      </c>
      <c r="EY19" s="26"/>
      <c r="EZ19" s="23">
        <f t="shared" si="51"/>
        <v>-3.5202195889606056</v>
      </c>
      <c r="FA19" s="13">
        <f t="shared" si="52"/>
        <v>15.347690931802312</v>
      </c>
      <c r="FB19" s="13">
        <f t="shared" si="53"/>
        <v>-21.845149910644157</v>
      </c>
      <c r="FC19" s="13">
        <f t="shared" si="54"/>
        <v>7.3981697985858474</v>
      </c>
      <c r="FD19" s="12">
        <f t="shared" si="55"/>
        <v>0.99938800226942126</v>
      </c>
      <c r="FE19" s="13"/>
      <c r="FF19" s="23">
        <f t="shared" si="56"/>
        <v>-6.1746081389202052</v>
      </c>
      <c r="FG19" s="13">
        <f t="shared" si="57"/>
        <v>11.493162261792662</v>
      </c>
      <c r="FH19" s="13">
        <f t="shared" si="58"/>
        <v>12.010989548537111</v>
      </c>
      <c r="FI19" s="24">
        <f t="shared" si="109"/>
        <v>0.99936841997231451</v>
      </c>
      <c r="FJ19" s="25">
        <f t="shared" si="59"/>
        <v>0.99980822491463373</v>
      </c>
      <c r="FK19" s="13"/>
      <c r="FL19" s="23">
        <f t="shared" si="110"/>
        <v>10.812353426545826</v>
      </c>
      <c r="FM19" s="13">
        <f t="shared" si="124"/>
        <v>-6.3462575204866596</v>
      </c>
      <c r="FN19" s="13">
        <f t="shared" si="111"/>
        <v>2.6901377799878929</v>
      </c>
      <c r="FO19" s="13">
        <f t="shared" si="60"/>
        <v>0.99796306725792805</v>
      </c>
      <c r="FP19" s="23">
        <f t="shared" si="112"/>
        <v>2.6900552403053535</v>
      </c>
      <c r="FQ19" s="13">
        <f t="shared" si="113"/>
        <v>0.99796268088139295</v>
      </c>
      <c r="FR19" s="13">
        <f t="shared" si="114"/>
        <v>2.6900875910234188</v>
      </c>
      <c r="FS19" s="13">
        <f t="shared" si="115"/>
        <v>0.99796283232706473</v>
      </c>
      <c r="FT19" s="13">
        <f t="shared" si="116"/>
        <v>2.6900469258684669</v>
      </c>
      <c r="FU19" s="12">
        <f t="shared" si="117"/>
        <v>0.9979626419566251</v>
      </c>
      <c r="FV19" s="22"/>
      <c r="FW19" s="11">
        <f t="shared" si="61"/>
        <v>3</v>
      </c>
      <c r="FX19" s="10">
        <f t="shared" si="62"/>
        <v>2.2492660619803502</v>
      </c>
      <c r="FY19" s="10">
        <f t="shared" si="63"/>
        <v>6.8414996220710531</v>
      </c>
      <c r="FZ19" s="5">
        <f t="shared" si="64"/>
        <v>-7.2342365835222964</v>
      </c>
      <c r="GA19" s="10">
        <f t="shared" si="65"/>
        <v>0.44661592477049789</v>
      </c>
      <c r="GB19" s="9">
        <f t="shared" si="118"/>
        <v>10.812353426545826</v>
      </c>
      <c r="GC19" s="8">
        <f t="shared" si="119"/>
        <v>-6.3462575204866596</v>
      </c>
      <c r="GD19" s="8">
        <f t="shared" si="120"/>
        <v>0.99796306725792805</v>
      </c>
      <c r="GE19" s="7">
        <f t="shared" si="121"/>
        <v>0.99796268088139295</v>
      </c>
      <c r="GF19" s="6">
        <f t="shared" si="66"/>
        <v>0.99936841997231451</v>
      </c>
      <c r="GG19" s="5">
        <f t="shared" si="67"/>
        <v>0.99980822491463373</v>
      </c>
      <c r="GH19" s="4">
        <f t="shared" si="68"/>
        <v>0.99938800226942126</v>
      </c>
      <c r="GI19" s="4">
        <f t="shared" si="69"/>
        <v>0.99987412330575753</v>
      </c>
      <c r="GJ19" s="4">
        <f t="shared" si="70"/>
        <v>0.93762199230630894</v>
      </c>
      <c r="GK19" s="1"/>
    </row>
    <row r="20" spans="1:193" x14ac:dyDescent="0.4">
      <c r="A20" s="34"/>
      <c r="B20" s="21"/>
      <c r="C20" s="21"/>
      <c r="D20" s="34"/>
      <c r="E20" s="34"/>
      <c r="F20" s="20" t="s">
        <v>82</v>
      </c>
      <c r="G20" s="19">
        <v>1050</v>
      </c>
      <c r="H20" s="18">
        <v>1E-4</v>
      </c>
      <c r="I20" s="17">
        <v>3.4</v>
      </c>
      <c r="J20" s="16">
        <v>49.6</v>
      </c>
      <c r="K20" s="16">
        <v>0.92</v>
      </c>
      <c r="L20" s="16">
        <v>14.6</v>
      </c>
      <c r="M20" s="16">
        <v>0</v>
      </c>
      <c r="N20" s="16">
        <v>9</v>
      </c>
      <c r="O20" s="16">
        <v>0</v>
      </c>
      <c r="P20" s="16">
        <v>8.6999999999999993</v>
      </c>
      <c r="Q20" s="16">
        <v>12.4</v>
      </c>
      <c r="R20" s="16">
        <v>2.2999999999999998</v>
      </c>
      <c r="S20" s="16">
        <v>0.21</v>
      </c>
      <c r="T20" s="16">
        <v>0</v>
      </c>
      <c r="U20" s="15">
        <v>0</v>
      </c>
      <c r="V20" s="16"/>
      <c r="W20" s="28">
        <f t="shared" si="71"/>
        <v>50.752072035199014</v>
      </c>
      <c r="X20" s="24">
        <f t="shared" si="0"/>
        <v>0.94136907807223991</v>
      </c>
      <c r="Y20" s="24">
        <f t="shared" si="0"/>
        <v>14.939117978102937</v>
      </c>
      <c r="Z20" s="24">
        <f t="shared" si="0"/>
        <v>0</v>
      </c>
      <c r="AA20" s="24">
        <f t="shared" si="0"/>
        <v>9.209045328967564</v>
      </c>
      <c r="AB20" s="24">
        <f t="shared" si="0"/>
        <v>0</v>
      </c>
      <c r="AC20" s="24">
        <f t="shared" si="0"/>
        <v>8.9020771513353107</v>
      </c>
      <c r="AD20" s="24">
        <f t="shared" si="0"/>
        <v>12.688018008799753</v>
      </c>
      <c r="AE20" s="24">
        <f t="shared" si="0"/>
        <v>2.3534226951805994</v>
      </c>
      <c r="AF20" s="24">
        <f t="shared" si="0"/>
        <v>0.21487772434257646</v>
      </c>
      <c r="AG20" s="24">
        <f t="shared" si="0"/>
        <v>0</v>
      </c>
      <c r="AH20" s="24">
        <f t="shared" si="0"/>
        <v>0</v>
      </c>
      <c r="AI20" s="14">
        <f t="shared" si="72"/>
        <v>99.999999999999986</v>
      </c>
      <c r="AJ20" s="26"/>
      <c r="AK20" s="50">
        <f t="shared" si="73"/>
        <v>0.84460096580460997</v>
      </c>
      <c r="AL20" s="47">
        <f t="shared" si="74"/>
        <v>1.1781840776874091E-2</v>
      </c>
      <c r="AM20" s="47">
        <f t="shared" si="75"/>
        <v>0.14651939954985227</v>
      </c>
      <c r="AN20" s="49">
        <f t="shared" si="76"/>
        <v>0</v>
      </c>
      <c r="AO20" s="49">
        <f t="shared" si="77"/>
        <v>0.12817042907400925</v>
      </c>
      <c r="AP20" s="47">
        <f t="shared" si="78"/>
        <v>0</v>
      </c>
      <c r="AQ20" s="47">
        <f t="shared" si="79"/>
        <v>0.2207856436343083</v>
      </c>
      <c r="AR20" s="47">
        <f t="shared" si="80"/>
        <v>0.22624853796005268</v>
      </c>
      <c r="AS20" s="47">
        <f t="shared" si="81"/>
        <v>3.7970679173614061E-2</v>
      </c>
      <c r="AT20" s="47">
        <f t="shared" si="82"/>
        <v>2.2810798762481575E-3</v>
      </c>
      <c r="AU20" s="47">
        <f t="shared" si="83"/>
        <v>0</v>
      </c>
      <c r="AV20" s="47">
        <f t="shared" si="84"/>
        <v>0</v>
      </c>
      <c r="AW20" s="47">
        <f t="shared" si="85"/>
        <v>1.6183585758495689</v>
      </c>
      <c r="AX20" s="47">
        <f t="shared" si="86"/>
        <v>6.5169132520794718E-2</v>
      </c>
      <c r="AY20" s="46">
        <f t="shared" si="87"/>
        <v>3.1510655061492122E-2</v>
      </c>
      <c r="AZ20" s="26"/>
      <c r="BA20" s="23">
        <f t="shared" si="88"/>
        <v>0.52188741012555306</v>
      </c>
      <c r="BB20" s="13">
        <f t="shared" si="6"/>
        <v>7.2801176158930848E-3</v>
      </c>
      <c r="BC20" s="13">
        <f t="shared" si="7"/>
        <v>9.0535806919635142E-2</v>
      </c>
      <c r="BD20" s="13">
        <f t="shared" si="8"/>
        <v>0</v>
      </c>
      <c r="BE20" s="13">
        <f t="shared" si="9"/>
        <v>7.9197793978831463E-2</v>
      </c>
      <c r="BF20" s="13">
        <f t="shared" si="10"/>
        <v>4.0268660785872941E-2</v>
      </c>
      <c r="BG20" s="13">
        <f t="shared" si="11"/>
        <v>1.9470749889251446E-2</v>
      </c>
      <c r="BH20" s="13">
        <f t="shared" si="12"/>
        <v>0</v>
      </c>
      <c r="BI20" s="13">
        <f t="shared" si="13"/>
        <v>0.13642566420634272</v>
      </c>
      <c r="BJ20" s="13">
        <f t="shared" si="14"/>
        <v>0.13980124141603284</v>
      </c>
      <c r="BK20" s="13">
        <f t="shared" si="15"/>
        <v>2.3462463597525709E-2</v>
      </c>
      <c r="BL20" s="13">
        <f t="shared" si="16"/>
        <v>1.4095021401858907E-3</v>
      </c>
      <c r="BM20" s="13">
        <f t="shared" si="17"/>
        <v>0</v>
      </c>
      <c r="BN20" s="13">
        <f t="shared" si="18"/>
        <v>0</v>
      </c>
      <c r="BO20" s="12">
        <f t="shared" si="89"/>
        <v>0.99999999999999989</v>
      </c>
      <c r="BP20" s="13"/>
      <c r="BQ20" s="23">
        <f t="shared" si="90"/>
        <v>1.6892019316092199</v>
      </c>
      <c r="BR20" s="13">
        <f t="shared" si="19"/>
        <v>2.3563681553748182E-2</v>
      </c>
      <c r="BS20" s="13">
        <f t="shared" si="20"/>
        <v>0.43938582288538047</v>
      </c>
      <c r="BT20" s="13">
        <f t="shared" si="21"/>
        <v>0</v>
      </c>
      <c r="BU20" s="13">
        <f t="shared" si="22"/>
        <v>0.12817042907400925</v>
      </c>
      <c r="BV20" s="13">
        <f t="shared" si="91"/>
        <v>6.5169132520794718E-2</v>
      </c>
      <c r="BW20" s="24">
        <f t="shared" si="92"/>
        <v>9.453196518447636E-2</v>
      </c>
      <c r="BX20" s="13">
        <f t="shared" si="23"/>
        <v>0</v>
      </c>
      <c r="BY20" s="13">
        <f t="shared" si="24"/>
        <v>0.22089521467333278</v>
      </c>
      <c r="BZ20" s="13">
        <f t="shared" si="25"/>
        <v>0.22616787894473714</v>
      </c>
      <c r="CA20" s="13">
        <f t="shared" si="26"/>
        <v>3.7958430567429022E-2</v>
      </c>
      <c r="CB20" s="13">
        <f t="shared" si="27"/>
        <v>2.2810798762481575E-3</v>
      </c>
      <c r="CC20" s="13">
        <f t="shared" si="28"/>
        <v>0</v>
      </c>
      <c r="CD20" s="13">
        <f t="shared" si="93"/>
        <v>0</v>
      </c>
      <c r="CE20" s="12">
        <f t="shared" si="94"/>
        <v>2.767624469184105</v>
      </c>
      <c r="CF20" s="13"/>
      <c r="CG20" s="23">
        <f t="shared" si="29"/>
        <v>0.61034361793570802</v>
      </c>
      <c r="CH20" s="13">
        <f t="shared" si="29"/>
        <v>8.5140458238161017E-3</v>
      </c>
      <c r="CI20" s="13">
        <f t="shared" si="29"/>
        <v>0.15875919142126652</v>
      </c>
      <c r="CJ20" s="13">
        <f t="shared" si="29"/>
        <v>0</v>
      </c>
      <c r="CK20" s="13">
        <f t="shared" si="29"/>
        <v>4.6310628664080956E-2</v>
      </c>
      <c r="CL20" s="13">
        <f t="shared" si="29"/>
        <v>2.3546956332557128E-2</v>
      </c>
      <c r="CM20" s="13">
        <f t="shared" si="29"/>
        <v>3.4156355472729417E-2</v>
      </c>
      <c r="CN20" s="13">
        <f t="shared" si="29"/>
        <v>0</v>
      </c>
      <c r="CO20" s="13">
        <f t="shared" si="29"/>
        <v>7.9814012750961352E-2</v>
      </c>
      <c r="CP20" s="13">
        <f t="shared" si="29"/>
        <v>8.1719135476284968E-2</v>
      </c>
      <c r="CQ20" s="13">
        <f t="shared" si="29"/>
        <v>1.3715166558929563E-2</v>
      </c>
      <c r="CR20" s="13">
        <f t="shared" si="29"/>
        <v>8.2420136895256576E-4</v>
      </c>
      <c r="CS20" s="13">
        <f t="shared" si="29"/>
        <v>0</v>
      </c>
      <c r="CT20" s="13">
        <f t="shared" si="29"/>
        <v>0</v>
      </c>
      <c r="CU20" s="12">
        <f t="shared" si="30"/>
        <v>1</v>
      </c>
      <c r="CV20" s="26"/>
      <c r="CW20" s="23">
        <f t="shared" si="31"/>
        <v>0.84460096580460997</v>
      </c>
      <c r="CX20" s="13">
        <f t="shared" si="32"/>
        <v>1.1781840776874091E-2</v>
      </c>
      <c r="CY20" s="13">
        <f t="shared" si="33"/>
        <v>0.29292388192358698</v>
      </c>
      <c r="CZ20" s="13">
        <f t="shared" si="34"/>
        <v>0</v>
      </c>
      <c r="DA20" s="13">
        <f t="shared" si="35"/>
        <v>0.17270194986072424</v>
      </c>
      <c r="DB20" s="13">
        <f t="shared" si="36"/>
        <v>6.5169132520794718E-2</v>
      </c>
      <c r="DC20" s="24">
        <f t="shared" si="37"/>
        <v>6.3021310122984245E-2</v>
      </c>
      <c r="DD20" s="13">
        <f t="shared" si="38"/>
        <v>0</v>
      </c>
      <c r="DE20" s="13">
        <f t="shared" si="39"/>
        <v>0.22089521467333278</v>
      </c>
      <c r="DF20" s="13">
        <f t="shared" si="40"/>
        <v>0.22616787894473714</v>
      </c>
      <c r="DG20" s="13">
        <f t="shared" si="41"/>
        <v>7.5916861134858044E-2</v>
      </c>
      <c r="DH20" s="13">
        <f t="shared" si="42"/>
        <v>4.5621597524963149E-3</v>
      </c>
      <c r="DI20" s="13">
        <f t="shared" si="43"/>
        <v>0</v>
      </c>
      <c r="DJ20" s="13">
        <f t="shared" si="95"/>
        <v>0</v>
      </c>
      <c r="DK20" s="12">
        <f t="shared" si="96"/>
        <v>1.8495507528712194</v>
      </c>
      <c r="DL20" s="26"/>
      <c r="DM20" s="23">
        <f t="shared" si="97"/>
        <v>0.45665195426157518</v>
      </c>
      <c r="DN20" s="13">
        <f t="shared" si="44"/>
        <v>6.3701094758195249E-3</v>
      </c>
      <c r="DO20" s="13">
        <f t="shared" si="44"/>
        <v>0.15837569283722311</v>
      </c>
      <c r="DP20" s="13">
        <f t="shared" si="44"/>
        <v>0</v>
      </c>
      <c r="DQ20" s="13">
        <f t="shared" si="44"/>
        <v>9.3375080187782844E-2</v>
      </c>
      <c r="DR20" s="13">
        <f t="shared" si="44"/>
        <v>3.5235114483680413E-2</v>
      </c>
      <c r="DS20" s="13">
        <f t="shared" si="44"/>
        <v>3.4073847405998864E-2</v>
      </c>
      <c r="DT20" s="13">
        <f t="shared" si="44"/>
        <v>0</v>
      </c>
      <c r="DU20" s="13">
        <f t="shared" si="44"/>
        <v>0.11943182112219296</v>
      </c>
      <c r="DV20" s="13">
        <f t="shared" si="44"/>
        <v>0.12228260219063303</v>
      </c>
      <c r="DW20" s="13">
        <f t="shared" si="44"/>
        <v>4.1046108638546769E-2</v>
      </c>
      <c r="DX20" s="13">
        <f t="shared" si="44"/>
        <v>2.4666312862267094E-3</v>
      </c>
      <c r="DY20" s="13">
        <f t="shared" si="44"/>
        <v>0</v>
      </c>
      <c r="DZ20" s="13">
        <f t="shared" si="44"/>
        <v>0</v>
      </c>
      <c r="EA20" s="12">
        <f t="shared" si="45"/>
        <v>1</v>
      </c>
      <c r="EB20" s="26"/>
      <c r="EC20" s="30">
        <f t="shared" si="46"/>
        <v>1323</v>
      </c>
      <c r="ED20" s="14">
        <f t="shared" si="98"/>
        <v>100000</v>
      </c>
      <c r="EE20" s="29"/>
      <c r="EF20" s="184">
        <f t="shared" si="122"/>
        <v>-6.834236583522296</v>
      </c>
      <c r="EG20" s="13">
        <f t="shared" si="99"/>
        <v>3.4</v>
      </c>
      <c r="EH20" s="13">
        <f t="shared" si="100"/>
        <v>2.6492660619803505</v>
      </c>
      <c r="EI20" s="12">
        <f t="shared" si="47"/>
        <v>7.2414996220710535</v>
      </c>
      <c r="EJ20" s="29"/>
      <c r="EK20" s="28">
        <f t="shared" si="101"/>
        <v>-0.72697780340563545</v>
      </c>
      <c r="EL20" s="24">
        <f t="shared" si="102"/>
        <v>-0.31566556813097502</v>
      </c>
      <c r="EM20" s="24">
        <f t="shared" si="103"/>
        <v>0.48336761681699175</v>
      </c>
      <c r="EN20" s="24">
        <f t="shared" si="104"/>
        <v>4.0268660785872948E-2</v>
      </c>
      <c r="EO20" s="24">
        <f t="shared" si="105"/>
        <v>1.9464566596479257E-2</v>
      </c>
      <c r="EP20" s="24">
        <f t="shared" si="106"/>
        <v>0.49154315085296146</v>
      </c>
      <c r="EQ20" s="24">
        <f t="shared" si="107"/>
        <v>-0.7266601846788715</v>
      </c>
      <c r="ER20" s="24">
        <f t="shared" si="48"/>
        <v>-15.734384079580444</v>
      </c>
      <c r="ES20" s="25">
        <f t="shared" si="49"/>
        <v>-6.832125088832151</v>
      </c>
      <c r="ET20" s="26"/>
      <c r="EU20" s="23">
        <f t="shared" si="123"/>
        <v>1.8041962857418135</v>
      </c>
      <c r="EV20" s="12">
        <f t="shared" si="50"/>
        <v>0.98454604139560409</v>
      </c>
      <c r="EW20" s="26"/>
      <c r="EX20" s="27">
        <f t="shared" si="108"/>
        <v>0.99998004777494953</v>
      </c>
      <c r="EY20" s="26"/>
      <c r="EZ20" s="23">
        <f t="shared" si="51"/>
        <v>-3.5202195889606056</v>
      </c>
      <c r="FA20" s="13">
        <f t="shared" si="52"/>
        <v>15.308862013680734</v>
      </c>
      <c r="FB20" s="13">
        <f t="shared" si="53"/>
        <v>-21.845149910644157</v>
      </c>
      <c r="FC20" s="13">
        <f t="shared" si="54"/>
        <v>9.2014089548595059</v>
      </c>
      <c r="FD20" s="12">
        <f t="shared" si="55"/>
        <v>0.99989911303708312</v>
      </c>
      <c r="FE20" s="13"/>
      <c r="FF20" s="23">
        <f t="shared" si="56"/>
        <v>-6.2142969569218787</v>
      </c>
      <c r="FG20" s="13">
        <f t="shared" si="57"/>
        <v>11.493162261792662</v>
      </c>
      <c r="FH20" s="13">
        <f t="shared" si="58"/>
        <v>12.010989548537111</v>
      </c>
      <c r="FI20" s="24">
        <f t="shared" si="109"/>
        <v>0.99990859409573163</v>
      </c>
      <c r="FJ20" s="25">
        <f t="shared" si="59"/>
        <v>0.9999722556463162</v>
      </c>
      <c r="FK20" s="13"/>
      <c r="FL20" s="23">
        <f t="shared" si="110"/>
        <v>10.812353426545826</v>
      </c>
      <c r="FM20" s="13">
        <f t="shared" si="124"/>
        <v>-6.3733766799693443</v>
      </c>
      <c r="FN20" s="13">
        <f t="shared" si="111"/>
        <v>3.5172569394705775</v>
      </c>
      <c r="FO20" s="13">
        <f t="shared" si="60"/>
        <v>0.99969618368298963</v>
      </c>
      <c r="FP20" s="23">
        <f t="shared" si="112"/>
        <v>3.517174399788038</v>
      </c>
      <c r="FQ20" s="13">
        <f t="shared" si="113"/>
        <v>0.99969612595334856</v>
      </c>
      <c r="FR20" s="13">
        <f t="shared" si="114"/>
        <v>3.5172067505061033</v>
      </c>
      <c r="FS20" s="13">
        <f t="shared" si="115"/>
        <v>0.99969614858129108</v>
      </c>
      <c r="FT20" s="13">
        <f t="shared" si="116"/>
        <v>3.5171660853511515</v>
      </c>
      <c r="FU20" s="12">
        <f t="shared" si="117"/>
        <v>0.99969612013748377</v>
      </c>
      <c r="FV20" s="22"/>
      <c r="FW20" s="11">
        <f t="shared" si="61"/>
        <v>3.4</v>
      </c>
      <c r="FX20" s="10">
        <f t="shared" si="62"/>
        <v>2.6492660619803505</v>
      </c>
      <c r="FY20" s="10">
        <f t="shared" si="63"/>
        <v>7.2414996220710535</v>
      </c>
      <c r="FZ20" s="5">
        <f t="shared" si="64"/>
        <v>-6.834236583522296</v>
      </c>
      <c r="GA20" s="10">
        <f t="shared" si="65"/>
        <v>0.49154315085296146</v>
      </c>
      <c r="GB20" s="9">
        <f t="shared" si="118"/>
        <v>10.812353426545826</v>
      </c>
      <c r="GC20" s="8">
        <f t="shared" si="119"/>
        <v>-6.3733766799693443</v>
      </c>
      <c r="GD20" s="8">
        <f t="shared" si="120"/>
        <v>0.99969618368298963</v>
      </c>
      <c r="GE20" s="7">
        <f t="shared" si="121"/>
        <v>0.99969612595334856</v>
      </c>
      <c r="GF20" s="6">
        <f t="shared" si="66"/>
        <v>0.99990859409573163</v>
      </c>
      <c r="GG20" s="5">
        <f t="shared" si="67"/>
        <v>0.9999722556463162</v>
      </c>
      <c r="GH20" s="4">
        <f t="shared" si="68"/>
        <v>0.99989911303708312</v>
      </c>
      <c r="GI20" s="4">
        <f t="shared" si="69"/>
        <v>0.99998004777494953</v>
      </c>
      <c r="GJ20" s="4">
        <f t="shared" si="70"/>
        <v>0.98454604139560409</v>
      </c>
      <c r="GK20" s="1"/>
    </row>
    <row r="21" spans="1:193" x14ac:dyDescent="0.4">
      <c r="A21" s="34"/>
      <c r="B21" s="21"/>
      <c r="C21" s="21"/>
      <c r="D21" s="34"/>
      <c r="E21" s="34"/>
      <c r="F21" s="20" t="s">
        <v>82</v>
      </c>
      <c r="G21" s="19">
        <v>1050</v>
      </c>
      <c r="H21" s="18">
        <v>1E-4</v>
      </c>
      <c r="I21" s="17">
        <v>3.8</v>
      </c>
      <c r="J21" s="16">
        <v>49.6</v>
      </c>
      <c r="K21" s="16">
        <v>0.92</v>
      </c>
      <c r="L21" s="16">
        <v>14.6</v>
      </c>
      <c r="M21" s="16">
        <v>0</v>
      </c>
      <c r="N21" s="16">
        <v>9</v>
      </c>
      <c r="O21" s="16">
        <v>0</v>
      </c>
      <c r="P21" s="16">
        <v>8.6999999999999993</v>
      </c>
      <c r="Q21" s="16">
        <v>12.4</v>
      </c>
      <c r="R21" s="16">
        <v>2.2999999999999998</v>
      </c>
      <c r="S21" s="16">
        <v>0.21</v>
      </c>
      <c r="T21" s="16">
        <v>0</v>
      </c>
      <c r="U21" s="15">
        <v>0</v>
      </c>
      <c r="V21" s="16"/>
      <c r="W21" s="28">
        <f t="shared" si="71"/>
        <v>50.752072035199014</v>
      </c>
      <c r="X21" s="24">
        <f t="shared" si="0"/>
        <v>0.94136907807223991</v>
      </c>
      <c r="Y21" s="24">
        <f t="shared" si="0"/>
        <v>14.939117978102937</v>
      </c>
      <c r="Z21" s="24">
        <f t="shared" si="0"/>
        <v>0</v>
      </c>
      <c r="AA21" s="24">
        <f t="shared" si="0"/>
        <v>9.209045328967564</v>
      </c>
      <c r="AB21" s="24">
        <f t="shared" si="0"/>
        <v>0</v>
      </c>
      <c r="AC21" s="24">
        <f t="shared" si="0"/>
        <v>8.9020771513353107</v>
      </c>
      <c r="AD21" s="24">
        <f t="shared" si="0"/>
        <v>12.688018008799753</v>
      </c>
      <c r="AE21" s="24">
        <f t="shared" si="0"/>
        <v>2.3534226951805994</v>
      </c>
      <c r="AF21" s="24">
        <f t="shared" si="0"/>
        <v>0.21487772434257646</v>
      </c>
      <c r="AG21" s="24">
        <f t="shared" si="0"/>
        <v>0</v>
      </c>
      <c r="AH21" s="24">
        <f t="shared" si="0"/>
        <v>0</v>
      </c>
      <c r="AI21" s="14">
        <f t="shared" si="72"/>
        <v>99.999999999999986</v>
      </c>
      <c r="AJ21" s="26"/>
      <c r="AK21" s="50">
        <f t="shared" si="73"/>
        <v>0.84460096580460997</v>
      </c>
      <c r="AL21" s="47">
        <f t="shared" si="74"/>
        <v>1.1781840776874091E-2</v>
      </c>
      <c r="AM21" s="47">
        <f t="shared" si="75"/>
        <v>0.14651939954985227</v>
      </c>
      <c r="AN21" s="49">
        <f t="shared" si="76"/>
        <v>0</v>
      </c>
      <c r="AO21" s="49">
        <f t="shared" si="77"/>
        <v>0.12817042907400925</v>
      </c>
      <c r="AP21" s="47">
        <f t="shared" si="78"/>
        <v>0</v>
      </c>
      <c r="AQ21" s="47">
        <f t="shared" si="79"/>
        <v>0.2207856436343083</v>
      </c>
      <c r="AR21" s="47">
        <f t="shared" si="80"/>
        <v>0.22624853796005268</v>
      </c>
      <c r="AS21" s="47">
        <f t="shared" si="81"/>
        <v>3.7970679173614061E-2</v>
      </c>
      <c r="AT21" s="47">
        <f t="shared" si="82"/>
        <v>2.2810798762481575E-3</v>
      </c>
      <c r="AU21" s="47">
        <f t="shared" si="83"/>
        <v>0</v>
      </c>
      <c r="AV21" s="47">
        <f t="shared" si="84"/>
        <v>0</v>
      </c>
      <c r="AW21" s="47">
        <f t="shared" si="85"/>
        <v>1.6183585758495689</v>
      </c>
      <c r="AX21" s="47">
        <f t="shared" si="86"/>
        <v>5.9393229552183131E-2</v>
      </c>
      <c r="AY21" s="46">
        <f t="shared" si="87"/>
        <v>3.4399523958957408E-2</v>
      </c>
      <c r="AZ21" s="26"/>
      <c r="BA21" s="23">
        <f t="shared" si="88"/>
        <v>0.52188741012555306</v>
      </c>
      <c r="BB21" s="13">
        <f t="shared" si="6"/>
        <v>7.2801176158930848E-3</v>
      </c>
      <c r="BC21" s="13">
        <f t="shared" si="7"/>
        <v>9.0535806919635142E-2</v>
      </c>
      <c r="BD21" s="13">
        <f t="shared" si="8"/>
        <v>0</v>
      </c>
      <c r="BE21" s="13">
        <f t="shared" si="9"/>
        <v>7.9197793978831463E-2</v>
      </c>
      <c r="BF21" s="13">
        <f t="shared" si="10"/>
        <v>3.6699672395534615E-2</v>
      </c>
      <c r="BG21" s="13">
        <f t="shared" si="11"/>
        <v>2.1255810963215698E-2</v>
      </c>
      <c r="BH21" s="13">
        <f t="shared" si="12"/>
        <v>0</v>
      </c>
      <c r="BI21" s="13">
        <f t="shared" si="13"/>
        <v>0.13642566420634272</v>
      </c>
      <c r="BJ21" s="13">
        <f t="shared" si="14"/>
        <v>0.13980124141603284</v>
      </c>
      <c r="BK21" s="13">
        <f t="shared" si="15"/>
        <v>2.3462463597525709E-2</v>
      </c>
      <c r="BL21" s="13">
        <f t="shared" si="16"/>
        <v>1.4095021401858907E-3</v>
      </c>
      <c r="BM21" s="13">
        <f t="shared" si="17"/>
        <v>0</v>
      </c>
      <c r="BN21" s="13">
        <f t="shared" si="18"/>
        <v>0</v>
      </c>
      <c r="BO21" s="12">
        <f t="shared" si="89"/>
        <v>0.99999999999999989</v>
      </c>
      <c r="BP21" s="13"/>
      <c r="BQ21" s="23">
        <f t="shared" si="90"/>
        <v>1.6892019316092199</v>
      </c>
      <c r="BR21" s="13">
        <f t="shared" si="19"/>
        <v>2.3563681553748182E-2</v>
      </c>
      <c r="BS21" s="13">
        <f t="shared" si="20"/>
        <v>0.43938582288538047</v>
      </c>
      <c r="BT21" s="13">
        <f t="shared" si="21"/>
        <v>0</v>
      </c>
      <c r="BU21" s="13">
        <f t="shared" si="22"/>
        <v>0.12817042907400925</v>
      </c>
      <c r="BV21" s="13">
        <f t="shared" si="91"/>
        <v>5.9393229552183131E-2</v>
      </c>
      <c r="BW21" s="24">
        <f t="shared" si="92"/>
        <v>0.10319857187687223</v>
      </c>
      <c r="BX21" s="13">
        <f t="shared" si="23"/>
        <v>0</v>
      </c>
      <c r="BY21" s="13">
        <f t="shared" si="24"/>
        <v>0.22089521467333278</v>
      </c>
      <c r="BZ21" s="13">
        <f t="shared" si="25"/>
        <v>0.22616787894473714</v>
      </c>
      <c r="CA21" s="13">
        <f t="shared" si="26"/>
        <v>3.7958430567429022E-2</v>
      </c>
      <c r="CB21" s="13">
        <f t="shared" si="27"/>
        <v>2.2810798762481575E-3</v>
      </c>
      <c r="CC21" s="13">
        <f t="shared" si="28"/>
        <v>0</v>
      </c>
      <c r="CD21" s="13">
        <f t="shared" si="93"/>
        <v>0</v>
      </c>
      <c r="CE21" s="12">
        <f t="shared" si="94"/>
        <v>2.767624469184105</v>
      </c>
      <c r="CF21" s="13"/>
      <c r="CG21" s="23">
        <f t="shared" si="29"/>
        <v>0.61034361793570802</v>
      </c>
      <c r="CH21" s="13">
        <f t="shared" si="29"/>
        <v>8.5140458238161017E-3</v>
      </c>
      <c r="CI21" s="13">
        <f t="shared" si="29"/>
        <v>0.15875919142126652</v>
      </c>
      <c r="CJ21" s="13">
        <f t="shared" si="29"/>
        <v>0</v>
      </c>
      <c r="CK21" s="13">
        <f t="shared" si="29"/>
        <v>4.6310628664080956E-2</v>
      </c>
      <c r="CL21" s="13">
        <f t="shared" si="29"/>
        <v>2.1460003050808495E-2</v>
      </c>
      <c r="CM21" s="13">
        <f t="shared" si="29"/>
        <v>3.7287779836436823E-2</v>
      </c>
      <c r="CN21" s="13">
        <f t="shared" si="29"/>
        <v>0</v>
      </c>
      <c r="CO21" s="13">
        <f t="shared" si="29"/>
        <v>7.9814012750961352E-2</v>
      </c>
      <c r="CP21" s="13">
        <f t="shared" si="29"/>
        <v>8.1719135476284968E-2</v>
      </c>
      <c r="CQ21" s="13">
        <f t="shared" si="29"/>
        <v>1.3715166558929563E-2</v>
      </c>
      <c r="CR21" s="13">
        <f t="shared" si="29"/>
        <v>8.2420136895256576E-4</v>
      </c>
      <c r="CS21" s="13">
        <f t="shared" si="29"/>
        <v>0</v>
      </c>
      <c r="CT21" s="13">
        <f t="shared" si="29"/>
        <v>0</v>
      </c>
      <c r="CU21" s="12">
        <f t="shared" si="30"/>
        <v>1</v>
      </c>
      <c r="CV21" s="26"/>
      <c r="CW21" s="23">
        <f t="shared" si="31"/>
        <v>0.84460096580460997</v>
      </c>
      <c r="CX21" s="13">
        <f t="shared" si="32"/>
        <v>1.1781840776874091E-2</v>
      </c>
      <c r="CY21" s="13">
        <f t="shared" si="33"/>
        <v>0.29292388192358698</v>
      </c>
      <c r="CZ21" s="13">
        <f t="shared" si="34"/>
        <v>0</v>
      </c>
      <c r="DA21" s="13">
        <f t="shared" si="35"/>
        <v>0.17270194986072424</v>
      </c>
      <c r="DB21" s="13">
        <f t="shared" si="36"/>
        <v>5.9393229552183131E-2</v>
      </c>
      <c r="DC21" s="24">
        <f t="shared" si="37"/>
        <v>6.8799047917914816E-2</v>
      </c>
      <c r="DD21" s="13">
        <f t="shared" si="38"/>
        <v>0</v>
      </c>
      <c r="DE21" s="13">
        <f t="shared" si="39"/>
        <v>0.22089521467333278</v>
      </c>
      <c r="DF21" s="13">
        <f t="shared" si="40"/>
        <v>0.22616787894473714</v>
      </c>
      <c r="DG21" s="13">
        <f t="shared" si="41"/>
        <v>7.5916861134858044E-2</v>
      </c>
      <c r="DH21" s="13">
        <f t="shared" si="42"/>
        <v>4.5621597524963149E-3</v>
      </c>
      <c r="DI21" s="13">
        <f t="shared" si="43"/>
        <v>0</v>
      </c>
      <c r="DJ21" s="13">
        <f t="shared" si="95"/>
        <v>0</v>
      </c>
      <c r="DK21" s="12">
        <f t="shared" si="96"/>
        <v>1.8495507528712194</v>
      </c>
      <c r="DL21" s="26"/>
      <c r="DM21" s="23">
        <f t="shared" si="97"/>
        <v>0.45665195426157518</v>
      </c>
      <c r="DN21" s="13">
        <f t="shared" si="44"/>
        <v>6.3701094758195249E-3</v>
      </c>
      <c r="DO21" s="13">
        <f t="shared" si="44"/>
        <v>0.15837569283722311</v>
      </c>
      <c r="DP21" s="13">
        <f t="shared" si="44"/>
        <v>0</v>
      </c>
      <c r="DQ21" s="13">
        <f t="shared" si="44"/>
        <v>9.3375080187782844E-2</v>
      </c>
      <c r="DR21" s="13">
        <f t="shared" si="44"/>
        <v>3.2112246425236954E-2</v>
      </c>
      <c r="DS21" s="13">
        <f t="shared" si="44"/>
        <v>3.7197707503355631E-2</v>
      </c>
      <c r="DT21" s="13">
        <f t="shared" si="44"/>
        <v>0</v>
      </c>
      <c r="DU21" s="13">
        <f t="shared" si="44"/>
        <v>0.11943182112219296</v>
      </c>
      <c r="DV21" s="13">
        <f t="shared" si="44"/>
        <v>0.12228260219063303</v>
      </c>
      <c r="DW21" s="13">
        <f t="shared" si="44"/>
        <v>4.1046108638546769E-2</v>
      </c>
      <c r="DX21" s="13">
        <f t="shared" si="44"/>
        <v>2.4666312862267094E-3</v>
      </c>
      <c r="DY21" s="13">
        <f t="shared" si="44"/>
        <v>0</v>
      </c>
      <c r="DZ21" s="13">
        <f t="shared" si="44"/>
        <v>0</v>
      </c>
      <c r="EA21" s="12">
        <f t="shared" si="45"/>
        <v>1</v>
      </c>
      <c r="EB21" s="26"/>
      <c r="EC21" s="30">
        <f t="shared" si="46"/>
        <v>1323</v>
      </c>
      <c r="ED21" s="14">
        <f t="shared" si="98"/>
        <v>100000</v>
      </c>
      <c r="EE21" s="29"/>
      <c r="EF21" s="184">
        <f t="shared" si="122"/>
        <v>-6.4342365835222965</v>
      </c>
      <c r="EG21" s="13">
        <f t="shared" si="99"/>
        <v>3.8</v>
      </c>
      <c r="EH21" s="13">
        <f t="shared" si="100"/>
        <v>3.04926606198035</v>
      </c>
      <c r="EI21" s="12">
        <f t="shared" si="47"/>
        <v>7.6414996220710529</v>
      </c>
      <c r="EJ21" s="29"/>
      <c r="EK21" s="28">
        <f t="shared" si="101"/>
        <v>-0.54645513211490238</v>
      </c>
      <c r="EL21" s="24">
        <f t="shared" si="102"/>
        <v>-0.23727969262479479</v>
      </c>
      <c r="EM21" s="24">
        <f t="shared" si="103"/>
        <v>0.5789986505229372</v>
      </c>
      <c r="EN21" s="24">
        <f t="shared" si="104"/>
        <v>3.6699672395534608E-2</v>
      </c>
      <c r="EO21" s="24">
        <f t="shared" si="105"/>
        <v>2.1249060791648428E-2</v>
      </c>
      <c r="EP21" s="24">
        <f t="shared" si="106"/>
        <v>0.53660739078990061</v>
      </c>
      <c r="EQ21" s="24">
        <f t="shared" si="107"/>
        <v>-0.54613751338813887</v>
      </c>
      <c r="ER21" s="24">
        <f t="shared" si="48"/>
        <v>-14.813350042382829</v>
      </c>
      <c r="ES21" s="25">
        <f t="shared" si="49"/>
        <v>-6.4321971525761308</v>
      </c>
      <c r="ET21" s="26"/>
      <c r="EU21" s="23">
        <f t="shared" si="123"/>
        <v>2.4313962857418119</v>
      </c>
      <c r="EV21" s="12">
        <f t="shared" si="50"/>
        <v>0.9963102383934147</v>
      </c>
      <c r="EW21" s="26"/>
      <c r="EX21" s="27">
        <f t="shared" si="108"/>
        <v>0.99999683773233983</v>
      </c>
      <c r="EY21" s="26"/>
      <c r="EZ21" s="23">
        <f t="shared" si="51"/>
        <v>-3.5202195889606056</v>
      </c>
      <c r="FA21" s="13">
        <f t="shared" si="52"/>
        <v>15.269914679618516</v>
      </c>
      <c r="FB21" s="13">
        <f t="shared" si="53"/>
        <v>-21.845149910644157</v>
      </c>
      <c r="FC21" s="13">
        <f t="shared" si="54"/>
        <v>11.004529695192524</v>
      </c>
      <c r="FD21" s="12">
        <f t="shared" si="55"/>
        <v>0.99998337405816462</v>
      </c>
      <c r="FE21" s="13"/>
      <c r="FF21" s="23">
        <f t="shared" si="56"/>
        <v>-6.2541068132873283</v>
      </c>
      <c r="FG21" s="13">
        <f t="shared" si="57"/>
        <v>11.493162261792662</v>
      </c>
      <c r="FH21" s="13">
        <f t="shared" si="58"/>
        <v>12.010989548537111</v>
      </c>
      <c r="FI21" s="24">
        <f t="shared" si="109"/>
        <v>0.99998678100765792</v>
      </c>
      <c r="FJ21" s="25">
        <f t="shared" si="59"/>
        <v>0.99999598786938748</v>
      </c>
      <c r="FK21" s="13"/>
      <c r="FL21" s="23">
        <f t="shared" si="110"/>
        <v>10.812353426545826</v>
      </c>
      <c r="FM21" s="13">
        <f t="shared" si="124"/>
        <v>-6.4005794358956773</v>
      </c>
      <c r="FN21" s="13">
        <f t="shared" si="111"/>
        <v>4.3444596953969121</v>
      </c>
      <c r="FO21" s="13">
        <f t="shared" si="60"/>
        <v>0.99995476020203411</v>
      </c>
      <c r="FP21" s="23">
        <f t="shared" si="112"/>
        <v>4.3443771557143727</v>
      </c>
      <c r="FQ21" s="13">
        <f t="shared" si="113"/>
        <v>0.9999547516035725</v>
      </c>
      <c r="FR21" s="13">
        <f t="shared" si="114"/>
        <v>4.344409506432438</v>
      </c>
      <c r="FS21" s="13">
        <f t="shared" si="115"/>
        <v>0.99995475497386022</v>
      </c>
      <c r="FT21" s="13">
        <f t="shared" si="116"/>
        <v>4.3443688412774861</v>
      </c>
      <c r="FU21" s="12">
        <f t="shared" si="117"/>
        <v>0.99995475073733653</v>
      </c>
      <c r="FV21" s="22"/>
      <c r="FW21" s="11">
        <f t="shared" si="61"/>
        <v>3.8</v>
      </c>
      <c r="FX21" s="10">
        <f t="shared" si="62"/>
        <v>3.04926606198035</v>
      </c>
      <c r="FY21" s="10">
        <f t="shared" si="63"/>
        <v>7.6414996220710529</v>
      </c>
      <c r="FZ21" s="5">
        <f t="shared" si="64"/>
        <v>-6.4342365835222965</v>
      </c>
      <c r="GA21" s="10">
        <f t="shared" si="65"/>
        <v>0.53660739078990061</v>
      </c>
      <c r="GB21" s="9">
        <f t="shared" si="118"/>
        <v>10.812353426545826</v>
      </c>
      <c r="GC21" s="8">
        <f t="shared" si="119"/>
        <v>-6.4005794358956773</v>
      </c>
      <c r="GD21" s="8">
        <f t="shared" si="120"/>
        <v>0.99995476020203411</v>
      </c>
      <c r="GE21" s="7">
        <f t="shared" si="121"/>
        <v>0.9999547516035725</v>
      </c>
      <c r="GF21" s="6">
        <f t="shared" si="66"/>
        <v>0.99998678100765792</v>
      </c>
      <c r="GG21" s="5">
        <f t="shared" si="67"/>
        <v>0.99999598786938748</v>
      </c>
      <c r="GH21" s="4">
        <f t="shared" si="68"/>
        <v>0.99998337405816462</v>
      </c>
      <c r="GI21" s="4">
        <f t="shared" si="69"/>
        <v>0.99999683773233983</v>
      </c>
      <c r="GJ21" s="4">
        <f t="shared" si="70"/>
        <v>0.9963102383934147</v>
      </c>
      <c r="GK21" s="1"/>
    </row>
    <row r="22" spans="1:193" x14ac:dyDescent="0.4">
      <c r="A22" s="34"/>
      <c r="B22" s="21"/>
      <c r="C22" s="21"/>
      <c r="D22" s="34"/>
      <c r="E22" s="34"/>
      <c r="F22" s="20" t="s">
        <v>134</v>
      </c>
      <c r="G22" s="19">
        <v>1050</v>
      </c>
      <c r="H22" s="18">
        <v>1E-4</v>
      </c>
      <c r="I22" s="17">
        <v>-1</v>
      </c>
      <c r="J22" s="16">
        <v>64.2</v>
      </c>
      <c r="K22" s="16">
        <v>0.7</v>
      </c>
      <c r="L22" s="16">
        <v>16.8</v>
      </c>
      <c r="M22" s="16">
        <v>0</v>
      </c>
      <c r="N22" s="16">
        <v>5.0999999999999996</v>
      </c>
      <c r="O22" s="16">
        <v>0.1</v>
      </c>
      <c r="P22" s="16">
        <v>2.1</v>
      </c>
      <c r="Q22" s="16">
        <v>5.6</v>
      </c>
      <c r="R22" s="16">
        <v>4</v>
      </c>
      <c r="S22" s="16">
        <v>1.4</v>
      </c>
      <c r="T22" s="16">
        <v>0</v>
      </c>
      <c r="U22" s="15">
        <v>0</v>
      </c>
      <c r="V22" s="16"/>
      <c r="W22" s="28">
        <f t="shared" si="71"/>
        <v>64.200000000000017</v>
      </c>
      <c r="X22" s="24">
        <f t="shared" si="0"/>
        <v>0.70000000000000007</v>
      </c>
      <c r="Y22" s="24">
        <f t="shared" si="0"/>
        <v>16.800000000000004</v>
      </c>
      <c r="Z22" s="24">
        <f t="shared" si="0"/>
        <v>0</v>
      </c>
      <c r="AA22" s="24">
        <f t="shared" si="0"/>
        <v>5.1000000000000005</v>
      </c>
      <c r="AB22" s="24">
        <f t="shared" si="0"/>
        <v>0.10000000000000002</v>
      </c>
      <c r="AC22" s="24">
        <f t="shared" si="0"/>
        <v>2.1000000000000005</v>
      </c>
      <c r="AD22" s="24">
        <f t="shared" si="0"/>
        <v>5.6000000000000005</v>
      </c>
      <c r="AE22" s="24">
        <f t="shared" si="0"/>
        <v>4.0000000000000009</v>
      </c>
      <c r="AF22" s="24">
        <f t="shared" si="0"/>
        <v>1.4000000000000001</v>
      </c>
      <c r="AG22" s="24">
        <f t="shared" si="0"/>
        <v>0</v>
      </c>
      <c r="AH22" s="24">
        <f t="shared" si="0"/>
        <v>0</v>
      </c>
      <c r="AI22" s="14">
        <f t="shared" si="72"/>
        <v>100</v>
      </c>
      <c r="AJ22" s="26"/>
      <c r="AK22" s="50">
        <f t="shared" si="73"/>
        <v>1.068397403894159</v>
      </c>
      <c r="AL22" s="47">
        <f t="shared" si="74"/>
        <v>8.7609511889862324E-3</v>
      </c>
      <c r="AM22" s="47">
        <f t="shared" si="75"/>
        <v>0.16477049823460185</v>
      </c>
      <c r="AN22" s="49">
        <f t="shared" si="76"/>
        <v>0</v>
      </c>
      <c r="AO22" s="49">
        <f t="shared" si="77"/>
        <v>7.0981210855949911E-2</v>
      </c>
      <c r="AP22" s="47">
        <f t="shared" si="78"/>
        <v>1.4084507042253524E-3</v>
      </c>
      <c r="AQ22" s="47">
        <f t="shared" si="79"/>
        <v>5.208333333333335E-2</v>
      </c>
      <c r="AR22" s="47">
        <f t="shared" si="80"/>
        <v>9.9857346647646228E-2</v>
      </c>
      <c r="AS22" s="47">
        <f t="shared" si="81"/>
        <v>6.4536947402387884E-2</v>
      </c>
      <c r="AT22" s="47">
        <f t="shared" si="82"/>
        <v>1.4861995753715499E-2</v>
      </c>
      <c r="AU22" s="47">
        <f t="shared" si="83"/>
        <v>0</v>
      </c>
      <c r="AV22" s="47">
        <f t="shared" si="84"/>
        <v>0</v>
      </c>
      <c r="AW22" s="47">
        <f t="shared" si="85"/>
        <v>1.5456581380150054</v>
      </c>
      <c r="AX22" s="47">
        <f t="shared" si="86"/>
        <v>6.3080207993141985E-2</v>
      </c>
      <c r="AY22" s="46">
        <f t="shared" si="87"/>
        <v>3.9517563839263454E-3</v>
      </c>
      <c r="AZ22" s="26"/>
      <c r="BA22" s="23">
        <f t="shared" si="88"/>
        <v>0.69122490777050916</v>
      </c>
      <c r="BB22" s="13">
        <f t="shared" si="6"/>
        <v>5.6681040739302085E-3</v>
      </c>
      <c r="BC22" s="13">
        <f t="shared" si="7"/>
        <v>0.10660216135904836</v>
      </c>
      <c r="BD22" s="13">
        <f t="shared" si="8"/>
        <v>0</v>
      </c>
      <c r="BE22" s="13">
        <f t="shared" si="9"/>
        <v>4.5922969064237422E-2</v>
      </c>
      <c r="BF22" s="13">
        <f t="shared" si="10"/>
        <v>4.0811228849189154E-2</v>
      </c>
      <c r="BG22" s="13">
        <f t="shared" si="11"/>
        <v>2.5566820286673127E-3</v>
      </c>
      <c r="BH22" s="13">
        <f t="shared" si="12"/>
        <v>9.1123041349501759E-4</v>
      </c>
      <c r="BI22" s="13">
        <f t="shared" si="13"/>
        <v>3.3696541332367845E-2</v>
      </c>
      <c r="BJ22" s="13">
        <f t="shared" si="14"/>
        <v>6.4605066406137474E-2</v>
      </c>
      <c r="BK22" s="13">
        <f t="shared" si="15"/>
        <v>4.1753700779700711E-2</v>
      </c>
      <c r="BL22" s="13">
        <f t="shared" si="16"/>
        <v>9.6153188005737508E-3</v>
      </c>
      <c r="BM22" s="13">
        <f t="shared" si="17"/>
        <v>0</v>
      </c>
      <c r="BN22" s="13">
        <f t="shared" si="18"/>
        <v>0</v>
      </c>
      <c r="BO22" s="12">
        <f t="shared" si="89"/>
        <v>1</v>
      </c>
      <c r="BP22" s="13"/>
      <c r="BQ22" s="23">
        <f t="shared" si="90"/>
        <v>2.1367948077883181</v>
      </c>
      <c r="BR22" s="13">
        <f t="shared" si="19"/>
        <v>1.7521902377972465E-2</v>
      </c>
      <c r="BS22" s="13">
        <f t="shared" si="20"/>
        <v>0.49411764705882366</v>
      </c>
      <c r="BT22" s="13">
        <f t="shared" si="21"/>
        <v>0</v>
      </c>
      <c r="BU22" s="13">
        <f t="shared" si="22"/>
        <v>7.0981210855949911E-2</v>
      </c>
      <c r="BV22" s="13">
        <f t="shared" si="91"/>
        <v>6.3080207993141985E-2</v>
      </c>
      <c r="BW22" s="24">
        <f t="shared" si="92"/>
        <v>1.1855269151779037E-2</v>
      </c>
      <c r="BX22" s="13">
        <f t="shared" si="23"/>
        <v>1.4084507042253524E-3</v>
      </c>
      <c r="BY22" s="13">
        <f t="shared" si="24"/>
        <v>5.2109181141439226E-2</v>
      </c>
      <c r="BZ22" s="13">
        <f t="shared" si="25"/>
        <v>9.9821746880570411E-2</v>
      </c>
      <c r="CA22" s="13">
        <f t="shared" si="26"/>
        <v>6.4516129032258077E-2</v>
      </c>
      <c r="CB22" s="13">
        <f t="shared" si="27"/>
        <v>1.4861995753715499E-2</v>
      </c>
      <c r="CC22" s="13">
        <f t="shared" si="28"/>
        <v>0</v>
      </c>
      <c r="CD22" s="13">
        <f t="shared" si="93"/>
        <v>0</v>
      </c>
      <c r="CE22" s="12">
        <f t="shared" si="94"/>
        <v>2.952133071593273</v>
      </c>
      <c r="CF22" s="13"/>
      <c r="CG22" s="23">
        <f t="shared" si="29"/>
        <v>0.72381385119441277</v>
      </c>
      <c r="CH22" s="13">
        <f t="shared" si="29"/>
        <v>5.9353362308006844E-3</v>
      </c>
      <c r="CI22" s="13">
        <f t="shared" si="29"/>
        <v>0.16737648170857936</v>
      </c>
      <c r="CJ22" s="13">
        <f t="shared" si="29"/>
        <v>0</v>
      </c>
      <c r="CK22" s="13">
        <f t="shared" si="29"/>
        <v>2.404404176050275E-2</v>
      </c>
      <c r="CL22" s="13">
        <f t="shared" si="29"/>
        <v>2.1367670922468766E-2</v>
      </c>
      <c r="CM22" s="13">
        <f t="shared" si="29"/>
        <v>4.015831557816844E-3</v>
      </c>
      <c r="CN22" s="13">
        <f t="shared" si="29"/>
        <v>4.7709594048387808E-4</v>
      </c>
      <c r="CO22" s="13">
        <f t="shared" si="29"/>
        <v>1.7651365937008993E-2</v>
      </c>
      <c r="CP22" s="13">
        <f t="shared" si="29"/>
        <v>3.3813430648197841E-2</v>
      </c>
      <c r="CQ22" s="13">
        <f t="shared" si="29"/>
        <v>2.185407211248732E-2</v>
      </c>
      <c r="CR22" s="13">
        <f t="shared" si="29"/>
        <v>5.0343244675262709E-3</v>
      </c>
      <c r="CS22" s="13">
        <f t="shared" si="29"/>
        <v>0</v>
      </c>
      <c r="CT22" s="13">
        <f t="shared" si="29"/>
        <v>0</v>
      </c>
      <c r="CU22" s="12">
        <f t="shared" si="30"/>
        <v>0.99999999999999989</v>
      </c>
      <c r="CV22" s="26"/>
      <c r="CW22" s="23">
        <f t="shared" si="31"/>
        <v>1.068397403894159</v>
      </c>
      <c r="CX22" s="13">
        <f t="shared" si="32"/>
        <v>8.7609511889862324E-3</v>
      </c>
      <c r="CY22" s="13">
        <f t="shared" si="33"/>
        <v>0.32941176470588246</v>
      </c>
      <c r="CZ22" s="13">
        <f t="shared" si="34"/>
        <v>0</v>
      </c>
      <c r="DA22" s="13">
        <f t="shared" si="35"/>
        <v>7.7994428969359333E-2</v>
      </c>
      <c r="DB22" s="13">
        <f t="shared" si="36"/>
        <v>6.3080207993141985E-2</v>
      </c>
      <c r="DC22" s="24">
        <f t="shared" si="37"/>
        <v>7.9035127678526908E-3</v>
      </c>
      <c r="DD22" s="13">
        <f t="shared" si="38"/>
        <v>1.4084507042253524E-3</v>
      </c>
      <c r="DE22" s="13">
        <f t="shared" si="39"/>
        <v>5.2109181141439226E-2</v>
      </c>
      <c r="DF22" s="13">
        <f t="shared" si="40"/>
        <v>9.9821746880570411E-2</v>
      </c>
      <c r="DG22" s="13">
        <f t="shared" si="41"/>
        <v>0.12903225806451615</v>
      </c>
      <c r="DH22" s="13">
        <f t="shared" si="42"/>
        <v>2.9723991507430998E-2</v>
      </c>
      <c r="DI22" s="13">
        <f t="shared" si="43"/>
        <v>0</v>
      </c>
      <c r="DJ22" s="13">
        <f t="shared" si="95"/>
        <v>0</v>
      </c>
      <c r="DK22" s="12">
        <f t="shared" si="96"/>
        <v>1.7966601770565693</v>
      </c>
      <c r="DL22" s="26"/>
      <c r="DM22" s="23">
        <f t="shared" si="97"/>
        <v>0.59465747476214015</v>
      </c>
      <c r="DN22" s="13">
        <f t="shared" si="44"/>
        <v>4.8762427646941641E-3</v>
      </c>
      <c r="DO22" s="13">
        <f t="shared" si="44"/>
        <v>0.18334672795250065</v>
      </c>
      <c r="DP22" s="13">
        <f t="shared" si="44"/>
        <v>0</v>
      </c>
      <c r="DQ22" s="13">
        <f t="shared" si="44"/>
        <v>4.3410785169812116E-2</v>
      </c>
      <c r="DR22" s="13">
        <f t="shared" si="44"/>
        <v>3.5109704549963906E-2</v>
      </c>
      <c r="DS22" s="13">
        <f t="shared" si="44"/>
        <v>4.399002587568257E-3</v>
      </c>
      <c r="DT22" s="13">
        <f t="shared" si="44"/>
        <v>7.83927156738559E-4</v>
      </c>
      <c r="DU22" s="13">
        <f t="shared" si="44"/>
        <v>2.9003359570649919E-2</v>
      </c>
      <c r="DV22" s="13">
        <f t="shared" si="44"/>
        <v>5.5559614531060786E-2</v>
      </c>
      <c r="DW22" s="13">
        <f t="shared" si="44"/>
        <v>7.1817842746371208E-2</v>
      </c>
      <c r="DX22" s="13">
        <f t="shared" si="44"/>
        <v>1.6544025346032432E-2</v>
      </c>
      <c r="DY22" s="13">
        <f t="shared" si="44"/>
        <v>0</v>
      </c>
      <c r="DZ22" s="13">
        <f t="shared" si="44"/>
        <v>0</v>
      </c>
      <c r="EA22" s="12">
        <f t="shared" si="45"/>
        <v>1</v>
      </c>
      <c r="EB22" s="26"/>
      <c r="EC22" s="30">
        <f t="shared" si="46"/>
        <v>1323</v>
      </c>
      <c r="ED22" s="14">
        <f t="shared" si="98"/>
        <v>100000</v>
      </c>
      <c r="EE22" s="29"/>
      <c r="EF22" s="184">
        <f t="shared" si="122"/>
        <v>-11.234236583522296</v>
      </c>
      <c r="EG22" s="13">
        <f t="shared" si="99"/>
        <v>-1</v>
      </c>
      <c r="EH22" s="13">
        <f t="shared" si="100"/>
        <v>-1.7507339380196498</v>
      </c>
      <c r="EI22" s="12">
        <f t="shared" si="47"/>
        <v>2.8414996220710531</v>
      </c>
      <c r="EJ22" s="29"/>
      <c r="EK22" s="28">
        <f t="shared" si="101"/>
        <v>-2.7705645438653383</v>
      </c>
      <c r="EL22" s="24">
        <f t="shared" si="102"/>
        <v>-1.203024118048345</v>
      </c>
      <c r="EM22" s="24">
        <f t="shared" si="103"/>
        <v>6.2626639275404086E-2</v>
      </c>
      <c r="EN22" s="24">
        <f t="shared" si="104"/>
        <v>4.0811228849189154E-2</v>
      </c>
      <c r="EO22" s="24">
        <f t="shared" si="105"/>
        <v>2.5558701075241337E-3</v>
      </c>
      <c r="EP22" s="24">
        <f t="shared" si="106"/>
        <v>0.1113111873907352</v>
      </c>
      <c r="EQ22" s="24">
        <f t="shared" si="107"/>
        <v>-2.7702469251385748</v>
      </c>
      <c r="ER22" s="24">
        <f t="shared" si="48"/>
        <v>-25.865758488754249</v>
      </c>
      <c r="ES22" s="25">
        <f t="shared" si="49"/>
        <v>-11.231332387648393</v>
      </c>
      <c r="ET22" s="26"/>
      <c r="EU22" s="23">
        <f t="shared" si="123"/>
        <v>-5.2959512716366</v>
      </c>
      <c r="EV22" s="12">
        <f t="shared" si="50"/>
        <v>5.0587886019082262E-6</v>
      </c>
      <c r="EW22" s="26"/>
      <c r="EX22" s="27">
        <f t="shared" si="108"/>
        <v>7.9426514400130776E-5</v>
      </c>
      <c r="EY22" s="26"/>
      <c r="EZ22" s="23">
        <f t="shared" si="51"/>
        <v>-5.6825641269665619</v>
      </c>
      <c r="FA22" s="13">
        <f t="shared" si="52"/>
        <v>13.816050370262243</v>
      </c>
      <c r="FB22" s="13">
        <f t="shared" si="53"/>
        <v>-21.845149910644157</v>
      </c>
      <c r="FC22" s="13">
        <f t="shared" si="54"/>
        <v>-10.391806968900639</v>
      </c>
      <c r="FD22" s="12">
        <f t="shared" si="55"/>
        <v>3.0681900077267343E-5</v>
      </c>
      <c r="FE22" s="13"/>
      <c r="FF22" s="23">
        <f t="shared" si="56"/>
        <v>-6.4720999990280648</v>
      </c>
      <c r="FG22" s="13">
        <f t="shared" si="57"/>
        <v>10.691372608261709</v>
      </c>
      <c r="FH22" s="13">
        <f t="shared" si="58"/>
        <v>11.208717374430421</v>
      </c>
      <c r="FI22" s="24">
        <f t="shared" si="109"/>
        <v>4.9544709753712723E-6</v>
      </c>
      <c r="FJ22" s="25">
        <f t="shared" si="59"/>
        <v>1.6305612790645796E-5</v>
      </c>
      <c r="FK22" s="13"/>
      <c r="FL22" s="23">
        <f t="shared" si="110"/>
        <v>9.9978507438584074</v>
      </c>
      <c r="FM22" s="13">
        <f t="shared" si="124"/>
        <v>-6.6641640881670048</v>
      </c>
      <c r="FN22" s="13">
        <f t="shared" si="111"/>
        <v>-5.8064583350191796</v>
      </c>
      <c r="FO22" s="13">
        <f t="shared" si="60"/>
        <v>1.5614963981835928E-6</v>
      </c>
      <c r="FP22" s="23">
        <f t="shared" si="112"/>
        <v>-5.8065408747017209</v>
      </c>
      <c r="FQ22" s="13">
        <f t="shared" si="113"/>
        <v>1.5611996573294817E-6</v>
      </c>
      <c r="FR22" s="13">
        <f t="shared" si="114"/>
        <v>-5.8065085239836556</v>
      </c>
      <c r="FS22" s="13">
        <f t="shared" si="115"/>
        <v>1.5613159557448242E-6</v>
      </c>
      <c r="FT22" s="13">
        <f t="shared" si="116"/>
        <v>-5.8065491891386039</v>
      </c>
      <c r="FU22" s="12">
        <f t="shared" si="117"/>
        <v>1.5611697689044135E-6</v>
      </c>
      <c r="FV22" s="22"/>
      <c r="FW22" s="11">
        <f t="shared" si="61"/>
        <v>-1</v>
      </c>
      <c r="FX22" s="10">
        <f t="shared" si="62"/>
        <v>-1.7507339380196498</v>
      </c>
      <c r="FY22" s="10">
        <f t="shared" si="63"/>
        <v>2.8414996220710531</v>
      </c>
      <c r="FZ22" s="5">
        <f t="shared" si="64"/>
        <v>-11.234236583522296</v>
      </c>
      <c r="GA22" s="10">
        <f t="shared" si="65"/>
        <v>0.1113111873907352</v>
      </c>
      <c r="GB22" s="9">
        <f t="shared" si="118"/>
        <v>9.9978507438584074</v>
      </c>
      <c r="GC22" s="8">
        <f t="shared" si="119"/>
        <v>-6.6641640881670048</v>
      </c>
      <c r="GD22" s="8">
        <f t="shared" si="120"/>
        <v>1.5614963981835928E-6</v>
      </c>
      <c r="GE22" s="7">
        <f t="shared" si="121"/>
        <v>1.5611996573294817E-6</v>
      </c>
      <c r="GF22" s="6">
        <f t="shared" si="66"/>
        <v>4.9544709753712723E-6</v>
      </c>
      <c r="GG22" s="5">
        <f t="shared" si="67"/>
        <v>1.6305612790645796E-5</v>
      </c>
      <c r="GH22" s="4">
        <f t="shared" si="68"/>
        <v>3.0681900077267343E-5</v>
      </c>
      <c r="GI22" s="4">
        <f t="shared" si="69"/>
        <v>7.9426514400130776E-5</v>
      </c>
      <c r="GJ22" s="4">
        <f t="shared" si="70"/>
        <v>5.0587886019082262E-6</v>
      </c>
      <c r="GK22" s="1"/>
    </row>
    <row r="23" spans="1:193" x14ac:dyDescent="0.4">
      <c r="A23" s="34"/>
      <c r="B23" s="21"/>
      <c r="C23" s="21"/>
      <c r="D23" s="34"/>
      <c r="E23" s="34"/>
      <c r="F23" s="20" t="s">
        <v>134</v>
      </c>
      <c r="G23" s="19">
        <v>1050</v>
      </c>
      <c r="H23" s="18">
        <v>1E-4</v>
      </c>
      <c r="I23" s="17">
        <v>-0.6</v>
      </c>
      <c r="J23" s="16">
        <v>64.2</v>
      </c>
      <c r="K23" s="16">
        <v>0.7</v>
      </c>
      <c r="L23" s="16">
        <v>16.8</v>
      </c>
      <c r="M23" s="16">
        <v>0</v>
      </c>
      <c r="N23" s="16">
        <v>5.0999999999999996</v>
      </c>
      <c r="O23" s="16">
        <v>0.1</v>
      </c>
      <c r="P23" s="16">
        <v>2.1</v>
      </c>
      <c r="Q23" s="16">
        <v>5.6</v>
      </c>
      <c r="R23" s="16">
        <v>4</v>
      </c>
      <c r="S23" s="16">
        <v>1.4</v>
      </c>
      <c r="T23" s="16">
        <v>0</v>
      </c>
      <c r="U23" s="15">
        <v>0</v>
      </c>
      <c r="V23" s="16"/>
      <c r="W23" s="28">
        <f t="shared" si="71"/>
        <v>64.200000000000017</v>
      </c>
      <c r="X23" s="24">
        <f t="shared" si="0"/>
        <v>0.70000000000000007</v>
      </c>
      <c r="Y23" s="24">
        <f t="shared" si="0"/>
        <v>16.800000000000004</v>
      </c>
      <c r="Z23" s="24">
        <f t="shared" si="0"/>
        <v>0</v>
      </c>
      <c r="AA23" s="24">
        <f t="shared" si="0"/>
        <v>5.1000000000000005</v>
      </c>
      <c r="AB23" s="24">
        <f t="shared" si="0"/>
        <v>0.10000000000000002</v>
      </c>
      <c r="AC23" s="24">
        <f t="shared" si="0"/>
        <v>2.1000000000000005</v>
      </c>
      <c r="AD23" s="24">
        <f t="shared" si="0"/>
        <v>5.6000000000000005</v>
      </c>
      <c r="AE23" s="24">
        <f t="shared" si="0"/>
        <v>4.0000000000000009</v>
      </c>
      <c r="AF23" s="24">
        <f t="shared" si="0"/>
        <v>1.4000000000000001</v>
      </c>
      <c r="AG23" s="24">
        <f t="shared" si="0"/>
        <v>0</v>
      </c>
      <c r="AH23" s="24">
        <f t="shared" si="0"/>
        <v>0</v>
      </c>
      <c r="AI23" s="14">
        <f t="shared" si="72"/>
        <v>100</v>
      </c>
      <c r="AJ23" s="26"/>
      <c r="AK23" s="50">
        <f t="shared" si="73"/>
        <v>1.068397403894159</v>
      </c>
      <c r="AL23" s="47">
        <f t="shared" si="74"/>
        <v>8.7609511889862324E-3</v>
      </c>
      <c r="AM23" s="47">
        <f t="shared" si="75"/>
        <v>0.16477049823460185</v>
      </c>
      <c r="AN23" s="49">
        <f t="shared" si="76"/>
        <v>0</v>
      </c>
      <c r="AO23" s="49">
        <f t="shared" si="77"/>
        <v>7.0981210855949911E-2</v>
      </c>
      <c r="AP23" s="47">
        <f t="shared" si="78"/>
        <v>1.4084507042253524E-3</v>
      </c>
      <c r="AQ23" s="47">
        <f t="shared" si="79"/>
        <v>5.208333333333335E-2</v>
      </c>
      <c r="AR23" s="47">
        <f t="shared" si="80"/>
        <v>9.9857346647646228E-2</v>
      </c>
      <c r="AS23" s="47">
        <f t="shared" si="81"/>
        <v>6.4536947402387884E-2</v>
      </c>
      <c r="AT23" s="47">
        <f t="shared" si="82"/>
        <v>1.4861995753715499E-2</v>
      </c>
      <c r="AU23" s="47">
        <f t="shared" si="83"/>
        <v>0</v>
      </c>
      <c r="AV23" s="47">
        <f t="shared" si="84"/>
        <v>0</v>
      </c>
      <c r="AW23" s="47">
        <f t="shared" si="85"/>
        <v>1.5456581380150054</v>
      </c>
      <c r="AX23" s="47">
        <f t="shared" si="86"/>
        <v>6.1720978110016519E-2</v>
      </c>
      <c r="AY23" s="46">
        <f t="shared" si="87"/>
        <v>4.6315872182054723E-3</v>
      </c>
      <c r="AZ23" s="26"/>
      <c r="BA23" s="23">
        <f t="shared" si="88"/>
        <v>0.69122490777050916</v>
      </c>
      <c r="BB23" s="13">
        <f t="shared" si="6"/>
        <v>5.6681040739302085E-3</v>
      </c>
      <c r="BC23" s="13">
        <f t="shared" si="7"/>
        <v>0.10660216135904836</v>
      </c>
      <c r="BD23" s="13">
        <f t="shared" si="8"/>
        <v>0</v>
      </c>
      <c r="BE23" s="13">
        <f t="shared" si="9"/>
        <v>4.5922969064237422E-2</v>
      </c>
      <c r="BF23" s="13">
        <f t="shared" si="10"/>
        <v>3.9931843007200166E-2</v>
      </c>
      <c r="BG23" s="13">
        <f t="shared" si="11"/>
        <v>2.9965146265483631E-3</v>
      </c>
      <c r="BH23" s="13">
        <f t="shared" si="12"/>
        <v>9.1123041349501759E-4</v>
      </c>
      <c r="BI23" s="13">
        <f t="shared" si="13"/>
        <v>3.3696541332367845E-2</v>
      </c>
      <c r="BJ23" s="13">
        <f t="shared" si="14"/>
        <v>6.4605066406137474E-2</v>
      </c>
      <c r="BK23" s="13">
        <f t="shared" si="15"/>
        <v>4.1753700779700711E-2</v>
      </c>
      <c r="BL23" s="13">
        <f t="shared" si="16"/>
        <v>9.6153188005737508E-3</v>
      </c>
      <c r="BM23" s="13">
        <f t="shared" si="17"/>
        <v>0</v>
      </c>
      <c r="BN23" s="13">
        <f t="shared" si="18"/>
        <v>0</v>
      </c>
      <c r="BO23" s="12">
        <f t="shared" si="89"/>
        <v>1</v>
      </c>
      <c r="BP23" s="13"/>
      <c r="BQ23" s="23">
        <f t="shared" si="90"/>
        <v>2.1367948077883181</v>
      </c>
      <c r="BR23" s="13">
        <f t="shared" si="19"/>
        <v>1.7521902377972465E-2</v>
      </c>
      <c r="BS23" s="13">
        <f t="shared" si="20"/>
        <v>0.49411764705882366</v>
      </c>
      <c r="BT23" s="13">
        <f t="shared" si="21"/>
        <v>0</v>
      </c>
      <c r="BU23" s="13">
        <f t="shared" si="22"/>
        <v>7.0981210855949911E-2</v>
      </c>
      <c r="BV23" s="13">
        <f t="shared" si="91"/>
        <v>6.1720978110016519E-2</v>
      </c>
      <c r="BW23" s="24">
        <f t="shared" si="92"/>
        <v>1.3894761654616417E-2</v>
      </c>
      <c r="BX23" s="13">
        <f t="shared" si="23"/>
        <v>1.4084507042253524E-3</v>
      </c>
      <c r="BY23" s="13">
        <f t="shared" si="24"/>
        <v>5.2109181141439226E-2</v>
      </c>
      <c r="BZ23" s="13">
        <f t="shared" si="25"/>
        <v>9.9821746880570411E-2</v>
      </c>
      <c r="CA23" s="13">
        <f t="shared" si="26"/>
        <v>6.4516129032258077E-2</v>
      </c>
      <c r="CB23" s="13">
        <f t="shared" si="27"/>
        <v>1.4861995753715499E-2</v>
      </c>
      <c r="CC23" s="13">
        <f t="shared" si="28"/>
        <v>0</v>
      </c>
      <c r="CD23" s="13">
        <f t="shared" si="93"/>
        <v>0</v>
      </c>
      <c r="CE23" s="12">
        <f t="shared" si="94"/>
        <v>2.952133071593273</v>
      </c>
      <c r="CF23" s="13"/>
      <c r="CG23" s="23">
        <f t="shared" si="29"/>
        <v>0.72381385119441277</v>
      </c>
      <c r="CH23" s="13">
        <f t="shared" si="29"/>
        <v>5.9353362308006844E-3</v>
      </c>
      <c r="CI23" s="13">
        <f t="shared" si="29"/>
        <v>0.16737648170857936</v>
      </c>
      <c r="CJ23" s="13">
        <f t="shared" si="29"/>
        <v>0</v>
      </c>
      <c r="CK23" s="13">
        <f t="shared" si="29"/>
        <v>2.404404176050275E-2</v>
      </c>
      <c r="CL23" s="13">
        <f t="shared" si="29"/>
        <v>2.0907247950278058E-2</v>
      </c>
      <c r="CM23" s="13">
        <f t="shared" si="29"/>
        <v>4.7066854093800667E-3</v>
      </c>
      <c r="CN23" s="13">
        <f t="shared" si="29"/>
        <v>4.7709594048387808E-4</v>
      </c>
      <c r="CO23" s="13">
        <f t="shared" si="29"/>
        <v>1.7651365937008993E-2</v>
      </c>
      <c r="CP23" s="13">
        <f t="shared" si="29"/>
        <v>3.3813430648197841E-2</v>
      </c>
      <c r="CQ23" s="13">
        <f t="shared" si="29"/>
        <v>2.185407211248732E-2</v>
      </c>
      <c r="CR23" s="13">
        <f t="shared" si="29"/>
        <v>5.0343244675262709E-3</v>
      </c>
      <c r="CS23" s="13">
        <f t="shared" si="29"/>
        <v>0</v>
      </c>
      <c r="CT23" s="13">
        <f t="shared" si="29"/>
        <v>0</v>
      </c>
      <c r="CU23" s="12">
        <f t="shared" si="30"/>
        <v>0.99999999999999989</v>
      </c>
      <c r="CV23" s="26"/>
      <c r="CW23" s="23">
        <f t="shared" si="31"/>
        <v>1.068397403894159</v>
      </c>
      <c r="CX23" s="13">
        <f t="shared" si="32"/>
        <v>8.7609511889862324E-3</v>
      </c>
      <c r="CY23" s="13">
        <f t="shared" si="33"/>
        <v>0.32941176470588246</v>
      </c>
      <c r="CZ23" s="13">
        <f t="shared" si="34"/>
        <v>0</v>
      </c>
      <c r="DA23" s="13">
        <f t="shared" si="35"/>
        <v>7.7994428969359333E-2</v>
      </c>
      <c r="DB23" s="13">
        <f t="shared" si="36"/>
        <v>6.1720978110016519E-2</v>
      </c>
      <c r="DC23" s="24">
        <f t="shared" si="37"/>
        <v>9.2631744364109446E-3</v>
      </c>
      <c r="DD23" s="13">
        <f t="shared" si="38"/>
        <v>1.4084507042253524E-3</v>
      </c>
      <c r="DE23" s="13">
        <f t="shared" si="39"/>
        <v>5.2109181141439226E-2</v>
      </c>
      <c r="DF23" s="13">
        <f t="shared" si="40"/>
        <v>9.9821746880570411E-2</v>
      </c>
      <c r="DG23" s="13">
        <f t="shared" si="41"/>
        <v>0.12903225806451615</v>
      </c>
      <c r="DH23" s="13">
        <f t="shared" si="42"/>
        <v>2.9723991507430998E-2</v>
      </c>
      <c r="DI23" s="13">
        <f t="shared" si="43"/>
        <v>0</v>
      </c>
      <c r="DJ23" s="13">
        <f t="shared" si="95"/>
        <v>0</v>
      </c>
      <c r="DK23" s="12">
        <f t="shared" si="96"/>
        <v>1.7966601770565693</v>
      </c>
      <c r="DL23" s="26"/>
      <c r="DM23" s="23">
        <f t="shared" si="97"/>
        <v>0.59465747476214015</v>
      </c>
      <c r="DN23" s="13">
        <f t="shared" si="44"/>
        <v>4.8762427646941641E-3</v>
      </c>
      <c r="DO23" s="13">
        <f t="shared" si="44"/>
        <v>0.18334672795250065</v>
      </c>
      <c r="DP23" s="13">
        <f t="shared" si="44"/>
        <v>0</v>
      </c>
      <c r="DQ23" s="13">
        <f t="shared" si="44"/>
        <v>4.3410785169812116E-2</v>
      </c>
      <c r="DR23" s="13">
        <f t="shared" si="44"/>
        <v>3.4353173125444739E-2</v>
      </c>
      <c r="DS23" s="13">
        <f t="shared" si="44"/>
        <v>5.1557743387993429E-3</v>
      </c>
      <c r="DT23" s="13">
        <f t="shared" si="44"/>
        <v>7.83927156738559E-4</v>
      </c>
      <c r="DU23" s="13">
        <f t="shared" si="44"/>
        <v>2.9003359570649919E-2</v>
      </c>
      <c r="DV23" s="13">
        <f t="shared" si="44"/>
        <v>5.5559614531060786E-2</v>
      </c>
      <c r="DW23" s="13">
        <f t="shared" si="44"/>
        <v>7.1817842746371208E-2</v>
      </c>
      <c r="DX23" s="13">
        <f t="shared" si="44"/>
        <v>1.6544025346032432E-2</v>
      </c>
      <c r="DY23" s="13">
        <f t="shared" si="44"/>
        <v>0</v>
      </c>
      <c r="DZ23" s="13">
        <f t="shared" si="44"/>
        <v>0</v>
      </c>
      <c r="EA23" s="12">
        <f t="shared" si="45"/>
        <v>1</v>
      </c>
      <c r="EB23" s="26"/>
      <c r="EC23" s="30">
        <f t="shared" si="46"/>
        <v>1323</v>
      </c>
      <c r="ED23" s="14">
        <f t="shared" si="98"/>
        <v>100000</v>
      </c>
      <c r="EE23" s="29"/>
      <c r="EF23" s="184">
        <f t="shared" si="122"/>
        <v>-10.834236583522296</v>
      </c>
      <c r="EG23" s="13">
        <f t="shared" si="99"/>
        <v>-0.6</v>
      </c>
      <c r="EH23" s="13">
        <f t="shared" si="100"/>
        <v>-1.3507339380196495</v>
      </c>
      <c r="EI23" s="12">
        <f t="shared" si="47"/>
        <v>3.2414996220710535</v>
      </c>
      <c r="EJ23" s="29"/>
      <c r="EK23" s="28">
        <f t="shared" si="101"/>
        <v>-2.5900418725746053</v>
      </c>
      <c r="EL23" s="24">
        <f t="shared" si="102"/>
        <v>-1.1246382425421648</v>
      </c>
      <c r="EM23" s="24">
        <f t="shared" si="103"/>
        <v>7.5016898868867463E-2</v>
      </c>
      <c r="EN23" s="24">
        <f t="shared" si="104"/>
        <v>3.9931843007200173E-2</v>
      </c>
      <c r="EO23" s="24">
        <f t="shared" si="105"/>
        <v>2.9955630285186277E-3</v>
      </c>
      <c r="EP23" s="24">
        <f t="shared" si="106"/>
        <v>0.13046033780300265</v>
      </c>
      <c r="EQ23" s="24">
        <f t="shared" si="107"/>
        <v>-2.5897242538478418</v>
      </c>
      <c r="ER23" s="24">
        <f t="shared" si="48"/>
        <v>-24.944724451556631</v>
      </c>
      <c r="ES23" s="25">
        <f t="shared" si="49"/>
        <v>-10.831404451392372</v>
      </c>
      <c r="ET23" s="26"/>
      <c r="EU23" s="23">
        <f t="shared" si="123"/>
        <v>-4.6687512716366015</v>
      </c>
      <c r="EV23" s="12">
        <f t="shared" si="50"/>
        <v>2.1440722536736345E-5</v>
      </c>
      <c r="EW23" s="26"/>
      <c r="EX23" s="27">
        <f t="shared" si="108"/>
        <v>5.0093617081359819E-4</v>
      </c>
      <c r="EY23" s="26"/>
      <c r="EZ23" s="23">
        <f t="shared" si="51"/>
        <v>-5.6825641269665619</v>
      </c>
      <c r="FA23" s="13">
        <f t="shared" si="52"/>
        <v>13.806615171090236</v>
      </c>
      <c r="FB23" s="13">
        <f t="shared" si="53"/>
        <v>-21.845149910644157</v>
      </c>
      <c r="FC23" s="13">
        <f t="shared" si="54"/>
        <v>-8.5591740936774059</v>
      </c>
      <c r="FD23" s="12">
        <f t="shared" si="55"/>
        <v>1.9174084699546956E-4</v>
      </c>
      <c r="FE23" s="13"/>
      <c r="FF23" s="23">
        <f t="shared" si="56"/>
        <v>-6.4808828369337173</v>
      </c>
      <c r="FG23" s="13">
        <f t="shared" si="57"/>
        <v>10.691372608261709</v>
      </c>
      <c r="FH23" s="13">
        <f t="shared" si="58"/>
        <v>11.208717374430421</v>
      </c>
      <c r="FI23" s="24">
        <f t="shared" si="109"/>
        <v>3.1898365106752813E-5</v>
      </c>
      <c r="FJ23" s="25">
        <f t="shared" si="59"/>
        <v>1.0497392897568236E-4</v>
      </c>
      <c r="FK23" s="13"/>
      <c r="FL23" s="23">
        <f t="shared" si="110"/>
        <v>9.9978507438584074</v>
      </c>
      <c r="FM23" s="13">
        <f t="shared" si="124"/>
        <v>-6.6688434405150838</v>
      </c>
      <c r="FN23" s="13">
        <f t="shared" si="111"/>
        <v>-5.0017789826711017</v>
      </c>
      <c r="FO23" s="13">
        <f t="shared" si="60"/>
        <v>9.9590220092871107E-6</v>
      </c>
      <c r="FP23" s="23">
        <f t="shared" si="112"/>
        <v>-5.0018615223536429</v>
      </c>
      <c r="FQ23" s="13">
        <f t="shared" si="113"/>
        <v>9.957129449844615E-6</v>
      </c>
      <c r="FR23" s="13">
        <f t="shared" si="114"/>
        <v>-5.0018291716355776</v>
      </c>
      <c r="FS23" s="13">
        <f t="shared" si="115"/>
        <v>9.957871179189226E-6</v>
      </c>
      <c r="FT23" s="13">
        <f t="shared" si="116"/>
        <v>-5.0018698367905259</v>
      </c>
      <c r="FU23" s="12">
        <f t="shared" si="117"/>
        <v>9.9569388272158221E-6</v>
      </c>
      <c r="FV23" s="22"/>
      <c r="FW23" s="11">
        <f t="shared" si="61"/>
        <v>-0.6</v>
      </c>
      <c r="FX23" s="10">
        <f t="shared" si="62"/>
        <v>-1.3507339380196495</v>
      </c>
      <c r="FY23" s="10">
        <f t="shared" si="63"/>
        <v>3.2414996220710535</v>
      </c>
      <c r="FZ23" s="5">
        <f t="shared" si="64"/>
        <v>-10.834236583522296</v>
      </c>
      <c r="GA23" s="10">
        <f t="shared" si="65"/>
        <v>0.13046033780300265</v>
      </c>
      <c r="GB23" s="9">
        <f t="shared" si="118"/>
        <v>9.9978507438584074</v>
      </c>
      <c r="GC23" s="8">
        <f t="shared" si="119"/>
        <v>-6.6688434405150838</v>
      </c>
      <c r="GD23" s="8">
        <f t="shared" si="120"/>
        <v>9.9590220092871107E-6</v>
      </c>
      <c r="GE23" s="7">
        <f t="shared" si="121"/>
        <v>9.957129449844615E-6</v>
      </c>
      <c r="GF23" s="6">
        <f t="shared" si="66"/>
        <v>3.1898365106752813E-5</v>
      </c>
      <c r="GG23" s="5">
        <f t="shared" si="67"/>
        <v>1.0497392897568236E-4</v>
      </c>
      <c r="GH23" s="4">
        <f t="shared" si="68"/>
        <v>1.9174084699546956E-4</v>
      </c>
      <c r="GI23" s="4">
        <f t="shared" si="69"/>
        <v>5.0093617081359819E-4</v>
      </c>
      <c r="GJ23" s="4">
        <f t="shared" si="70"/>
        <v>2.1440722536736345E-5</v>
      </c>
      <c r="GK23" s="1"/>
    </row>
    <row r="24" spans="1:193" x14ac:dyDescent="0.4">
      <c r="A24" s="34"/>
      <c r="B24" s="21"/>
      <c r="C24" s="21"/>
      <c r="D24" s="34"/>
      <c r="E24" s="34"/>
      <c r="F24" s="20" t="s">
        <v>134</v>
      </c>
      <c r="G24" s="19">
        <v>1050</v>
      </c>
      <c r="H24" s="18">
        <v>1E-4</v>
      </c>
      <c r="I24" s="17">
        <v>-0.2</v>
      </c>
      <c r="J24" s="16">
        <v>64.2</v>
      </c>
      <c r="K24" s="16">
        <v>0.7</v>
      </c>
      <c r="L24" s="16">
        <v>16.8</v>
      </c>
      <c r="M24" s="16">
        <v>0</v>
      </c>
      <c r="N24" s="16">
        <v>5.0999999999999996</v>
      </c>
      <c r="O24" s="16">
        <v>0.1</v>
      </c>
      <c r="P24" s="16">
        <v>2.1</v>
      </c>
      <c r="Q24" s="16">
        <v>5.6</v>
      </c>
      <c r="R24" s="16">
        <v>4</v>
      </c>
      <c r="S24" s="16">
        <v>1.4</v>
      </c>
      <c r="T24" s="16">
        <v>0</v>
      </c>
      <c r="U24" s="15">
        <v>0</v>
      </c>
      <c r="V24" s="16"/>
      <c r="W24" s="28">
        <f t="shared" si="71"/>
        <v>64.200000000000017</v>
      </c>
      <c r="X24" s="24">
        <f t="shared" si="0"/>
        <v>0.70000000000000007</v>
      </c>
      <c r="Y24" s="24">
        <f t="shared" si="0"/>
        <v>16.800000000000004</v>
      </c>
      <c r="Z24" s="24">
        <f t="shared" si="0"/>
        <v>0</v>
      </c>
      <c r="AA24" s="24">
        <f t="shared" si="0"/>
        <v>5.1000000000000005</v>
      </c>
      <c r="AB24" s="24">
        <f t="shared" si="0"/>
        <v>0.10000000000000002</v>
      </c>
      <c r="AC24" s="24">
        <f t="shared" si="0"/>
        <v>2.1000000000000005</v>
      </c>
      <c r="AD24" s="24">
        <f t="shared" si="0"/>
        <v>5.6000000000000005</v>
      </c>
      <c r="AE24" s="24">
        <f t="shared" si="0"/>
        <v>4.0000000000000009</v>
      </c>
      <c r="AF24" s="24">
        <f t="shared" si="0"/>
        <v>1.4000000000000001</v>
      </c>
      <c r="AG24" s="24">
        <f t="shared" si="0"/>
        <v>0</v>
      </c>
      <c r="AH24" s="24">
        <f t="shared" si="0"/>
        <v>0</v>
      </c>
      <c r="AI24" s="14">
        <f t="shared" si="72"/>
        <v>100</v>
      </c>
      <c r="AJ24" s="26"/>
      <c r="AK24" s="50">
        <f t="shared" si="73"/>
        <v>1.068397403894159</v>
      </c>
      <c r="AL24" s="47">
        <f t="shared" si="74"/>
        <v>8.7609511889862324E-3</v>
      </c>
      <c r="AM24" s="47">
        <f t="shared" si="75"/>
        <v>0.16477049823460185</v>
      </c>
      <c r="AN24" s="49">
        <f t="shared" si="76"/>
        <v>0</v>
      </c>
      <c r="AO24" s="49">
        <f t="shared" si="77"/>
        <v>7.0981210855949911E-2</v>
      </c>
      <c r="AP24" s="47">
        <f t="shared" si="78"/>
        <v>1.4084507042253524E-3</v>
      </c>
      <c r="AQ24" s="47">
        <f t="shared" si="79"/>
        <v>5.208333333333335E-2</v>
      </c>
      <c r="AR24" s="47">
        <f t="shared" si="80"/>
        <v>9.9857346647646228E-2</v>
      </c>
      <c r="AS24" s="47">
        <f t="shared" si="81"/>
        <v>6.4536947402387884E-2</v>
      </c>
      <c r="AT24" s="47">
        <f t="shared" si="82"/>
        <v>1.4861995753715499E-2</v>
      </c>
      <c r="AU24" s="47">
        <f t="shared" si="83"/>
        <v>0</v>
      </c>
      <c r="AV24" s="47">
        <f t="shared" si="84"/>
        <v>0</v>
      </c>
      <c r="AW24" s="47">
        <f t="shared" si="85"/>
        <v>1.5456581380150054</v>
      </c>
      <c r="AX24" s="47">
        <f t="shared" si="86"/>
        <v>6.0167999864341092E-2</v>
      </c>
      <c r="AY24" s="46">
        <f t="shared" si="87"/>
        <v>5.4083230077006305E-3</v>
      </c>
      <c r="AZ24" s="26"/>
      <c r="BA24" s="23">
        <f t="shared" si="88"/>
        <v>0.69122490777050916</v>
      </c>
      <c r="BB24" s="13">
        <f t="shared" si="6"/>
        <v>5.6681040739302085E-3</v>
      </c>
      <c r="BC24" s="13">
        <f t="shared" si="7"/>
        <v>0.10660216135904836</v>
      </c>
      <c r="BD24" s="13">
        <f t="shared" si="8"/>
        <v>0</v>
      </c>
      <c r="BE24" s="13">
        <f t="shared" si="9"/>
        <v>4.5922969064237422E-2</v>
      </c>
      <c r="BF24" s="13">
        <f t="shared" si="10"/>
        <v>3.8927107090841698E-2</v>
      </c>
      <c r="BG24" s="13">
        <f t="shared" si="11"/>
        <v>3.49904217154138E-3</v>
      </c>
      <c r="BH24" s="13">
        <f t="shared" si="12"/>
        <v>9.1123041349501759E-4</v>
      </c>
      <c r="BI24" s="13">
        <f t="shared" si="13"/>
        <v>3.3696541332367845E-2</v>
      </c>
      <c r="BJ24" s="13">
        <f t="shared" si="14"/>
        <v>6.4605066406137474E-2</v>
      </c>
      <c r="BK24" s="13">
        <f t="shared" si="15"/>
        <v>4.1753700779700711E-2</v>
      </c>
      <c r="BL24" s="13">
        <f t="shared" si="16"/>
        <v>9.6153188005737508E-3</v>
      </c>
      <c r="BM24" s="13">
        <f t="shared" si="17"/>
        <v>0</v>
      </c>
      <c r="BN24" s="13">
        <f t="shared" si="18"/>
        <v>0</v>
      </c>
      <c r="BO24" s="12">
        <f t="shared" si="89"/>
        <v>1</v>
      </c>
      <c r="BP24" s="13"/>
      <c r="BQ24" s="23">
        <f t="shared" si="90"/>
        <v>2.1367948077883181</v>
      </c>
      <c r="BR24" s="13">
        <f t="shared" si="19"/>
        <v>1.7521902377972465E-2</v>
      </c>
      <c r="BS24" s="13">
        <f t="shared" si="20"/>
        <v>0.49411764705882366</v>
      </c>
      <c r="BT24" s="13">
        <f t="shared" si="21"/>
        <v>0</v>
      </c>
      <c r="BU24" s="13">
        <f t="shared" si="22"/>
        <v>7.0981210855949911E-2</v>
      </c>
      <c r="BV24" s="13">
        <f t="shared" si="91"/>
        <v>6.0167999864341092E-2</v>
      </c>
      <c r="BW24" s="24">
        <f t="shared" si="92"/>
        <v>1.6224969023101894E-2</v>
      </c>
      <c r="BX24" s="13">
        <f t="shared" si="23"/>
        <v>1.4084507042253524E-3</v>
      </c>
      <c r="BY24" s="13">
        <f t="shared" si="24"/>
        <v>5.2109181141439226E-2</v>
      </c>
      <c r="BZ24" s="13">
        <f t="shared" si="25"/>
        <v>9.9821746880570411E-2</v>
      </c>
      <c r="CA24" s="13">
        <f t="shared" si="26"/>
        <v>6.4516129032258077E-2</v>
      </c>
      <c r="CB24" s="13">
        <f t="shared" si="27"/>
        <v>1.4861995753715499E-2</v>
      </c>
      <c r="CC24" s="13">
        <f t="shared" si="28"/>
        <v>0</v>
      </c>
      <c r="CD24" s="13">
        <f t="shared" si="93"/>
        <v>0</v>
      </c>
      <c r="CE24" s="12">
        <f t="shared" si="94"/>
        <v>2.952133071593273</v>
      </c>
      <c r="CF24" s="13"/>
      <c r="CG24" s="23">
        <f t="shared" si="29"/>
        <v>0.72381385119441277</v>
      </c>
      <c r="CH24" s="13">
        <f t="shared" si="29"/>
        <v>5.9353362308006844E-3</v>
      </c>
      <c r="CI24" s="13">
        <f t="shared" si="29"/>
        <v>0.16737648170857936</v>
      </c>
      <c r="CJ24" s="13">
        <f t="shared" si="29"/>
        <v>0</v>
      </c>
      <c r="CK24" s="13">
        <f t="shared" si="29"/>
        <v>2.404404176050275E-2</v>
      </c>
      <c r="CL24" s="13">
        <f t="shared" si="29"/>
        <v>2.0381195022441276E-2</v>
      </c>
      <c r="CM24" s="13">
        <f t="shared" si="29"/>
        <v>5.496015467332996E-3</v>
      </c>
      <c r="CN24" s="13">
        <f t="shared" si="29"/>
        <v>4.7709594048387808E-4</v>
      </c>
      <c r="CO24" s="13">
        <f t="shared" si="29"/>
        <v>1.7651365937008993E-2</v>
      </c>
      <c r="CP24" s="13">
        <f t="shared" si="29"/>
        <v>3.3813430648197841E-2</v>
      </c>
      <c r="CQ24" s="13">
        <f t="shared" si="29"/>
        <v>2.185407211248732E-2</v>
      </c>
      <c r="CR24" s="13">
        <f t="shared" si="29"/>
        <v>5.0343244675262709E-3</v>
      </c>
      <c r="CS24" s="13">
        <f t="shared" si="29"/>
        <v>0</v>
      </c>
      <c r="CT24" s="13">
        <f t="shared" si="29"/>
        <v>0</v>
      </c>
      <c r="CU24" s="12">
        <f t="shared" si="30"/>
        <v>0.99999999999999989</v>
      </c>
      <c r="CV24" s="26"/>
      <c r="CW24" s="23">
        <f t="shared" si="31"/>
        <v>1.068397403894159</v>
      </c>
      <c r="CX24" s="13">
        <f t="shared" si="32"/>
        <v>8.7609511889862324E-3</v>
      </c>
      <c r="CY24" s="13">
        <f t="shared" si="33"/>
        <v>0.32941176470588246</v>
      </c>
      <c r="CZ24" s="13">
        <f t="shared" si="34"/>
        <v>0</v>
      </c>
      <c r="DA24" s="13">
        <f t="shared" si="35"/>
        <v>7.7994428969359333E-2</v>
      </c>
      <c r="DB24" s="13">
        <f t="shared" si="36"/>
        <v>6.0167999864341092E-2</v>
      </c>
      <c r="DC24" s="24">
        <f t="shared" si="37"/>
        <v>1.0816646015401261E-2</v>
      </c>
      <c r="DD24" s="13">
        <f t="shared" si="38"/>
        <v>1.4084507042253524E-3</v>
      </c>
      <c r="DE24" s="13">
        <f t="shared" si="39"/>
        <v>5.2109181141439226E-2</v>
      </c>
      <c r="DF24" s="13">
        <f t="shared" si="40"/>
        <v>9.9821746880570411E-2</v>
      </c>
      <c r="DG24" s="13">
        <f t="shared" si="41"/>
        <v>0.12903225806451615</v>
      </c>
      <c r="DH24" s="13">
        <f t="shared" si="42"/>
        <v>2.9723991507430998E-2</v>
      </c>
      <c r="DI24" s="13">
        <f t="shared" si="43"/>
        <v>0</v>
      </c>
      <c r="DJ24" s="13">
        <f t="shared" si="95"/>
        <v>0</v>
      </c>
      <c r="DK24" s="12">
        <f t="shared" si="96"/>
        <v>1.7966601770565693</v>
      </c>
      <c r="DL24" s="26"/>
      <c r="DM24" s="23">
        <f t="shared" si="97"/>
        <v>0.59465747476214015</v>
      </c>
      <c r="DN24" s="13">
        <f t="shared" si="44"/>
        <v>4.8762427646941641E-3</v>
      </c>
      <c r="DO24" s="13">
        <f t="shared" si="44"/>
        <v>0.18334672795250065</v>
      </c>
      <c r="DP24" s="13">
        <f t="shared" si="44"/>
        <v>0</v>
      </c>
      <c r="DQ24" s="13">
        <f t="shared" si="44"/>
        <v>4.3410785169812116E-2</v>
      </c>
      <c r="DR24" s="13">
        <f t="shared" si="44"/>
        <v>3.3488803632812224E-2</v>
      </c>
      <c r="DS24" s="13">
        <f t="shared" si="44"/>
        <v>6.0204184149736904E-3</v>
      </c>
      <c r="DT24" s="13">
        <f t="shared" si="44"/>
        <v>7.83927156738559E-4</v>
      </c>
      <c r="DU24" s="13">
        <f t="shared" si="44"/>
        <v>2.9003359570649919E-2</v>
      </c>
      <c r="DV24" s="13">
        <f t="shared" si="44"/>
        <v>5.5559614531060786E-2</v>
      </c>
      <c r="DW24" s="13">
        <f t="shared" si="44"/>
        <v>7.1817842746371208E-2</v>
      </c>
      <c r="DX24" s="13">
        <f t="shared" si="44"/>
        <v>1.6544025346032432E-2</v>
      </c>
      <c r="DY24" s="13">
        <f t="shared" si="44"/>
        <v>0</v>
      </c>
      <c r="DZ24" s="13">
        <f t="shared" si="44"/>
        <v>0</v>
      </c>
      <c r="EA24" s="12">
        <f t="shared" si="45"/>
        <v>1</v>
      </c>
      <c r="EB24" s="26"/>
      <c r="EC24" s="30">
        <f t="shared" si="46"/>
        <v>1323</v>
      </c>
      <c r="ED24" s="14">
        <f t="shared" si="98"/>
        <v>100000</v>
      </c>
      <c r="EE24" s="29"/>
      <c r="EF24" s="184">
        <f t="shared" si="122"/>
        <v>-10.434236583522296</v>
      </c>
      <c r="EG24" s="13">
        <f t="shared" si="99"/>
        <v>-0.2</v>
      </c>
      <c r="EH24" s="13">
        <f t="shared" si="100"/>
        <v>-0.95073393801964912</v>
      </c>
      <c r="EI24" s="12">
        <f t="shared" si="47"/>
        <v>3.6414996220710538</v>
      </c>
      <c r="EJ24" s="29"/>
      <c r="EK24" s="28">
        <f t="shared" si="101"/>
        <v>-2.4095192012838713</v>
      </c>
      <c r="EL24" s="24">
        <f t="shared" si="102"/>
        <v>-1.046252367035984</v>
      </c>
      <c r="EM24" s="24">
        <f t="shared" si="103"/>
        <v>8.9858488033414965E-2</v>
      </c>
      <c r="EN24" s="24">
        <f t="shared" si="104"/>
        <v>3.8927107090841698E-2</v>
      </c>
      <c r="EO24" s="24">
        <f t="shared" si="105"/>
        <v>3.4979309866978617E-3</v>
      </c>
      <c r="EP24" s="24">
        <f t="shared" si="106"/>
        <v>0.15233906073472417</v>
      </c>
      <c r="EQ24" s="24">
        <f t="shared" si="107"/>
        <v>-2.4092015825571074</v>
      </c>
      <c r="ER24" s="24">
        <f t="shared" si="48"/>
        <v>-24.023690414359006</v>
      </c>
      <c r="ES24" s="25">
        <f t="shared" si="49"/>
        <v>-10.431476515136346</v>
      </c>
      <c r="ET24" s="26"/>
      <c r="EU24" s="23">
        <f t="shared" si="123"/>
        <v>-4.0415512716365996</v>
      </c>
      <c r="EV24" s="12">
        <f t="shared" si="50"/>
        <v>9.0867643030345668E-5</v>
      </c>
      <c r="EW24" s="26"/>
      <c r="EX24" s="27">
        <f t="shared" si="108"/>
        <v>3.1523091832602089E-3</v>
      </c>
      <c r="EY24" s="26"/>
      <c r="EZ24" s="23">
        <f t="shared" si="51"/>
        <v>-5.6825641269665619</v>
      </c>
      <c r="FA24" s="13">
        <f t="shared" si="52"/>
        <v>13.795835052701396</v>
      </c>
      <c r="FB24" s="13">
        <f t="shared" si="53"/>
        <v>-21.845149910644157</v>
      </c>
      <c r="FC24" s="13">
        <f t="shared" si="54"/>
        <v>-6.7278861376710068</v>
      </c>
      <c r="FD24" s="12">
        <f t="shared" si="55"/>
        <v>1.1956294660234734E-3</v>
      </c>
      <c r="FE24" s="13"/>
      <c r="FF24" s="23">
        <f t="shared" si="56"/>
        <v>-6.4909176046886801</v>
      </c>
      <c r="FG24" s="13">
        <f t="shared" si="57"/>
        <v>10.691372608261709</v>
      </c>
      <c r="FH24" s="13">
        <f t="shared" si="58"/>
        <v>11.208717374430421</v>
      </c>
      <c r="FI24" s="24">
        <f t="shared" si="109"/>
        <v>2.0593378453581668E-4</v>
      </c>
      <c r="FJ24" s="25">
        <f t="shared" si="59"/>
        <v>6.7743480542492573E-4</v>
      </c>
      <c r="FK24" s="13"/>
      <c r="FL24" s="23">
        <f t="shared" si="110"/>
        <v>9.9978507438584074</v>
      </c>
      <c r="FM24" s="13">
        <f t="shared" si="124"/>
        <v>-6.6741898477979182</v>
      </c>
      <c r="FN24" s="13">
        <f t="shared" si="111"/>
        <v>-4.1964325753882648</v>
      </c>
      <c r="FO24" s="13">
        <f t="shared" si="60"/>
        <v>6.3612109424959762E-5</v>
      </c>
      <c r="FP24" s="23">
        <f t="shared" si="112"/>
        <v>-4.196515115070806</v>
      </c>
      <c r="FQ24" s="13">
        <f t="shared" si="113"/>
        <v>6.3600021566023734E-5</v>
      </c>
      <c r="FR24" s="13">
        <f t="shared" si="114"/>
        <v>-4.1964827643527407</v>
      </c>
      <c r="FS24" s="13">
        <f t="shared" si="115"/>
        <v>6.3604759024671331E-5</v>
      </c>
      <c r="FT24" s="13">
        <f t="shared" si="116"/>
        <v>-4.196523429507689</v>
      </c>
      <c r="FU24" s="12">
        <f t="shared" si="117"/>
        <v>6.3598804051823166E-5</v>
      </c>
      <c r="FV24" s="22"/>
      <c r="FW24" s="11">
        <f t="shared" si="61"/>
        <v>-0.2</v>
      </c>
      <c r="FX24" s="10">
        <f t="shared" si="62"/>
        <v>-0.95073393801964912</v>
      </c>
      <c r="FY24" s="10">
        <f t="shared" si="63"/>
        <v>3.6414996220710538</v>
      </c>
      <c r="FZ24" s="5">
        <f t="shared" si="64"/>
        <v>-10.434236583522296</v>
      </c>
      <c r="GA24" s="10">
        <f t="shared" si="65"/>
        <v>0.15233906073472417</v>
      </c>
      <c r="GB24" s="9">
        <f t="shared" si="118"/>
        <v>9.9978507438584074</v>
      </c>
      <c r="GC24" s="8">
        <f t="shared" si="119"/>
        <v>-6.6741898477979182</v>
      </c>
      <c r="GD24" s="8">
        <f t="shared" si="120"/>
        <v>6.3612109424959762E-5</v>
      </c>
      <c r="GE24" s="7">
        <f t="shared" si="121"/>
        <v>6.3600021566023734E-5</v>
      </c>
      <c r="GF24" s="6">
        <f t="shared" si="66"/>
        <v>2.0593378453581668E-4</v>
      </c>
      <c r="GG24" s="5">
        <f t="shared" si="67"/>
        <v>6.7743480542492573E-4</v>
      </c>
      <c r="GH24" s="4">
        <f t="shared" si="68"/>
        <v>1.1956294660234734E-3</v>
      </c>
      <c r="GI24" s="4">
        <f t="shared" si="69"/>
        <v>3.1523091832602089E-3</v>
      </c>
      <c r="GJ24" s="4">
        <f t="shared" si="70"/>
        <v>9.0867643030345668E-5</v>
      </c>
      <c r="GK24" s="1"/>
    </row>
    <row r="25" spans="1:193" x14ac:dyDescent="0.4">
      <c r="A25" s="34"/>
      <c r="B25" s="21"/>
      <c r="C25" s="21"/>
      <c r="D25" s="34"/>
      <c r="E25" s="34"/>
      <c r="F25" s="20" t="s">
        <v>134</v>
      </c>
      <c r="G25" s="19">
        <v>1050</v>
      </c>
      <c r="H25" s="18">
        <v>1E-4</v>
      </c>
      <c r="I25" s="17">
        <v>0.2</v>
      </c>
      <c r="J25" s="16">
        <v>64.2</v>
      </c>
      <c r="K25" s="16">
        <v>0.7</v>
      </c>
      <c r="L25" s="16">
        <v>16.8</v>
      </c>
      <c r="M25" s="16">
        <v>0</v>
      </c>
      <c r="N25" s="16">
        <v>5.0999999999999996</v>
      </c>
      <c r="O25" s="16">
        <v>0.1</v>
      </c>
      <c r="P25" s="16">
        <v>2.1</v>
      </c>
      <c r="Q25" s="16">
        <v>5.6</v>
      </c>
      <c r="R25" s="16">
        <v>4</v>
      </c>
      <c r="S25" s="16">
        <v>1.4</v>
      </c>
      <c r="T25" s="16">
        <v>0</v>
      </c>
      <c r="U25" s="15">
        <v>0</v>
      </c>
      <c r="V25" s="16"/>
      <c r="W25" s="28">
        <f t="shared" si="71"/>
        <v>64.200000000000017</v>
      </c>
      <c r="X25" s="24">
        <f t="shared" ref="X25:AH48" si="125">IF(K25="","",K25/SUM($J25:$U25)*100)</f>
        <v>0.70000000000000007</v>
      </c>
      <c r="Y25" s="24">
        <f t="shared" si="125"/>
        <v>16.800000000000004</v>
      </c>
      <c r="Z25" s="24">
        <f t="shared" si="125"/>
        <v>0</v>
      </c>
      <c r="AA25" s="24">
        <f t="shared" si="125"/>
        <v>5.1000000000000005</v>
      </c>
      <c r="AB25" s="24">
        <f t="shared" si="125"/>
        <v>0.10000000000000002</v>
      </c>
      <c r="AC25" s="24">
        <f t="shared" si="125"/>
        <v>2.1000000000000005</v>
      </c>
      <c r="AD25" s="24">
        <f t="shared" si="125"/>
        <v>5.6000000000000005</v>
      </c>
      <c r="AE25" s="24">
        <f t="shared" si="125"/>
        <v>4.0000000000000009</v>
      </c>
      <c r="AF25" s="24">
        <f t="shared" si="125"/>
        <v>1.4000000000000001</v>
      </c>
      <c r="AG25" s="24">
        <f t="shared" si="125"/>
        <v>0</v>
      </c>
      <c r="AH25" s="24">
        <f t="shared" si="125"/>
        <v>0</v>
      </c>
      <c r="AI25" s="14">
        <f t="shared" si="72"/>
        <v>100</v>
      </c>
      <c r="AJ25" s="26"/>
      <c r="AK25" s="50">
        <f t="shared" si="73"/>
        <v>1.068397403894159</v>
      </c>
      <c r="AL25" s="47">
        <f t="shared" si="74"/>
        <v>8.7609511889862324E-3</v>
      </c>
      <c r="AM25" s="47">
        <f t="shared" si="75"/>
        <v>0.16477049823460185</v>
      </c>
      <c r="AN25" s="49">
        <f t="shared" si="76"/>
        <v>0</v>
      </c>
      <c r="AO25" s="49">
        <f t="shared" si="77"/>
        <v>7.0981210855949911E-2</v>
      </c>
      <c r="AP25" s="47">
        <f t="shared" si="78"/>
        <v>1.4084507042253524E-3</v>
      </c>
      <c r="AQ25" s="47">
        <f t="shared" si="79"/>
        <v>5.208333333333335E-2</v>
      </c>
      <c r="AR25" s="47">
        <f t="shared" si="80"/>
        <v>9.9857346647646228E-2</v>
      </c>
      <c r="AS25" s="47">
        <f t="shared" si="81"/>
        <v>6.4536947402387884E-2</v>
      </c>
      <c r="AT25" s="47">
        <f t="shared" si="82"/>
        <v>1.4861995753715499E-2</v>
      </c>
      <c r="AU25" s="47">
        <f t="shared" si="83"/>
        <v>0</v>
      </c>
      <c r="AV25" s="47">
        <f t="shared" si="84"/>
        <v>0</v>
      </c>
      <c r="AW25" s="47">
        <f t="shared" si="85"/>
        <v>1.5456581380150054</v>
      </c>
      <c r="AX25" s="47">
        <f t="shared" si="86"/>
        <v>5.8407636959622651E-2</v>
      </c>
      <c r="AY25" s="46">
        <f t="shared" si="87"/>
        <v>6.2887840665738553E-3</v>
      </c>
      <c r="AZ25" s="26"/>
      <c r="BA25" s="23">
        <f t="shared" si="88"/>
        <v>0.69122490777050916</v>
      </c>
      <c r="BB25" s="13">
        <f t="shared" si="6"/>
        <v>5.6681040739302085E-3</v>
      </c>
      <c r="BC25" s="13">
        <f t="shared" si="7"/>
        <v>0.10660216135904836</v>
      </c>
      <c r="BD25" s="13">
        <f t="shared" si="8"/>
        <v>0</v>
      </c>
      <c r="BE25" s="13">
        <f t="shared" si="9"/>
        <v>4.5922969064237422E-2</v>
      </c>
      <c r="BF25" s="13">
        <f t="shared" si="10"/>
        <v>3.7788198776368506E-2</v>
      </c>
      <c r="BG25" s="13">
        <f t="shared" si="11"/>
        <v>4.0686772268091293E-3</v>
      </c>
      <c r="BH25" s="13">
        <f t="shared" si="12"/>
        <v>9.1123041349501759E-4</v>
      </c>
      <c r="BI25" s="13">
        <f t="shared" si="13"/>
        <v>3.3696541332367845E-2</v>
      </c>
      <c r="BJ25" s="13">
        <f t="shared" si="14"/>
        <v>6.4605066406137474E-2</v>
      </c>
      <c r="BK25" s="13">
        <f t="shared" si="15"/>
        <v>4.1753700779700711E-2</v>
      </c>
      <c r="BL25" s="13">
        <f t="shared" si="16"/>
        <v>9.6153188005737508E-3</v>
      </c>
      <c r="BM25" s="13">
        <f t="shared" si="17"/>
        <v>0</v>
      </c>
      <c r="BN25" s="13">
        <f t="shared" si="18"/>
        <v>0</v>
      </c>
      <c r="BO25" s="12">
        <f t="shared" si="89"/>
        <v>1</v>
      </c>
      <c r="BP25" s="13"/>
      <c r="BQ25" s="23">
        <f t="shared" si="90"/>
        <v>2.1367948077883181</v>
      </c>
      <c r="BR25" s="13">
        <f t="shared" si="19"/>
        <v>1.7521902377972465E-2</v>
      </c>
      <c r="BS25" s="13">
        <f t="shared" si="20"/>
        <v>0.49411764705882366</v>
      </c>
      <c r="BT25" s="13">
        <f t="shared" si="21"/>
        <v>0</v>
      </c>
      <c r="BU25" s="13">
        <f t="shared" si="22"/>
        <v>7.0981210855949911E-2</v>
      </c>
      <c r="BV25" s="13">
        <f t="shared" si="91"/>
        <v>5.8407636959622651E-2</v>
      </c>
      <c r="BW25" s="24">
        <f t="shared" si="92"/>
        <v>1.8866352199721565E-2</v>
      </c>
      <c r="BX25" s="13">
        <f t="shared" si="23"/>
        <v>1.4084507042253524E-3</v>
      </c>
      <c r="BY25" s="13">
        <f t="shared" si="24"/>
        <v>5.2109181141439226E-2</v>
      </c>
      <c r="BZ25" s="13">
        <f t="shared" si="25"/>
        <v>9.9821746880570411E-2</v>
      </c>
      <c r="CA25" s="13">
        <f t="shared" si="26"/>
        <v>6.4516129032258077E-2</v>
      </c>
      <c r="CB25" s="13">
        <f t="shared" si="27"/>
        <v>1.4861995753715499E-2</v>
      </c>
      <c r="CC25" s="13">
        <f t="shared" si="28"/>
        <v>0</v>
      </c>
      <c r="CD25" s="13">
        <f t="shared" si="93"/>
        <v>0</v>
      </c>
      <c r="CE25" s="12">
        <f t="shared" si="94"/>
        <v>2.952133071593273</v>
      </c>
      <c r="CF25" s="13"/>
      <c r="CG25" s="23">
        <f t="shared" si="29"/>
        <v>0.72381385119441277</v>
      </c>
      <c r="CH25" s="13">
        <f t="shared" si="29"/>
        <v>5.9353362308006844E-3</v>
      </c>
      <c r="CI25" s="13">
        <f t="shared" si="29"/>
        <v>0.16737648170857936</v>
      </c>
      <c r="CJ25" s="13">
        <f t="shared" si="29"/>
        <v>0</v>
      </c>
      <c r="CK25" s="13">
        <f t="shared" si="29"/>
        <v>2.404404176050275E-2</v>
      </c>
      <c r="CL25" s="13">
        <f t="shared" si="29"/>
        <v>1.9784893005551377E-2</v>
      </c>
      <c r="CM25" s="13">
        <f t="shared" si="29"/>
        <v>6.3907526328206305E-3</v>
      </c>
      <c r="CN25" s="13">
        <f t="shared" si="29"/>
        <v>4.7709594048387808E-4</v>
      </c>
      <c r="CO25" s="13">
        <f t="shared" si="29"/>
        <v>1.7651365937008993E-2</v>
      </c>
      <c r="CP25" s="13">
        <f t="shared" si="29"/>
        <v>3.3813430648197841E-2</v>
      </c>
      <c r="CQ25" s="13">
        <f t="shared" si="29"/>
        <v>2.185407211248732E-2</v>
      </c>
      <c r="CR25" s="13">
        <f t="shared" si="29"/>
        <v>5.0343244675262709E-3</v>
      </c>
      <c r="CS25" s="13">
        <f t="shared" si="29"/>
        <v>0</v>
      </c>
      <c r="CT25" s="13">
        <f t="shared" si="29"/>
        <v>0</v>
      </c>
      <c r="CU25" s="12">
        <f t="shared" si="30"/>
        <v>0.99999999999999989</v>
      </c>
      <c r="CV25" s="26"/>
      <c r="CW25" s="23">
        <f t="shared" si="31"/>
        <v>1.068397403894159</v>
      </c>
      <c r="CX25" s="13">
        <f t="shared" si="32"/>
        <v>8.7609511889862324E-3</v>
      </c>
      <c r="CY25" s="13">
        <f t="shared" si="33"/>
        <v>0.32941176470588246</v>
      </c>
      <c r="CZ25" s="13">
        <f t="shared" si="34"/>
        <v>0</v>
      </c>
      <c r="DA25" s="13">
        <f t="shared" si="35"/>
        <v>7.7994428969359333E-2</v>
      </c>
      <c r="DB25" s="13">
        <f t="shared" si="36"/>
        <v>5.8407636959622651E-2</v>
      </c>
      <c r="DC25" s="24">
        <f t="shared" si="37"/>
        <v>1.2577568133147711E-2</v>
      </c>
      <c r="DD25" s="13">
        <f t="shared" si="38"/>
        <v>1.4084507042253524E-3</v>
      </c>
      <c r="DE25" s="13">
        <f t="shared" si="39"/>
        <v>5.2109181141439226E-2</v>
      </c>
      <c r="DF25" s="13">
        <f t="shared" si="40"/>
        <v>9.9821746880570411E-2</v>
      </c>
      <c r="DG25" s="13">
        <f t="shared" si="41"/>
        <v>0.12903225806451615</v>
      </c>
      <c r="DH25" s="13">
        <f t="shared" si="42"/>
        <v>2.9723991507430998E-2</v>
      </c>
      <c r="DI25" s="13">
        <f t="shared" si="43"/>
        <v>0</v>
      </c>
      <c r="DJ25" s="13">
        <f t="shared" si="95"/>
        <v>0</v>
      </c>
      <c r="DK25" s="12">
        <f t="shared" si="96"/>
        <v>1.7966601770565693</v>
      </c>
      <c r="DL25" s="26"/>
      <c r="DM25" s="23">
        <f t="shared" si="97"/>
        <v>0.59465747476214015</v>
      </c>
      <c r="DN25" s="13">
        <f t="shared" si="97"/>
        <v>4.8762427646941641E-3</v>
      </c>
      <c r="DO25" s="13">
        <f t="shared" si="97"/>
        <v>0.18334672795250065</v>
      </c>
      <c r="DP25" s="13">
        <f t="shared" si="97"/>
        <v>0</v>
      </c>
      <c r="DQ25" s="13">
        <f t="shared" si="97"/>
        <v>4.3410785169812116E-2</v>
      </c>
      <c r="DR25" s="13">
        <f t="shared" si="97"/>
        <v>3.2509006269238215E-2</v>
      </c>
      <c r="DS25" s="13">
        <f t="shared" si="97"/>
        <v>7.0005270299658313E-3</v>
      </c>
      <c r="DT25" s="13">
        <f t="shared" si="97"/>
        <v>7.83927156738559E-4</v>
      </c>
      <c r="DU25" s="13">
        <f t="shared" si="97"/>
        <v>2.9003359570649919E-2</v>
      </c>
      <c r="DV25" s="13">
        <f t="shared" si="97"/>
        <v>5.5559614531060786E-2</v>
      </c>
      <c r="DW25" s="13">
        <f t="shared" si="97"/>
        <v>7.1817842746371208E-2</v>
      </c>
      <c r="DX25" s="13">
        <f t="shared" si="97"/>
        <v>1.6544025346032432E-2</v>
      </c>
      <c r="DY25" s="13">
        <f t="shared" si="97"/>
        <v>0</v>
      </c>
      <c r="DZ25" s="13">
        <f t="shared" si="97"/>
        <v>0</v>
      </c>
      <c r="EA25" s="12">
        <f t="shared" si="45"/>
        <v>1</v>
      </c>
      <c r="EB25" s="26"/>
      <c r="EC25" s="30">
        <f t="shared" si="46"/>
        <v>1323</v>
      </c>
      <c r="ED25" s="14">
        <f t="shared" si="98"/>
        <v>100000</v>
      </c>
      <c r="EE25" s="29"/>
      <c r="EF25" s="184">
        <f t="shared" si="122"/>
        <v>-10.034236583522297</v>
      </c>
      <c r="EG25" s="13">
        <f t="shared" si="99"/>
        <v>0.2</v>
      </c>
      <c r="EH25" s="13">
        <f t="shared" si="100"/>
        <v>-0.55073393801965054</v>
      </c>
      <c r="EI25" s="12">
        <f t="shared" si="47"/>
        <v>4.0414996220710524</v>
      </c>
      <c r="EJ25" s="29"/>
      <c r="EK25" s="28">
        <f t="shared" si="101"/>
        <v>-2.2289965299931382</v>
      </c>
      <c r="EL25" s="24">
        <f t="shared" si="102"/>
        <v>-0.96786649152980386</v>
      </c>
      <c r="EM25" s="24">
        <f t="shared" si="103"/>
        <v>0.10763638584642114</v>
      </c>
      <c r="EN25" s="24">
        <f t="shared" si="104"/>
        <v>3.7788198776368506E-2</v>
      </c>
      <c r="EO25" s="24">
        <f t="shared" si="105"/>
        <v>4.0673851439344596E-3</v>
      </c>
      <c r="EP25" s="24">
        <f t="shared" si="106"/>
        <v>0.17713946753943402</v>
      </c>
      <c r="EQ25" s="24">
        <f t="shared" si="107"/>
        <v>-2.2286789112663747</v>
      </c>
      <c r="ER25" s="24">
        <f t="shared" si="48"/>
        <v>-23.102656377161392</v>
      </c>
      <c r="ES25" s="25">
        <f t="shared" si="49"/>
        <v>-10.031548578880326</v>
      </c>
      <c r="ET25" s="26"/>
      <c r="EU25" s="23">
        <f t="shared" si="123"/>
        <v>-3.4143512716366011</v>
      </c>
      <c r="EV25" s="12">
        <f t="shared" si="50"/>
        <v>3.8501839990634501E-4</v>
      </c>
      <c r="EW25" s="26"/>
      <c r="EX25" s="27">
        <f t="shared" si="108"/>
        <v>1.9562303872579508E-2</v>
      </c>
      <c r="EY25" s="26"/>
      <c r="EZ25" s="23">
        <f t="shared" si="51"/>
        <v>-5.6825641269665619</v>
      </c>
      <c r="FA25" s="13">
        <f t="shared" si="52"/>
        <v>13.783615357690834</v>
      </c>
      <c r="FB25" s="13">
        <f t="shared" si="53"/>
        <v>-21.845149910644157</v>
      </c>
      <c r="FC25" s="13">
        <f t="shared" si="54"/>
        <v>-4.8980377582863426</v>
      </c>
      <c r="FD25" s="12">
        <f t="shared" si="55"/>
        <v>7.4059520531989387E-3</v>
      </c>
      <c r="FE25" s="13"/>
      <c r="FF25" s="23">
        <f t="shared" si="56"/>
        <v>-6.5022924149685375</v>
      </c>
      <c r="FG25" s="13">
        <f t="shared" si="57"/>
        <v>10.691372608261709</v>
      </c>
      <c r="FH25" s="13">
        <f t="shared" si="58"/>
        <v>11.208717374430421</v>
      </c>
      <c r="FI25" s="24">
        <f t="shared" si="109"/>
        <v>1.3323331857447718E-3</v>
      </c>
      <c r="FJ25" s="25">
        <f t="shared" si="59"/>
        <v>4.3715346701999058E-3</v>
      </c>
      <c r="FK25" s="13"/>
      <c r="FL25" s="23">
        <f t="shared" si="110"/>
        <v>9.9978507438584074</v>
      </c>
      <c r="FM25" s="13">
        <f t="shared" si="124"/>
        <v>-6.6802502734440381</v>
      </c>
      <c r="FN25" s="13">
        <f t="shared" si="111"/>
        <v>-3.3903721497421486</v>
      </c>
      <c r="FO25" s="13">
        <f t="shared" si="60"/>
        <v>4.0686573343684529E-4</v>
      </c>
      <c r="FP25" s="23">
        <f t="shared" si="112"/>
        <v>-3.3904546894246899</v>
      </c>
      <c r="FQ25" s="13">
        <f t="shared" si="113"/>
        <v>4.0678844551556015E-4</v>
      </c>
      <c r="FR25" s="13">
        <f t="shared" si="114"/>
        <v>-3.3904223387066246</v>
      </c>
      <c r="FS25" s="13">
        <f t="shared" si="115"/>
        <v>4.0681873610204367E-4</v>
      </c>
      <c r="FT25" s="13">
        <f t="shared" si="116"/>
        <v>-3.3904630038615728</v>
      </c>
      <c r="FU25" s="12">
        <f t="shared" si="117"/>
        <v>4.0678066091581755E-4</v>
      </c>
      <c r="FV25" s="22"/>
      <c r="FW25" s="11">
        <f t="shared" si="61"/>
        <v>0.2</v>
      </c>
      <c r="FX25" s="10">
        <f t="shared" si="62"/>
        <v>-0.55073393801965054</v>
      </c>
      <c r="FY25" s="10">
        <f t="shared" si="63"/>
        <v>4.0414996220710524</v>
      </c>
      <c r="FZ25" s="5">
        <f t="shared" si="64"/>
        <v>-10.034236583522297</v>
      </c>
      <c r="GA25" s="10">
        <f t="shared" si="65"/>
        <v>0.17713946753943402</v>
      </c>
      <c r="GB25" s="9">
        <f t="shared" si="118"/>
        <v>9.9978507438584074</v>
      </c>
      <c r="GC25" s="8">
        <f t="shared" si="119"/>
        <v>-6.6802502734440381</v>
      </c>
      <c r="GD25" s="8">
        <f t="shared" si="120"/>
        <v>4.0686573343684529E-4</v>
      </c>
      <c r="GE25" s="7">
        <f t="shared" si="121"/>
        <v>4.0678844551556015E-4</v>
      </c>
      <c r="GF25" s="6">
        <f t="shared" si="66"/>
        <v>1.3323331857447718E-3</v>
      </c>
      <c r="GG25" s="5">
        <f t="shared" si="67"/>
        <v>4.3715346701999058E-3</v>
      </c>
      <c r="GH25" s="4">
        <f t="shared" si="68"/>
        <v>7.4059520531989387E-3</v>
      </c>
      <c r="GI25" s="4">
        <f t="shared" si="69"/>
        <v>1.9562303872579508E-2</v>
      </c>
      <c r="GJ25" s="4">
        <f t="shared" si="70"/>
        <v>3.8501839990634501E-4</v>
      </c>
      <c r="GK25" s="1"/>
    </row>
    <row r="26" spans="1:193" x14ac:dyDescent="0.4">
      <c r="A26" s="34"/>
      <c r="B26" s="21"/>
      <c r="C26" s="21"/>
      <c r="D26" s="34"/>
      <c r="E26" s="34"/>
      <c r="F26" s="20" t="s">
        <v>134</v>
      </c>
      <c r="G26" s="19">
        <v>1050</v>
      </c>
      <c r="H26" s="18">
        <v>1E-4</v>
      </c>
      <c r="I26" s="17">
        <v>0.6</v>
      </c>
      <c r="J26" s="16">
        <v>64.2</v>
      </c>
      <c r="K26" s="16">
        <v>0.7</v>
      </c>
      <c r="L26" s="16">
        <v>16.8</v>
      </c>
      <c r="M26" s="16">
        <v>0</v>
      </c>
      <c r="N26" s="16">
        <v>5.0999999999999996</v>
      </c>
      <c r="O26" s="16">
        <v>0.1</v>
      </c>
      <c r="P26" s="16">
        <v>2.1</v>
      </c>
      <c r="Q26" s="16">
        <v>5.6</v>
      </c>
      <c r="R26" s="16">
        <v>4</v>
      </c>
      <c r="S26" s="16">
        <v>1.4</v>
      </c>
      <c r="T26" s="16">
        <v>0</v>
      </c>
      <c r="U26" s="15">
        <v>0</v>
      </c>
      <c r="V26" s="16"/>
      <c r="W26" s="28">
        <f t="shared" si="71"/>
        <v>64.200000000000017</v>
      </c>
      <c r="X26" s="24">
        <f t="shared" si="125"/>
        <v>0.70000000000000007</v>
      </c>
      <c r="Y26" s="24">
        <f t="shared" si="125"/>
        <v>16.800000000000004</v>
      </c>
      <c r="Z26" s="24">
        <f t="shared" si="125"/>
        <v>0</v>
      </c>
      <c r="AA26" s="24">
        <f t="shared" si="125"/>
        <v>5.1000000000000005</v>
      </c>
      <c r="AB26" s="24">
        <f t="shared" si="125"/>
        <v>0.10000000000000002</v>
      </c>
      <c r="AC26" s="24">
        <f t="shared" si="125"/>
        <v>2.1000000000000005</v>
      </c>
      <c r="AD26" s="24">
        <f t="shared" si="125"/>
        <v>5.6000000000000005</v>
      </c>
      <c r="AE26" s="24">
        <f t="shared" si="125"/>
        <v>4.0000000000000009</v>
      </c>
      <c r="AF26" s="24">
        <f t="shared" si="125"/>
        <v>1.4000000000000001</v>
      </c>
      <c r="AG26" s="24">
        <f t="shared" si="125"/>
        <v>0</v>
      </c>
      <c r="AH26" s="24">
        <f t="shared" si="125"/>
        <v>0</v>
      </c>
      <c r="AI26" s="14">
        <f t="shared" si="72"/>
        <v>100</v>
      </c>
      <c r="AJ26" s="26"/>
      <c r="AK26" s="50">
        <f t="shared" si="73"/>
        <v>1.068397403894159</v>
      </c>
      <c r="AL26" s="47">
        <f t="shared" si="74"/>
        <v>8.7609511889862324E-3</v>
      </c>
      <c r="AM26" s="47">
        <f t="shared" si="75"/>
        <v>0.16477049823460185</v>
      </c>
      <c r="AN26" s="49">
        <f t="shared" si="76"/>
        <v>0</v>
      </c>
      <c r="AO26" s="49">
        <f t="shared" si="77"/>
        <v>7.0981210855949911E-2</v>
      </c>
      <c r="AP26" s="47">
        <f t="shared" si="78"/>
        <v>1.4084507042253524E-3</v>
      </c>
      <c r="AQ26" s="47">
        <f t="shared" si="79"/>
        <v>5.208333333333335E-2</v>
      </c>
      <c r="AR26" s="47">
        <f t="shared" si="80"/>
        <v>9.9857346647646228E-2</v>
      </c>
      <c r="AS26" s="47">
        <f t="shared" si="81"/>
        <v>6.4536947402387884E-2</v>
      </c>
      <c r="AT26" s="47">
        <f t="shared" si="82"/>
        <v>1.4861995753715499E-2</v>
      </c>
      <c r="AU26" s="47">
        <f t="shared" si="83"/>
        <v>0</v>
      </c>
      <c r="AV26" s="47">
        <f t="shared" si="84"/>
        <v>0</v>
      </c>
      <c r="AW26" s="47">
        <f t="shared" si="85"/>
        <v>1.5456581380150054</v>
      </c>
      <c r="AX26" s="47">
        <f t="shared" si="86"/>
        <v>5.642999949859364E-2</v>
      </c>
      <c r="AY26" s="46">
        <f t="shared" si="87"/>
        <v>7.277916914316662E-3</v>
      </c>
      <c r="AZ26" s="26"/>
      <c r="BA26" s="23">
        <f t="shared" si="88"/>
        <v>0.69122490777050916</v>
      </c>
      <c r="BB26" s="13">
        <f t="shared" si="6"/>
        <v>5.6681040739302085E-3</v>
      </c>
      <c r="BC26" s="13">
        <f t="shared" si="7"/>
        <v>0.10660216135904836</v>
      </c>
      <c r="BD26" s="13">
        <f t="shared" si="8"/>
        <v>0</v>
      </c>
      <c r="BE26" s="13">
        <f t="shared" si="9"/>
        <v>4.5922969064237422E-2</v>
      </c>
      <c r="BF26" s="13">
        <f t="shared" si="10"/>
        <v>3.6508719561405251E-2</v>
      </c>
      <c r="BG26" s="13">
        <f t="shared" si="11"/>
        <v>4.7086200598427585E-3</v>
      </c>
      <c r="BH26" s="13">
        <f t="shared" si="12"/>
        <v>9.1123041349501759E-4</v>
      </c>
      <c r="BI26" s="13">
        <f t="shared" si="13"/>
        <v>3.3696541332367845E-2</v>
      </c>
      <c r="BJ26" s="13">
        <f t="shared" si="14"/>
        <v>6.4605066406137474E-2</v>
      </c>
      <c r="BK26" s="13">
        <f t="shared" si="15"/>
        <v>4.1753700779700711E-2</v>
      </c>
      <c r="BL26" s="13">
        <f t="shared" si="16"/>
        <v>9.6153188005737508E-3</v>
      </c>
      <c r="BM26" s="13">
        <f t="shared" si="17"/>
        <v>0</v>
      </c>
      <c r="BN26" s="13">
        <f t="shared" si="18"/>
        <v>0</v>
      </c>
      <c r="BO26" s="12">
        <f t="shared" si="89"/>
        <v>1</v>
      </c>
      <c r="BP26" s="13"/>
      <c r="BQ26" s="23">
        <f t="shared" si="90"/>
        <v>2.1367948077883181</v>
      </c>
      <c r="BR26" s="13">
        <f t="shared" si="19"/>
        <v>1.7521902377972465E-2</v>
      </c>
      <c r="BS26" s="13">
        <f t="shared" si="20"/>
        <v>0.49411764705882366</v>
      </c>
      <c r="BT26" s="13">
        <f t="shared" si="21"/>
        <v>0</v>
      </c>
      <c r="BU26" s="13">
        <f t="shared" si="22"/>
        <v>7.0981210855949911E-2</v>
      </c>
      <c r="BV26" s="13">
        <f t="shared" si="91"/>
        <v>5.642999949859364E-2</v>
      </c>
      <c r="BW26" s="24">
        <f t="shared" si="92"/>
        <v>2.1833750742949989E-2</v>
      </c>
      <c r="BX26" s="13">
        <f t="shared" si="23"/>
        <v>1.4084507042253524E-3</v>
      </c>
      <c r="BY26" s="13">
        <f t="shared" si="24"/>
        <v>5.2109181141439226E-2</v>
      </c>
      <c r="BZ26" s="13">
        <f t="shared" si="25"/>
        <v>9.9821746880570411E-2</v>
      </c>
      <c r="CA26" s="13">
        <f t="shared" si="26"/>
        <v>6.4516129032258077E-2</v>
      </c>
      <c r="CB26" s="13">
        <f t="shared" si="27"/>
        <v>1.4861995753715499E-2</v>
      </c>
      <c r="CC26" s="13">
        <f t="shared" si="28"/>
        <v>0</v>
      </c>
      <c r="CD26" s="13">
        <f t="shared" si="93"/>
        <v>0</v>
      </c>
      <c r="CE26" s="12">
        <f t="shared" si="94"/>
        <v>2.952133071593273</v>
      </c>
      <c r="CF26" s="13"/>
      <c r="CG26" s="23">
        <f t="shared" si="29"/>
        <v>0.72381385119441277</v>
      </c>
      <c r="CH26" s="13">
        <f t="shared" si="29"/>
        <v>5.9353362308006844E-3</v>
      </c>
      <c r="CI26" s="13">
        <f t="shared" si="29"/>
        <v>0.16737648170857936</v>
      </c>
      <c r="CJ26" s="13">
        <f t="shared" si="29"/>
        <v>0</v>
      </c>
      <c r="CK26" s="13">
        <f t="shared" si="29"/>
        <v>2.404404176050275E-2</v>
      </c>
      <c r="CL26" s="13">
        <f t="shared" si="29"/>
        <v>1.911499181442327E-2</v>
      </c>
      <c r="CM26" s="13">
        <f t="shared" si="29"/>
        <v>7.3959236299487897E-3</v>
      </c>
      <c r="CN26" s="13">
        <f t="shared" si="29"/>
        <v>4.7709594048387808E-4</v>
      </c>
      <c r="CO26" s="13">
        <f t="shared" si="29"/>
        <v>1.7651365937008993E-2</v>
      </c>
      <c r="CP26" s="13">
        <f t="shared" si="29"/>
        <v>3.3813430648197841E-2</v>
      </c>
      <c r="CQ26" s="13">
        <f t="shared" si="29"/>
        <v>2.185407211248732E-2</v>
      </c>
      <c r="CR26" s="13">
        <f t="shared" si="29"/>
        <v>5.0343244675262709E-3</v>
      </c>
      <c r="CS26" s="13">
        <f t="shared" si="29"/>
        <v>0</v>
      </c>
      <c r="CT26" s="13">
        <f t="shared" si="29"/>
        <v>0</v>
      </c>
      <c r="CU26" s="12">
        <f t="shared" si="30"/>
        <v>0.99999999999999989</v>
      </c>
      <c r="CV26" s="26"/>
      <c r="CW26" s="23">
        <f t="shared" si="31"/>
        <v>1.068397403894159</v>
      </c>
      <c r="CX26" s="13">
        <f t="shared" si="32"/>
        <v>8.7609511889862324E-3</v>
      </c>
      <c r="CY26" s="13">
        <f t="shared" si="33"/>
        <v>0.32941176470588246</v>
      </c>
      <c r="CZ26" s="13">
        <f t="shared" si="34"/>
        <v>0</v>
      </c>
      <c r="DA26" s="13">
        <f t="shared" si="35"/>
        <v>7.7994428969359333E-2</v>
      </c>
      <c r="DB26" s="13">
        <f t="shared" si="36"/>
        <v>5.642999949859364E-2</v>
      </c>
      <c r="DC26" s="24">
        <f t="shared" si="37"/>
        <v>1.4555833828633324E-2</v>
      </c>
      <c r="DD26" s="13">
        <f t="shared" si="38"/>
        <v>1.4084507042253524E-3</v>
      </c>
      <c r="DE26" s="13">
        <f t="shared" si="39"/>
        <v>5.2109181141439226E-2</v>
      </c>
      <c r="DF26" s="13">
        <f t="shared" si="40"/>
        <v>9.9821746880570411E-2</v>
      </c>
      <c r="DG26" s="13">
        <f t="shared" si="41"/>
        <v>0.12903225806451615</v>
      </c>
      <c r="DH26" s="13">
        <f t="shared" si="42"/>
        <v>2.9723991507430998E-2</v>
      </c>
      <c r="DI26" s="13">
        <f t="shared" si="43"/>
        <v>0</v>
      </c>
      <c r="DJ26" s="13">
        <f t="shared" si="95"/>
        <v>0</v>
      </c>
      <c r="DK26" s="12">
        <f t="shared" si="96"/>
        <v>1.7966601770565693</v>
      </c>
      <c r="DL26" s="26"/>
      <c r="DM26" s="23">
        <f t="shared" si="97"/>
        <v>0.59465747476214015</v>
      </c>
      <c r="DN26" s="13">
        <f t="shared" si="97"/>
        <v>4.8762427646941641E-3</v>
      </c>
      <c r="DO26" s="13">
        <f t="shared" si="97"/>
        <v>0.18334672795250065</v>
      </c>
      <c r="DP26" s="13">
        <f t="shared" si="97"/>
        <v>0</v>
      </c>
      <c r="DQ26" s="13">
        <f t="shared" si="97"/>
        <v>4.3410785169812116E-2</v>
      </c>
      <c r="DR26" s="13">
        <f t="shared" si="97"/>
        <v>3.1408276433800481E-2</v>
      </c>
      <c r="DS26" s="13">
        <f t="shared" si="97"/>
        <v>8.1016065333400118E-3</v>
      </c>
      <c r="DT26" s="13">
        <f t="shared" si="97"/>
        <v>7.83927156738559E-4</v>
      </c>
      <c r="DU26" s="13">
        <f t="shared" si="97"/>
        <v>2.9003359570649919E-2</v>
      </c>
      <c r="DV26" s="13">
        <f t="shared" si="97"/>
        <v>5.5559614531060786E-2</v>
      </c>
      <c r="DW26" s="13">
        <f t="shared" si="97"/>
        <v>7.1817842746371208E-2</v>
      </c>
      <c r="DX26" s="13">
        <f t="shared" si="97"/>
        <v>1.6544025346032432E-2</v>
      </c>
      <c r="DY26" s="13">
        <f t="shared" si="97"/>
        <v>0</v>
      </c>
      <c r="DZ26" s="13">
        <f t="shared" si="97"/>
        <v>0</v>
      </c>
      <c r="EA26" s="12">
        <f t="shared" si="45"/>
        <v>1</v>
      </c>
      <c r="EB26" s="26"/>
      <c r="EC26" s="30">
        <f t="shared" si="46"/>
        <v>1323</v>
      </c>
      <c r="ED26" s="14">
        <f t="shared" si="98"/>
        <v>100000</v>
      </c>
      <c r="EE26" s="29"/>
      <c r="EF26" s="184">
        <f t="shared" si="122"/>
        <v>-9.6342365835222967</v>
      </c>
      <c r="EG26" s="13">
        <f t="shared" si="99"/>
        <v>0.6</v>
      </c>
      <c r="EH26" s="13">
        <f t="shared" si="100"/>
        <v>-0.15073393801965018</v>
      </c>
      <c r="EI26" s="12">
        <f t="shared" si="47"/>
        <v>4.4414996220710528</v>
      </c>
      <c r="EJ26" s="29"/>
      <c r="EK26" s="28">
        <f t="shared" si="101"/>
        <v>-2.0484738587024052</v>
      </c>
      <c r="EL26" s="24">
        <f t="shared" si="102"/>
        <v>-0.8894806160236236</v>
      </c>
      <c r="EM26" s="24">
        <f t="shared" si="103"/>
        <v>0.12893152123560556</v>
      </c>
      <c r="EN26" s="24">
        <f t="shared" si="104"/>
        <v>3.6508719561405244E-2</v>
      </c>
      <c r="EO26" s="24">
        <f t="shared" si="105"/>
        <v>4.7071247514160882E-3</v>
      </c>
      <c r="EP26" s="24">
        <f t="shared" si="106"/>
        <v>0.20500088941687214</v>
      </c>
      <c r="EQ26" s="24">
        <f t="shared" si="107"/>
        <v>-2.0481562399756417</v>
      </c>
      <c r="ER26" s="24">
        <f t="shared" si="48"/>
        <v>-22.181622339963774</v>
      </c>
      <c r="ES26" s="25">
        <f t="shared" si="49"/>
        <v>-9.6316206426243056</v>
      </c>
      <c r="ET26" s="26"/>
      <c r="EU26" s="23">
        <f t="shared" si="123"/>
        <v>-2.7871512716366027</v>
      </c>
      <c r="EV26" s="12">
        <f t="shared" si="50"/>
        <v>1.6298225711123271E-3</v>
      </c>
      <c r="EW26" s="26"/>
      <c r="EX26" s="27">
        <f t="shared" si="108"/>
        <v>0.11181576977811693</v>
      </c>
      <c r="EY26" s="26"/>
      <c r="EZ26" s="23">
        <f t="shared" si="51"/>
        <v>-5.6825641269665619</v>
      </c>
      <c r="FA26" s="13">
        <f t="shared" si="52"/>
        <v>13.769887434573132</v>
      </c>
      <c r="FB26" s="13">
        <f t="shared" si="53"/>
        <v>-21.845149910644157</v>
      </c>
      <c r="FC26" s="13">
        <f t="shared" si="54"/>
        <v>-3.0696976070088056</v>
      </c>
      <c r="FD26" s="12">
        <f t="shared" si="55"/>
        <v>4.4374648960486485E-2</v>
      </c>
      <c r="FE26" s="13"/>
      <c r="FF26" s="23">
        <f t="shared" si="56"/>
        <v>-6.5150711726106385</v>
      </c>
      <c r="FG26" s="13">
        <f t="shared" si="57"/>
        <v>10.691372608261709</v>
      </c>
      <c r="FH26" s="13">
        <f t="shared" si="58"/>
        <v>11.208717374430421</v>
      </c>
      <c r="FI26" s="24">
        <f t="shared" si="109"/>
        <v>8.5945259332670387E-3</v>
      </c>
      <c r="FJ26" s="25">
        <f t="shared" si="59"/>
        <v>2.7739462324545605E-2</v>
      </c>
      <c r="FK26" s="13"/>
      <c r="FL26" s="23">
        <f t="shared" si="110"/>
        <v>9.9978507438584074</v>
      </c>
      <c r="FM26" s="13">
        <f t="shared" si="124"/>
        <v>-6.6870587861882713</v>
      </c>
      <c r="FN26" s="13">
        <f t="shared" si="111"/>
        <v>-2.5835636369979156</v>
      </c>
      <c r="FO26" s="13">
        <f t="shared" si="60"/>
        <v>2.6019854419788713E-3</v>
      </c>
      <c r="FP26" s="23">
        <f t="shared" si="112"/>
        <v>-2.5836461766804568</v>
      </c>
      <c r="FQ26" s="13">
        <f t="shared" si="113"/>
        <v>2.6014922559217668E-3</v>
      </c>
      <c r="FR26" s="13">
        <f t="shared" si="114"/>
        <v>-2.5836138259623915</v>
      </c>
      <c r="FS26" s="13">
        <f t="shared" si="115"/>
        <v>2.6016855448404153E-3</v>
      </c>
      <c r="FT26" s="13">
        <f t="shared" si="116"/>
        <v>-2.5836544911173398</v>
      </c>
      <c r="FU26" s="12">
        <f t="shared" si="117"/>
        <v>2.6014425811767827E-3</v>
      </c>
      <c r="FV26" s="22"/>
      <c r="FW26" s="11">
        <f t="shared" si="61"/>
        <v>0.6</v>
      </c>
      <c r="FX26" s="10">
        <f t="shared" si="62"/>
        <v>-0.15073393801965018</v>
      </c>
      <c r="FY26" s="10">
        <f t="shared" si="63"/>
        <v>4.4414996220710528</v>
      </c>
      <c r="FZ26" s="5">
        <f t="shared" si="64"/>
        <v>-9.6342365835222967</v>
      </c>
      <c r="GA26" s="10">
        <f t="shared" si="65"/>
        <v>0.20500088941687214</v>
      </c>
      <c r="GB26" s="9">
        <f t="shared" si="118"/>
        <v>9.9978507438584074</v>
      </c>
      <c r="GC26" s="8">
        <f t="shared" si="119"/>
        <v>-6.6870587861882713</v>
      </c>
      <c r="GD26" s="8">
        <f t="shared" si="120"/>
        <v>2.6019854419788713E-3</v>
      </c>
      <c r="GE26" s="7">
        <f t="shared" si="121"/>
        <v>2.6014922559217668E-3</v>
      </c>
      <c r="GF26" s="6">
        <f t="shared" si="66"/>
        <v>8.5945259332670387E-3</v>
      </c>
      <c r="GG26" s="5">
        <f t="shared" si="67"/>
        <v>2.7739462324545605E-2</v>
      </c>
      <c r="GH26" s="4">
        <f t="shared" si="68"/>
        <v>4.4374648960486485E-2</v>
      </c>
      <c r="GI26" s="4">
        <f t="shared" si="69"/>
        <v>0.11181576977811693</v>
      </c>
      <c r="GJ26" s="4">
        <f t="shared" si="70"/>
        <v>1.6298225711123271E-3</v>
      </c>
      <c r="GK26" s="1"/>
    </row>
    <row r="27" spans="1:193" x14ac:dyDescent="0.4">
      <c r="A27" s="34"/>
      <c r="B27" s="21"/>
      <c r="C27" s="21"/>
      <c r="D27" s="34"/>
      <c r="E27" s="34"/>
      <c r="F27" s="20" t="s">
        <v>134</v>
      </c>
      <c r="G27" s="19">
        <v>1050</v>
      </c>
      <c r="H27" s="18">
        <v>1E-4</v>
      </c>
      <c r="I27" s="17">
        <v>1</v>
      </c>
      <c r="J27" s="16">
        <v>64.2</v>
      </c>
      <c r="K27" s="16">
        <v>0.7</v>
      </c>
      <c r="L27" s="16">
        <v>16.8</v>
      </c>
      <c r="M27" s="16">
        <v>0</v>
      </c>
      <c r="N27" s="16">
        <v>5.0999999999999996</v>
      </c>
      <c r="O27" s="16">
        <v>0.1</v>
      </c>
      <c r="P27" s="16">
        <v>2.1</v>
      </c>
      <c r="Q27" s="16">
        <v>5.6</v>
      </c>
      <c r="R27" s="16">
        <v>4</v>
      </c>
      <c r="S27" s="16">
        <v>1.4</v>
      </c>
      <c r="T27" s="16">
        <v>0</v>
      </c>
      <c r="U27" s="15">
        <v>0</v>
      </c>
      <c r="V27" s="16"/>
      <c r="W27" s="28">
        <f t="shared" si="71"/>
        <v>64.200000000000017</v>
      </c>
      <c r="X27" s="24">
        <f t="shared" si="125"/>
        <v>0.70000000000000007</v>
      </c>
      <c r="Y27" s="24">
        <f t="shared" si="125"/>
        <v>16.800000000000004</v>
      </c>
      <c r="Z27" s="24">
        <f t="shared" si="125"/>
        <v>0</v>
      </c>
      <c r="AA27" s="24">
        <f t="shared" si="125"/>
        <v>5.1000000000000005</v>
      </c>
      <c r="AB27" s="24">
        <f t="shared" si="125"/>
        <v>0.10000000000000002</v>
      </c>
      <c r="AC27" s="24">
        <f t="shared" si="125"/>
        <v>2.1000000000000005</v>
      </c>
      <c r="AD27" s="24">
        <f t="shared" si="125"/>
        <v>5.6000000000000005</v>
      </c>
      <c r="AE27" s="24">
        <f t="shared" si="125"/>
        <v>4.0000000000000009</v>
      </c>
      <c r="AF27" s="24">
        <f t="shared" si="125"/>
        <v>1.4000000000000001</v>
      </c>
      <c r="AG27" s="24">
        <f t="shared" si="125"/>
        <v>0</v>
      </c>
      <c r="AH27" s="24">
        <f t="shared" si="125"/>
        <v>0</v>
      </c>
      <c r="AI27" s="14">
        <f t="shared" si="72"/>
        <v>100</v>
      </c>
      <c r="AJ27" s="26"/>
      <c r="AK27" s="50">
        <f t="shared" si="73"/>
        <v>1.068397403894159</v>
      </c>
      <c r="AL27" s="47">
        <f t="shared" si="74"/>
        <v>8.7609511889862324E-3</v>
      </c>
      <c r="AM27" s="47">
        <f t="shared" si="75"/>
        <v>0.16477049823460185</v>
      </c>
      <c r="AN27" s="49">
        <f t="shared" si="76"/>
        <v>0</v>
      </c>
      <c r="AO27" s="49">
        <f t="shared" si="77"/>
        <v>7.0981210855949911E-2</v>
      </c>
      <c r="AP27" s="47">
        <f t="shared" si="78"/>
        <v>1.4084507042253524E-3</v>
      </c>
      <c r="AQ27" s="47">
        <f t="shared" si="79"/>
        <v>5.208333333333335E-2</v>
      </c>
      <c r="AR27" s="47">
        <f t="shared" si="80"/>
        <v>9.9857346647646228E-2</v>
      </c>
      <c r="AS27" s="47">
        <f t="shared" si="81"/>
        <v>6.4536947402387884E-2</v>
      </c>
      <c r="AT27" s="47">
        <f t="shared" si="82"/>
        <v>1.4861995753715499E-2</v>
      </c>
      <c r="AU27" s="47">
        <f t="shared" si="83"/>
        <v>0</v>
      </c>
      <c r="AV27" s="47">
        <f t="shared" si="84"/>
        <v>0</v>
      </c>
      <c r="AW27" s="47">
        <f t="shared" si="85"/>
        <v>1.5456581380150054</v>
      </c>
      <c r="AX27" s="47">
        <f t="shared" si="86"/>
        <v>5.4230515646313975E-2</v>
      </c>
      <c r="AY27" s="46">
        <f t="shared" si="87"/>
        <v>8.378008194564612E-3</v>
      </c>
      <c r="AZ27" s="26"/>
      <c r="BA27" s="23">
        <f t="shared" si="88"/>
        <v>0.69122490777050916</v>
      </c>
      <c r="BB27" s="13">
        <f t="shared" si="6"/>
        <v>5.6681040739302085E-3</v>
      </c>
      <c r="BC27" s="13">
        <f t="shared" si="7"/>
        <v>0.10660216135904836</v>
      </c>
      <c r="BD27" s="13">
        <f t="shared" si="8"/>
        <v>0</v>
      </c>
      <c r="BE27" s="13">
        <f t="shared" si="9"/>
        <v>4.5922969064237422E-2</v>
      </c>
      <c r="BF27" s="13">
        <f t="shared" si="10"/>
        <v>3.5085711589471477E-2</v>
      </c>
      <c r="BG27" s="13">
        <f t="shared" si="11"/>
        <v>5.4203500686924068E-3</v>
      </c>
      <c r="BH27" s="13">
        <f t="shared" si="12"/>
        <v>9.1123041349501759E-4</v>
      </c>
      <c r="BI27" s="13">
        <f t="shared" si="13"/>
        <v>3.3696541332367845E-2</v>
      </c>
      <c r="BJ27" s="13">
        <f t="shared" si="14"/>
        <v>6.4605066406137474E-2</v>
      </c>
      <c r="BK27" s="13">
        <f t="shared" si="15"/>
        <v>4.1753700779700711E-2</v>
      </c>
      <c r="BL27" s="13">
        <f t="shared" si="16"/>
        <v>9.6153188005737508E-3</v>
      </c>
      <c r="BM27" s="13">
        <f t="shared" si="17"/>
        <v>0</v>
      </c>
      <c r="BN27" s="13">
        <f t="shared" si="18"/>
        <v>0</v>
      </c>
      <c r="BO27" s="12">
        <f t="shared" si="89"/>
        <v>1</v>
      </c>
      <c r="BP27" s="13"/>
      <c r="BQ27" s="23">
        <f t="shared" si="90"/>
        <v>2.1367948077883181</v>
      </c>
      <c r="BR27" s="13">
        <f t="shared" si="19"/>
        <v>1.7521902377972465E-2</v>
      </c>
      <c r="BS27" s="13">
        <f t="shared" si="20"/>
        <v>0.49411764705882366</v>
      </c>
      <c r="BT27" s="13">
        <f t="shared" si="21"/>
        <v>0</v>
      </c>
      <c r="BU27" s="13">
        <f t="shared" si="22"/>
        <v>7.0981210855949911E-2</v>
      </c>
      <c r="BV27" s="13">
        <f t="shared" si="91"/>
        <v>5.4230515646313975E-2</v>
      </c>
      <c r="BW27" s="24">
        <f t="shared" si="92"/>
        <v>2.5134024583693834E-2</v>
      </c>
      <c r="BX27" s="13">
        <f t="shared" si="23"/>
        <v>1.4084507042253524E-3</v>
      </c>
      <c r="BY27" s="13">
        <f t="shared" si="24"/>
        <v>5.2109181141439226E-2</v>
      </c>
      <c r="BZ27" s="13">
        <f t="shared" si="25"/>
        <v>9.9821746880570411E-2</v>
      </c>
      <c r="CA27" s="13">
        <f t="shared" si="26"/>
        <v>6.4516129032258077E-2</v>
      </c>
      <c r="CB27" s="13">
        <f t="shared" si="27"/>
        <v>1.4861995753715499E-2</v>
      </c>
      <c r="CC27" s="13">
        <f t="shared" si="28"/>
        <v>0</v>
      </c>
      <c r="CD27" s="13">
        <f t="shared" si="93"/>
        <v>0</v>
      </c>
      <c r="CE27" s="12">
        <f t="shared" si="94"/>
        <v>2.952133071593273</v>
      </c>
      <c r="CF27" s="13"/>
      <c r="CG27" s="23">
        <f t="shared" si="29"/>
        <v>0.72381385119441277</v>
      </c>
      <c r="CH27" s="13">
        <f t="shared" si="29"/>
        <v>5.9353362308006844E-3</v>
      </c>
      <c r="CI27" s="13">
        <f t="shared" si="29"/>
        <v>0.16737648170857936</v>
      </c>
      <c r="CJ27" s="13">
        <f t="shared" si="29"/>
        <v>0</v>
      </c>
      <c r="CK27" s="13">
        <f t="shared" ref="CK27:CT52" si="126">IF(OR($CE27="",BU27=""),"",BU27/$CE27)</f>
        <v>2.404404176050275E-2</v>
      </c>
      <c r="CL27" s="13">
        <f t="shared" si="126"/>
        <v>1.8369942794294717E-2</v>
      </c>
      <c r="CM27" s="13">
        <f t="shared" si="126"/>
        <v>8.5138521788006467E-3</v>
      </c>
      <c r="CN27" s="13">
        <f t="shared" si="126"/>
        <v>4.7709594048387808E-4</v>
      </c>
      <c r="CO27" s="13">
        <f t="shared" si="126"/>
        <v>1.7651365937008993E-2</v>
      </c>
      <c r="CP27" s="13">
        <f t="shared" si="126"/>
        <v>3.3813430648197841E-2</v>
      </c>
      <c r="CQ27" s="13">
        <f t="shared" si="126"/>
        <v>2.185407211248732E-2</v>
      </c>
      <c r="CR27" s="13">
        <f t="shared" si="126"/>
        <v>5.0343244675262709E-3</v>
      </c>
      <c r="CS27" s="13">
        <f t="shared" si="126"/>
        <v>0</v>
      </c>
      <c r="CT27" s="13">
        <f t="shared" si="126"/>
        <v>0</v>
      </c>
      <c r="CU27" s="12">
        <f t="shared" si="30"/>
        <v>0.99999999999999989</v>
      </c>
      <c r="CV27" s="26"/>
      <c r="CW27" s="23">
        <f t="shared" si="31"/>
        <v>1.068397403894159</v>
      </c>
      <c r="CX27" s="13">
        <f t="shared" si="32"/>
        <v>8.7609511889862324E-3</v>
      </c>
      <c r="CY27" s="13">
        <f t="shared" si="33"/>
        <v>0.32941176470588246</v>
      </c>
      <c r="CZ27" s="13">
        <f t="shared" si="34"/>
        <v>0</v>
      </c>
      <c r="DA27" s="13">
        <f t="shared" si="35"/>
        <v>7.7994428969359333E-2</v>
      </c>
      <c r="DB27" s="13">
        <f t="shared" si="36"/>
        <v>5.4230515646313975E-2</v>
      </c>
      <c r="DC27" s="24">
        <f t="shared" si="37"/>
        <v>1.6756016389129224E-2</v>
      </c>
      <c r="DD27" s="13">
        <f t="shared" si="38"/>
        <v>1.4084507042253524E-3</v>
      </c>
      <c r="DE27" s="13">
        <f t="shared" si="39"/>
        <v>5.2109181141439226E-2</v>
      </c>
      <c r="DF27" s="13">
        <f t="shared" si="40"/>
        <v>9.9821746880570411E-2</v>
      </c>
      <c r="DG27" s="13">
        <f t="shared" si="41"/>
        <v>0.12903225806451615</v>
      </c>
      <c r="DH27" s="13">
        <f t="shared" si="42"/>
        <v>2.9723991507430998E-2</v>
      </c>
      <c r="DI27" s="13">
        <f t="shared" si="43"/>
        <v>0</v>
      </c>
      <c r="DJ27" s="13">
        <f t="shared" si="95"/>
        <v>0</v>
      </c>
      <c r="DK27" s="12">
        <f t="shared" si="96"/>
        <v>1.7966601770565693</v>
      </c>
      <c r="DL27" s="26"/>
      <c r="DM27" s="23">
        <f t="shared" si="97"/>
        <v>0.59465747476214015</v>
      </c>
      <c r="DN27" s="13">
        <f t="shared" si="97"/>
        <v>4.8762427646941641E-3</v>
      </c>
      <c r="DO27" s="13">
        <f t="shared" si="97"/>
        <v>0.18334672795250065</v>
      </c>
      <c r="DP27" s="13">
        <f t="shared" si="97"/>
        <v>0</v>
      </c>
      <c r="DQ27" s="13">
        <f t="shared" si="97"/>
        <v>4.3410785169812116E-2</v>
      </c>
      <c r="DR27" s="13">
        <f t="shared" si="97"/>
        <v>3.0184069496747398E-2</v>
      </c>
      <c r="DS27" s="13">
        <f t="shared" si="97"/>
        <v>9.3262023631982844E-3</v>
      </c>
      <c r="DT27" s="13">
        <f t="shared" si="97"/>
        <v>7.83927156738559E-4</v>
      </c>
      <c r="DU27" s="13">
        <f t="shared" si="97"/>
        <v>2.9003359570649919E-2</v>
      </c>
      <c r="DV27" s="13">
        <f t="shared" si="97"/>
        <v>5.5559614531060786E-2</v>
      </c>
      <c r="DW27" s="13">
        <f t="shared" si="97"/>
        <v>7.1817842746371208E-2</v>
      </c>
      <c r="DX27" s="13">
        <f t="shared" si="97"/>
        <v>1.6544025346032432E-2</v>
      </c>
      <c r="DY27" s="13">
        <f t="shared" si="97"/>
        <v>0</v>
      </c>
      <c r="DZ27" s="13">
        <f t="shared" si="97"/>
        <v>0</v>
      </c>
      <c r="EA27" s="12">
        <f t="shared" si="45"/>
        <v>1</v>
      </c>
      <c r="EB27" s="26"/>
      <c r="EC27" s="30">
        <f t="shared" si="46"/>
        <v>1323</v>
      </c>
      <c r="ED27" s="14">
        <f t="shared" si="98"/>
        <v>100000</v>
      </c>
      <c r="EE27" s="29"/>
      <c r="EF27" s="184">
        <f t="shared" si="122"/>
        <v>-9.2342365835222964</v>
      </c>
      <c r="EG27" s="13">
        <f t="shared" si="99"/>
        <v>1</v>
      </c>
      <c r="EH27" s="13">
        <f t="shared" si="100"/>
        <v>0.24926606198035017</v>
      </c>
      <c r="EI27" s="12">
        <f t="shared" si="47"/>
        <v>4.8414996220710531</v>
      </c>
      <c r="EJ27" s="29"/>
      <c r="EK27" s="28">
        <f t="shared" si="101"/>
        <v>-1.8679511874116721</v>
      </c>
      <c r="EL27" s="24">
        <f t="shared" si="102"/>
        <v>-0.81109474051744335</v>
      </c>
      <c r="EM27" s="24">
        <f t="shared" si="103"/>
        <v>0.15443975601193161</v>
      </c>
      <c r="EN27" s="24">
        <f t="shared" si="104"/>
        <v>3.508571158947147E-2</v>
      </c>
      <c r="EO27" s="24">
        <f t="shared" si="105"/>
        <v>5.418628737382975E-3</v>
      </c>
      <c r="EP27" s="24">
        <f t="shared" si="106"/>
        <v>0.23598773545340038</v>
      </c>
      <c r="EQ27" s="24">
        <f t="shared" si="107"/>
        <v>-1.8676335686849084</v>
      </c>
      <c r="ER27" s="24">
        <f t="shared" si="48"/>
        <v>-21.260588302766156</v>
      </c>
      <c r="ES27" s="25">
        <f t="shared" si="49"/>
        <v>-9.2316927063682837</v>
      </c>
      <c r="ET27" s="26"/>
      <c r="EU27" s="23">
        <f t="shared" si="123"/>
        <v>-2.1599512716366007</v>
      </c>
      <c r="EV27" s="12">
        <f t="shared" si="50"/>
        <v>6.8715412108530938E-3</v>
      </c>
      <c r="EW27" s="26"/>
      <c r="EX27" s="27">
        <f t="shared" si="108"/>
        <v>0.44268836623770724</v>
      </c>
      <c r="EY27" s="26"/>
      <c r="EZ27" s="23">
        <f t="shared" si="51"/>
        <v>-5.6825641269665619</v>
      </c>
      <c r="FA27" s="13">
        <f t="shared" si="52"/>
        <v>13.754619547603081</v>
      </c>
      <c r="FB27" s="13">
        <f t="shared" si="53"/>
        <v>-21.845149910644157</v>
      </c>
      <c r="FC27" s="13">
        <f t="shared" si="54"/>
        <v>-1.2428974195836133</v>
      </c>
      <c r="FD27" s="12">
        <f t="shared" si="55"/>
        <v>0.22393205062175181</v>
      </c>
      <c r="FE27" s="13"/>
      <c r="FF27" s="23">
        <f t="shared" si="56"/>
        <v>-6.5292834191117608</v>
      </c>
      <c r="FG27" s="13">
        <f t="shared" si="57"/>
        <v>10.691372608261709</v>
      </c>
      <c r="FH27" s="13">
        <f t="shared" si="58"/>
        <v>11.208717374430421</v>
      </c>
      <c r="FI27" s="24">
        <f t="shared" si="109"/>
        <v>5.3494135042030155E-2</v>
      </c>
      <c r="FJ27" s="25">
        <f t="shared" si="59"/>
        <v>0.1568341501126389</v>
      </c>
      <c r="FK27" s="13"/>
      <c r="FL27" s="23">
        <f t="shared" si="110"/>
        <v>9.9978507438584074</v>
      </c>
      <c r="FM27" s="13">
        <f t="shared" si="124"/>
        <v>-6.6946311483854899</v>
      </c>
      <c r="FN27" s="13">
        <f t="shared" si="111"/>
        <v>-1.7759912748006954</v>
      </c>
      <c r="FO27" s="13">
        <f t="shared" si="60"/>
        <v>1.6473832441806002E-2</v>
      </c>
      <c r="FP27" s="23">
        <f t="shared" si="112"/>
        <v>-1.7760738144832366</v>
      </c>
      <c r="FQ27" s="13">
        <f t="shared" si="113"/>
        <v>1.64707533748224E-2</v>
      </c>
      <c r="FR27" s="13">
        <f t="shared" si="114"/>
        <v>-1.7760414637651714</v>
      </c>
      <c r="FS27" s="13">
        <f t="shared" si="115"/>
        <v>1.6471960121187124E-2</v>
      </c>
      <c r="FT27" s="13">
        <f t="shared" si="116"/>
        <v>-1.7760821289201196</v>
      </c>
      <c r="FU27" s="12">
        <f t="shared" si="117"/>
        <v>1.6470443243770228E-2</v>
      </c>
      <c r="FV27" s="22"/>
      <c r="FW27" s="11">
        <f t="shared" si="61"/>
        <v>1</v>
      </c>
      <c r="FX27" s="10">
        <f t="shared" si="62"/>
        <v>0.24926606198035017</v>
      </c>
      <c r="FY27" s="10">
        <f t="shared" si="63"/>
        <v>4.8414996220710531</v>
      </c>
      <c r="FZ27" s="5">
        <f t="shared" si="64"/>
        <v>-9.2342365835222964</v>
      </c>
      <c r="GA27" s="10">
        <f t="shared" si="65"/>
        <v>0.23598773545340038</v>
      </c>
      <c r="GB27" s="9">
        <f t="shared" si="118"/>
        <v>9.9978507438584074</v>
      </c>
      <c r="GC27" s="8">
        <f t="shared" si="119"/>
        <v>-6.6946311483854899</v>
      </c>
      <c r="GD27" s="8">
        <f t="shared" si="120"/>
        <v>1.6473832441806002E-2</v>
      </c>
      <c r="GE27" s="7">
        <f t="shared" si="121"/>
        <v>1.64707533748224E-2</v>
      </c>
      <c r="GF27" s="6">
        <f t="shared" si="66"/>
        <v>5.3494135042030155E-2</v>
      </c>
      <c r="GG27" s="5">
        <f t="shared" si="67"/>
        <v>0.1568341501126389</v>
      </c>
      <c r="GH27" s="4">
        <f t="shared" si="68"/>
        <v>0.22393205062175181</v>
      </c>
      <c r="GI27" s="4">
        <f t="shared" si="69"/>
        <v>0.44268836623770724</v>
      </c>
      <c r="GJ27" s="4">
        <f t="shared" si="70"/>
        <v>6.8715412108530938E-3</v>
      </c>
      <c r="GK27" s="1"/>
    </row>
    <row r="28" spans="1:193" x14ac:dyDescent="0.4">
      <c r="A28" s="34"/>
      <c r="B28" s="21"/>
      <c r="C28" s="21"/>
      <c r="D28" s="34"/>
      <c r="E28" s="34"/>
      <c r="F28" s="20" t="s">
        <v>134</v>
      </c>
      <c r="G28" s="19">
        <v>1050</v>
      </c>
      <c r="H28" s="18">
        <v>1E-4</v>
      </c>
      <c r="I28" s="17">
        <v>1.4</v>
      </c>
      <c r="J28" s="16">
        <v>64.2</v>
      </c>
      <c r="K28" s="16">
        <v>0.7</v>
      </c>
      <c r="L28" s="16">
        <v>16.8</v>
      </c>
      <c r="M28" s="16">
        <v>0</v>
      </c>
      <c r="N28" s="16">
        <v>5.0999999999999996</v>
      </c>
      <c r="O28" s="16">
        <v>0.1</v>
      </c>
      <c r="P28" s="16">
        <v>2.1</v>
      </c>
      <c r="Q28" s="16">
        <v>5.6</v>
      </c>
      <c r="R28" s="16">
        <v>4</v>
      </c>
      <c r="S28" s="16">
        <v>1.4</v>
      </c>
      <c r="T28" s="16">
        <v>0</v>
      </c>
      <c r="U28" s="15">
        <v>0</v>
      </c>
      <c r="V28" s="16"/>
      <c r="W28" s="28">
        <f t="shared" si="71"/>
        <v>64.200000000000017</v>
      </c>
      <c r="X28" s="24">
        <f t="shared" si="125"/>
        <v>0.70000000000000007</v>
      </c>
      <c r="Y28" s="24">
        <f t="shared" si="125"/>
        <v>16.800000000000004</v>
      </c>
      <c r="Z28" s="24">
        <f t="shared" si="125"/>
        <v>0</v>
      </c>
      <c r="AA28" s="24">
        <f t="shared" si="125"/>
        <v>5.1000000000000005</v>
      </c>
      <c r="AB28" s="24">
        <f t="shared" si="125"/>
        <v>0.10000000000000002</v>
      </c>
      <c r="AC28" s="24">
        <f t="shared" si="125"/>
        <v>2.1000000000000005</v>
      </c>
      <c r="AD28" s="24">
        <f t="shared" si="125"/>
        <v>5.6000000000000005</v>
      </c>
      <c r="AE28" s="24">
        <f t="shared" si="125"/>
        <v>4.0000000000000009</v>
      </c>
      <c r="AF28" s="24">
        <f t="shared" si="125"/>
        <v>1.4000000000000001</v>
      </c>
      <c r="AG28" s="24">
        <f t="shared" si="125"/>
        <v>0</v>
      </c>
      <c r="AH28" s="24">
        <f t="shared" si="125"/>
        <v>0</v>
      </c>
      <c r="AI28" s="14">
        <f t="shared" si="72"/>
        <v>100</v>
      </c>
      <c r="AJ28" s="26"/>
      <c r="AK28" s="50">
        <f t="shared" si="73"/>
        <v>1.068397403894159</v>
      </c>
      <c r="AL28" s="47">
        <f t="shared" si="74"/>
        <v>8.7609511889862324E-3</v>
      </c>
      <c r="AM28" s="47">
        <f t="shared" si="75"/>
        <v>0.16477049823460185</v>
      </c>
      <c r="AN28" s="49">
        <f t="shared" si="76"/>
        <v>0</v>
      </c>
      <c r="AO28" s="49">
        <f t="shared" si="77"/>
        <v>7.0981210855949911E-2</v>
      </c>
      <c r="AP28" s="47">
        <f t="shared" si="78"/>
        <v>1.4084507042253524E-3</v>
      </c>
      <c r="AQ28" s="47">
        <f t="shared" si="79"/>
        <v>5.208333333333335E-2</v>
      </c>
      <c r="AR28" s="47">
        <f t="shared" si="80"/>
        <v>9.9857346647646228E-2</v>
      </c>
      <c r="AS28" s="47">
        <f t="shared" si="81"/>
        <v>6.4536947402387884E-2</v>
      </c>
      <c r="AT28" s="47">
        <f t="shared" si="82"/>
        <v>1.4861995753715499E-2</v>
      </c>
      <c r="AU28" s="47">
        <f t="shared" si="83"/>
        <v>0</v>
      </c>
      <c r="AV28" s="47">
        <f t="shared" si="84"/>
        <v>0</v>
      </c>
      <c r="AW28" s="47">
        <f t="shared" si="85"/>
        <v>1.5456581380150054</v>
      </c>
      <c r="AX28" s="47">
        <f t="shared" si="86"/>
        <v>5.1811509473043298E-2</v>
      </c>
      <c r="AY28" s="46">
        <f t="shared" si="87"/>
        <v>9.5878955030451376E-3</v>
      </c>
      <c r="AZ28" s="26"/>
      <c r="BA28" s="23">
        <f t="shared" si="88"/>
        <v>0.69122490777050916</v>
      </c>
      <c r="BB28" s="13">
        <f t="shared" si="6"/>
        <v>5.6681040739302085E-3</v>
      </c>
      <c r="BC28" s="13">
        <f t="shared" si="7"/>
        <v>0.10660216135904836</v>
      </c>
      <c r="BD28" s="13">
        <f t="shared" si="8"/>
        <v>0</v>
      </c>
      <c r="BE28" s="13">
        <f t="shared" si="9"/>
        <v>4.5922969064237422E-2</v>
      </c>
      <c r="BF28" s="13">
        <f t="shared" si="10"/>
        <v>3.3520678472654802E-2</v>
      </c>
      <c r="BG28" s="13">
        <f t="shared" si="11"/>
        <v>6.2031152084886555E-3</v>
      </c>
      <c r="BH28" s="13">
        <f t="shared" si="12"/>
        <v>9.1123041349501759E-4</v>
      </c>
      <c r="BI28" s="13">
        <f t="shared" si="13"/>
        <v>3.3696541332367845E-2</v>
      </c>
      <c r="BJ28" s="13">
        <f t="shared" si="14"/>
        <v>6.4605066406137474E-2</v>
      </c>
      <c r="BK28" s="13">
        <f t="shared" si="15"/>
        <v>4.1753700779700711E-2</v>
      </c>
      <c r="BL28" s="13">
        <f t="shared" si="16"/>
        <v>9.6153188005737508E-3</v>
      </c>
      <c r="BM28" s="13">
        <f t="shared" si="17"/>
        <v>0</v>
      </c>
      <c r="BN28" s="13">
        <f t="shared" si="18"/>
        <v>0</v>
      </c>
      <c r="BO28" s="12">
        <f t="shared" si="89"/>
        <v>1</v>
      </c>
      <c r="BP28" s="13"/>
      <c r="BQ28" s="23">
        <f t="shared" si="90"/>
        <v>2.1367948077883181</v>
      </c>
      <c r="BR28" s="13">
        <f t="shared" si="19"/>
        <v>1.7521902377972465E-2</v>
      </c>
      <c r="BS28" s="13">
        <f t="shared" si="20"/>
        <v>0.49411764705882366</v>
      </c>
      <c r="BT28" s="13">
        <f t="shared" si="21"/>
        <v>0</v>
      </c>
      <c r="BU28" s="13">
        <f t="shared" si="22"/>
        <v>7.0981210855949911E-2</v>
      </c>
      <c r="BV28" s="13">
        <f t="shared" si="91"/>
        <v>5.1811509473043298E-2</v>
      </c>
      <c r="BW28" s="24">
        <f t="shared" si="92"/>
        <v>2.8763686509135414E-2</v>
      </c>
      <c r="BX28" s="13">
        <f t="shared" si="23"/>
        <v>1.4084507042253524E-3</v>
      </c>
      <c r="BY28" s="13">
        <f t="shared" si="24"/>
        <v>5.2109181141439226E-2</v>
      </c>
      <c r="BZ28" s="13">
        <f t="shared" si="25"/>
        <v>9.9821746880570411E-2</v>
      </c>
      <c r="CA28" s="13">
        <f t="shared" si="26"/>
        <v>6.4516129032258077E-2</v>
      </c>
      <c r="CB28" s="13">
        <f t="shared" si="27"/>
        <v>1.4861995753715499E-2</v>
      </c>
      <c r="CC28" s="13">
        <f t="shared" si="28"/>
        <v>0</v>
      </c>
      <c r="CD28" s="13">
        <f t="shared" si="93"/>
        <v>0</v>
      </c>
      <c r="CE28" s="12">
        <f t="shared" si="94"/>
        <v>2.952133071593273</v>
      </c>
      <c r="CF28" s="13"/>
      <c r="CG28" s="23">
        <f t="shared" ref="CG28:CO59" si="127">IF(OR($CE28="",BQ28=""),"",BQ28/$CE28)</f>
        <v>0.72381385119441277</v>
      </c>
      <c r="CH28" s="13">
        <f t="shared" si="127"/>
        <v>5.9353362308006844E-3</v>
      </c>
      <c r="CI28" s="13">
        <f t="shared" si="127"/>
        <v>0.16737648170857936</v>
      </c>
      <c r="CJ28" s="13">
        <f t="shared" si="127"/>
        <v>0</v>
      </c>
      <c r="CK28" s="13">
        <f t="shared" si="126"/>
        <v>2.404404176050275E-2</v>
      </c>
      <c r="CL28" s="13">
        <f t="shared" si="126"/>
        <v>1.755053319635097E-2</v>
      </c>
      <c r="CM28" s="13">
        <f t="shared" si="126"/>
        <v>9.7433570274701696E-3</v>
      </c>
      <c r="CN28" s="13">
        <f t="shared" si="126"/>
        <v>4.7709594048387808E-4</v>
      </c>
      <c r="CO28" s="13">
        <f t="shared" si="126"/>
        <v>1.7651365937008993E-2</v>
      </c>
      <c r="CP28" s="13">
        <f t="shared" si="126"/>
        <v>3.3813430648197841E-2</v>
      </c>
      <c r="CQ28" s="13">
        <f t="shared" si="126"/>
        <v>2.185407211248732E-2</v>
      </c>
      <c r="CR28" s="13">
        <f t="shared" si="126"/>
        <v>5.0343244675262709E-3</v>
      </c>
      <c r="CS28" s="13">
        <f t="shared" si="126"/>
        <v>0</v>
      </c>
      <c r="CT28" s="13">
        <f t="shared" si="126"/>
        <v>0</v>
      </c>
      <c r="CU28" s="12">
        <f t="shared" si="30"/>
        <v>0.99999999999999989</v>
      </c>
      <c r="CV28" s="26"/>
      <c r="CW28" s="23">
        <f t="shared" si="31"/>
        <v>1.068397403894159</v>
      </c>
      <c r="CX28" s="13">
        <f t="shared" si="32"/>
        <v>8.7609511889862324E-3</v>
      </c>
      <c r="CY28" s="13">
        <f t="shared" si="33"/>
        <v>0.32941176470588246</v>
      </c>
      <c r="CZ28" s="13">
        <f t="shared" si="34"/>
        <v>0</v>
      </c>
      <c r="DA28" s="13">
        <f t="shared" si="35"/>
        <v>7.7994428969359333E-2</v>
      </c>
      <c r="DB28" s="13">
        <f t="shared" si="36"/>
        <v>5.1811509473043298E-2</v>
      </c>
      <c r="DC28" s="24">
        <f t="shared" si="37"/>
        <v>1.9175791006090275E-2</v>
      </c>
      <c r="DD28" s="13">
        <f t="shared" si="38"/>
        <v>1.4084507042253524E-3</v>
      </c>
      <c r="DE28" s="13">
        <f t="shared" si="39"/>
        <v>5.2109181141439226E-2</v>
      </c>
      <c r="DF28" s="13">
        <f t="shared" si="40"/>
        <v>9.9821746880570411E-2</v>
      </c>
      <c r="DG28" s="13">
        <f t="shared" si="41"/>
        <v>0.12903225806451615</v>
      </c>
      <c r="DH28" s="13">
        <f t="shared" si="42"/>
        <v>2.9723991507430998E-2</v>
      </c>
      <c r="DI28" s="13">
        <f t="shared" si="43"/>
        <v>0</v>
      </c>
      <c r="DJ28" s="13">
        <f t="shared" si="95"/>
        <v>0</v>
      </c>
      <c r="DK28" s="12">
        <f t="shared" si="96"/>
        <v>1.7966601770565693</v>
      </c>
      <c r="DL28" s="26"/>
      <c r="DM28" s="23">
        <f t="shared" si="97"/>
        <v>0.59465747476214015</v>
      </c>
      <c r="DN28" s="13">
        <f t="shared" si="97"/>
        <v>4.8762427646941641E-3</v>
      </c>
      <c r="DO28" s="13">
        <f t="shared" si="97"/>
        <v>0.18334672795250065</v>
      </c>
      <c r="DP28" s="13">
        <f t="shared" si="97"/>
        <v>0</v>
      </c>
      <c r="DQ28" s="13">
        <f t="shared" si="97"/>
        <v>4.3410785169812116E-2</v>
      </c>
      <c r="DR28" s="13">
        <f t="shared" si="97"/>
        <v>2.8837679008350374E-2</v>
      </c>
      <c r="DS28" s="13">
        <f t="shared" si="97"/>
        <v>1.0673020558348196E-2</v>
      </c>
      <c r="DT28" s="13">
        <f t="shared" si="97"/>
        <v>7.83927156738559E-4</v>
      </c>
      <c r="DU28" s="13">
        <f t="shared" si="97"/>
        <v>2.9003359570649919E-2</v>
      </c>
      <c r="DV28" s="13">
        <f t="shared" si="97"/>
        <v>5.5559614531060786E-2</v>
      </c>
      <c r="DW28" s="13">
        <f t="shared" si="97"/>
        <v>7.1817842746371208E-2</v>
      </c>
      <c r="DX28" s="13">
        <f t="shared" si="97"/>
        <v>1.6544025346032432E-2</v>
      </c>
      <c r="DY28" s="13">
        <f t="shared" si="97"/>
        <v>0</v>
      </c>
      <c r="DZ28" s="13">
        <f t="shared" si="97"/>
        <v>0</v>
      </c>
      <c r="EA28" s="12">
        <f t="shared" si="45"/>
        <v>1</v>
      </c>
      <c r="EB28" s="26"/>
      <c r="EC28" s="30">
        <f t="shared" si="46"/>
        <v>1323</v>
      </c>
      <c r="ED28" s="14">
        <f t="shared" si="98"/>
        <v>100000</v>
      </c>
      <c r="EE28" s="29"/>
      <c r="EF28" s="184">
        <f t="shared" si="122"/>
        <v>-8.834236583522296</v>
      </c>
      <c r="EG28" s="13">
        <f t="shared" si="99"/>
        <v>1.4</v>
      </c>
      <c r="EH28" s="13">
        <f t="shared" si="100"/>
        <v>0.64926606198035053</v>
      </c>
      <c r="EI28" s="12">
        <f t="shared" si="47"/>
        <v>5.2414996220710535</v>
      </c>
      <c r="EJ28" s="29"/>
      <c r="EK28" s="28">
        <f t="shared" si="101"/>
        <v>-1.687428516120939</v>
      </c>
      <c r="EL28" s="24">
        <f t="shared" si="102"/>
        <v>-0.7327088650112632</v>
      </c>
      <c r="EM28" s="24">
        <f t="shared" si="103"/>
        <v>0.18499462356795743</v>
      </c>
      <c r="EN28" s="24">
        <f t="shared" si="104"/>
        <v>3.3520678472654802E-2</v>
      </c>
      <c r="EO28" s="24">
        <f t="shared" si="105"/>
        <v>6.2011452957913089E-3</v>
      </c>
      <c r="EP28" s="24">
        <f t="shared" si="106"/>
        <v>0.27006726360036071</v>
      </c>
      <c r="EQ28" s="24">
        <f t="shared" si="107"/>
        <v>-1.6871108973941753</v>
      </c>
      <c r="ER28" s="24">
        <f t="shared" si="48"/>
        <v>-20.339554265568538</v>
      </c>
      <c r="ES28" s="25">
        <f t="shared" si="49"/>
        <v>-8.8317647701122617</v>
      </c>
      <c r="ET28" s="26"/>
      <c r="EU28" s="23">
        <f t="shared" si="123"/>
        <v>-1.5327512716366023</v>
      </c>
      <c r="EV28" s="12">
        <f t="shared" si="50"/>
        <v>2.8490226527921547E-2</v>
      </c>
      <c r="EW28" s="26"/>
      <c r="EX28" s="27">
        <f t="shared" si="108"/>
        <v>0.83366246918343812</v>
      </c>
      <c r="EY28" s="26"/>
      <c r="EZ28" s="23">
        <f t="shared" si="51"/>
        <v>-5.6825641269665619</v>
      </c>
      <c r="FA28" s="13">
        <f t="shared" si="52"/>
        <v>13.737827829493821</v>
      </c>
      <c r="FB28" s="13">
        <f t="shared" si="53"/>
        <v>-21.845149910644157</v>
      </c>
      <c r="FC28" s="13">
        <f t="shared" si="54"/>
        <v>0.58237893670236218</v>
      </c>
      <c r="FD28" s="12">
        <f t="shared" si="55"/>
        <v>0.64161461574248424</v>
      </c>
      <c r="FE28" s="13"/>
      <c r="FF28" s="23">
        <f t="shared" si="56"/>
        <v>-6.5449141371943806</v>
      </c>
      <c r="FG28" s="13">
        <f t="shared" si="57"/>
        <v>10.691372608261709</v>
      </c>
      <c r="FH28" s="13">
        <f t="shared" si="58"/>
        <v>11.208717374430421</v>
      </c>
      <c r="FI28" s="24">
        <f t="shared" si="109"/>
        <v>0.26989684306758965</v>
      </c>
      <c r="FJ28" s="25">
        <f t="shared" si="59"/>
        <v>0.54886461735627901</v>
      </c>
      <c r="FK28" s="13"/>
      <c r="FL28" s="23">
        <f t="shared" si="110"/>
        <v>9.9978507438584074</v>
      </c>
      <c r="FM28" s="13">
        <f t="shared" si="124"/>
        <v>-6.7029593823635354</v>
      </c>
      <c r="FN28" s="13">
        <f t="shared" si="111"/>
        <v>-0.96766304082265009</v>
      </c>
      <c r="FO28" s="13">
        <f t="shared" si="60"/>
        <v>9.7253001209948509E-2</v>
      </c>
      <c r="FP28" s="23">
        <f t="shared" si="112"/>
        <v>-0.96774558050519133</v>
      </c>
      <c r="FQ28" s="13">
        <f t="shared" si="113"/>
        <v>9.7236316667316913E-2</v>
      </c>
      <c r="FR28" s="13">
        <f t="shared" si="114"/>
        <v>-0.96771322978712604</v>
      </c>
      <c r="FS28" s="13">
        <f t="shared" si="115"/>
        <v>9.7242855725811816E-2</v>
      </c>
      <c r="FT28" s="13">
        <f t="shared" si="116"/>
        <v>-0.96775389494207431</v>
      </c>
      <c r="FU28" s="12">
        <f t="shared" si="117"/>
        <v>9.7234636131550367E-2</v>
      </c>
      <c r="FV28" s="22"/>
      <c r="FW28" s="11">
        <f t="shared" si="61"/>
        <v>1.4</v>
      </c>
      <c r="FX28" s="10">
        <f t="shared" si="62"/>
        <v>0.64926606198035053</v>
      </c>
      <c r="FY28" s="10">
        <f t="shared" si="63"/>
        <v>5.2414996220710535</v>
      </c>
      <c r="FZ28" s="5">
        <f t="shared" si="64"/>
        <v>-8.834236583522296</v>
      </c>
      <c r="GA28" s="10">
        <f t="shared" si="65"/>
        <v>0.27006726360036071</v>
      </c>
      <c r="GB28" s="9">
        <f t="shared" si="118"/>
        <v>9.9978507438584074</v>
      </c>
      <c r="GC28" s="8">
        <f t="shared" si="119"/>
        <v>-6.7029593823635354</v>
      </c>
      <c r="GD28" s="8">
        <f t="shared" si="120"/>
        <v>9.7253001209948509E-2</v>
      </c>
      <c r="GE28" s="7">
        <f t="shared" si="121"/>
        <v>9.7236316667316913E-2</v>
      </c>
      <c r="GF28" s="6">
        <f t="shared" si="66"/>
        <v>0.26989684306758965</v>
      </c>
      <c r="GG28" s="5">
        <f t="shared" si="67"/>
        <v>0.54886461735627901</v>
      </c>
      <c r="GH28" s="4">
        <f t="shared" si="68"/>
        <v>0.64161461574248424</v>
      </c>
      <c r="GI28" s="4">
        <f t="shared" si="69"/>
        <v>0.83366246918343812</v>
      </c>
      <c r="GJ28" s="4">
        <f t="shared" si="70"/>
        <v>2.8490226527921547E-2</v>
      </c>
      <c r="GK28" s="1"/>
    </row>
    <row r="29" spans="1:193" x14ac:dyDescent="0.4">
      <c r="A29" s="34"/>
      <c r="B29" s="21"/>
      <c r="C29" s="21"/>
      <c r="D29" s="34"/>
      <c r="E29" s="34"/>
      <c r="F29" s="20" t="s">
        <v>134</v>
      </c>
      <c r="G29" s="19">
        <v>1050</v>
      </c>
      <c r="H29" s="18">
        <v>1E-4</v>
      </c>
      <c r="I29" s="17">
        <v>1.8</v>
      </c>
      <c r="J29" s="16">
        <v>64.2</v>
      </c>
      <c r="K29" s="16">
        <v>0.7</v>
      </c>
      <c r="L29" s="16">
        <v>16.8</v>
      </c>
      <c r="M29" s="16">
        <v>0</v>
      </c>
      <c r="N29" s="16">
        <v>5.0999999999999996</v>
      </c>
      <c r="O29" s="16">
        <v>0.1</v>
      </c>
      <c r="P29" s="16">
        <v>2.1</v>
      </c>
      <c r="Q29" s="16">
        <v>5.6</v>
      </c>
      <c r="R29" s="16">
        <v>4</v>
      </c>
      <c r="S29" s="16">
        <v>1.4</v>
      </c>
      <c r="T29" s="16">
        <v>0</v>
      </c>
      <c r="U29" s="15">
        <v>0</v>
      </c>
      <c r="V29" s="16"/>
      <c r="W29" s="28">
        <f t="shared" si="71"/>
        <v>64.200000000000017</v>
      </c>
      <c r="X29" s="24">
        <f t="shared" si="125"/>
        <v>0.70000000000000007</v>
      </c>
      <c r="Y29" s="24">
        <f t="shared" si="125"/>
        <v>16.800000000000004</v>
      </c>
      <c r="Z29" s="24">
        <f t="shared" si="125"/>
        <v>0</v>
      </c>
      <c r="AA29" s="24">
        <f t="shared" si="125"/>
        <v>5.1000000000000005</v>
      </c>
      <c r="AB29" s="24">
        <f t="shared" si="125"/>
        <v>0.10000000000000002</v>
      </c>
      <c r="AC29" s="24">
        <f t="shared" si="125"/>
        <v>2.1000000000000005</v>
      </c>
      <c r="AD29" s="24">
        <f t="shared" si="125"/>
        <v>5.6000000000000005</v>
      </c>
      <c r="AE29" s="24">
        <f t="shared" si="125"/>
        <v>4.0000000000000009</v>
      </c>
      <c r="AF29" s="24">
        <f t="shared" si="125"/>
        <v>1.4000000000000001</v>
      </c>
      <c r="AG29" s="24">
        <f t="shared" si="125"/>
        <v>0</v>
      </c>
      <c r="AH29" s="24">
        <f t="shared" si="125"/>
        <v>0</v>
      </c>
      <c r="AI29" s="14">
        <f t="shared" si="72"/>
        <v>100</v>
      </c>
      <c r="AJ29" s="26"/>
      <c r="AK29" s="50">
        <f t="shared" si="73"/>
        <v>1.068397403894159</v>
      </c>
      <c r="AL29" s="47">
        <f t="shared" si="74"/>
        <v>8.7609511889862324E-3</v>
      </c>
      <c r="AM29" s="47">
        <f t="shared" si="75"/>
        <v>0.16477049823460185</v>
      </c>
      <c r="AN29" s="49">
        <f t="shared" si="76"/>
        <v>0</v>
      </c>
      <c r="AO29" s="49">
        <f t="shared" si="77"/>
        <v>7.0981210855949911E-2</v>
      </c>
      <c r="AP29" s="47">
        <f t="shared" si="78"/>
        <v>1.4084507042253524E-3</v>
      </c>
      <c r="AQ29" s="47">
        <f t="shared" si="79"/>
        <v>5.208333333333335E-2</v>
      </c>
      <c r="AR29" s="47">
        <f t="shared" si="80"/>
        <v>9.9857346647646228E-2</v>
      </c>
      <c r="AS29" s="47">
        <f t="shared" si="81"/>
        <v>6.4536947402387884E-2</v>
      </c>
      <c r="AT29" s="47">
        <f t="shared" si="82"/>
        <v>1.4861995753715499E-2</v>
      </c>
      <c r="AU29" s="47">
        <f t="shared" si="83"/>
        <v>0</v>
      </c>
      <c r="AV29" s="47">
        <f t="shared" si="84"/>
        <v>0</v>
      </c>
      <c r="AW29" s="47">
        <f t="shared" si="85"/>
        <v>1.5456581380150054</v>
      </c>
      <c r="AX29" s="47">
        <f t="shared" si="86"/>
        <v>4.9183581870902271E-2</v>
      </c>
      <c r="AY29" s="46">
        <f t="shared" si="87"/>
        <v>1.0902276709909601E-2</v>
      </c>
      <c r="AZ29" s="26"/>
      <c r="BA29" s="23">
        <f t="shared" si="88"/>
        <v>0.69122490777050916</v>
      </c>
      <c r="BB29" s="13">
        <f t="shared" si="6"/>
        <v>5.6681040739302085E-3</v>
      </c>
      <c r="BC29" s="13">
        <f t="shared" si="7"/>
        <v>0.10660216135904836</v>
      </c>
      <c r="BD29" s="13">
        <f t="shared" si="8"/>
        <v>0</v>
      </c>
      <c r="BE29" s="13">
        <f t="shared" si="9"/>
        <v>4.5922969064237422E-2</v>
      </c>
      <c r="BF29" s="13">
        <f t="shared" si="10"/>
        <v>3.1820478708225707E-2</v>
      </c>
      <c r="BG29" s="13">
        <f t="shared" si="11"/>
        <v>7.0534851412296972E-3</v>
      </c>
      <c r="BH29" s="13">
        <f t="shared" si="12"/>
        <v>9.1123041349501759E-4</v>
      </c>
      <c r="BI29" s="13">
        <f t="shared" si="13"/>
        <v>3.3696541332367845E-2</v>
      </c>
      <c r="BJ29" s="13">
        <f t="shared" si="14"/>
        <v>6.4605066406137474E-2</v>
      </c>
      <c r="BK29" s="13">
        <f t="shared" si="15"/>
        <v>4.1753700779700711E-2</v>
      </c>
      <c r="BL29" s="13">
        <f t="shared" si="16"/>
        <v>9.6153188005737508E-3</v>
      </c>
      <c r="BM29" s="13">
        <f t="shared" si="17"/>
        <v>0</v>
      </c>
      <c r="BN29" s="13">
        <f t="shared" si="18"/>
        <v>0</v>
      </c>
      <c r="BO29" s="12">
        <f t="shared" si="89"/>
        <v>1</v>
      </c>
      <c r="BP29" s="13"/>
      <c r="BQ29" s="23">
        <f t="shared" si="90"/>
        <v>2.1367948077883181</v>
      </c>
      <c r="BR29" s="13">
        <f t="shared" si="19"/>
        <v>1.7521902377972465E-2</v>
      </c>
      <c r="BS29" s="13">
        <f t="shared" si="20"/>
        <v>0.49411764705882366</v>
      </c>
      <c r="BT29" s="13">
        <f t="shared" si="21"/>
        <v>0</v>
      </c>
      <c r="BU29" s="13">
        <f t="shared" si="22"/>
        <v>7.0981210855949911E-2</v>
      </c>
      <c r="BV29" s="13">
        <f t="shared" si="91"/>
        <v>4.9183581870902271E-2</v>
      </c>
      <c r="BW29" s="24">
        <f t="shared" si="92"/>
        <v>3.2706830129728803E-2</v>
      </c>
      <c r="BX29" s="13">
        <f t="shared" si="23"/>
        <v>1.4084507042253524E-3</v>
      </c>
      <c r="BY29" s="13">
        <f t="shared" si="24"/>
        <v>5.2109181141439226E-2</v>
      </c>
      <c r="BZ29" s="13">
        <f t="shared" si="25"/>
        <v>9.9821746880570411E-2</v>
      </c>
      <c r="CA29" s="13">
        <f t="shared" si="26"/>
        <v>6.4516129032258077E-2</v>
      </c>
      <c r="CB29" s="13">
        <f t="shared" si="27"/>
        <v>1.4861995753715499E-2</v>
      </c>
      <c r="CC29" s="13">
        <f t="shared" si="28"/>
        <v>0</v>
      </c>
      <c r="CD29" s="13">
        <f t="shared" si="93"/>
        <v>0</v>
      </c>
      <c r="CE29" s="12">
        <f t="shared" si="94"/>
        <v>2.952133071593273</v>
      </c>
      <c r="CF29" s="13"/>
      <c r="CG29" s="23">
        <f t="shared" si="127"/>
        <v>0.72381385119441277</v>
      </c>
      <c r="CH29" s="13">
        <f t="shared" si="127"/>
        <v>5.9353362308006844E-3</v>
      </c>
      <c r="CI29" s="13">
        <f t="shared" si="127"/>
        <v>0.16737648170857936</v>
      </c>
      <c r="CJ29" s="13">
        <f t="shared" si="127"/>
        <v>0</v>
      </c>
      <c r="CK29" s="13">
        <f t="shared" si="126"/>
        <v>2.404404176050275E-2</v>
      </c>
      <c r="CL29" s="13">
        <f t="shared" si="126"/>
        <v>1.6660353946835391E-2</v>
      </c>
      <c r="CM29" s="13">
        <f t="shared" si="126"/>
        <v>1.1079050075502474E-2</v>
      </c>
      <c r="CN29" s="13">
        <f t="shared" si="126"/>
        <v>4.7709594048387808E-4</v>
      </c>
      <c r="CO29" s="13">
        <f t="shared" si="126"/>
        <v>1.7651365937008993E-2</v>
      </c>
      <c r="CP29" s="13">
        <f t="shared" si="126"/>
        <v>3.3813430648197841E-2</v>
      </c>
      <c r="CQ29" s="13">
        <f t="shared" si="126"/>
        <v>2.185407211248732E-2</v>
      </c>
      <c r="CR29" s="13">
        <f t="shared" si="126"/>
        <v>5.0343244675262709E-3</v>
      </c>
      <c r="CS29" s="13">
        <f t="shared" si="126"/>
        <v>0</v>
      </c>
      <c r="CT29" s="13">
        <f t="shared" si="126"/>
        <v>0</v>
      </c>
      <c r="CU29" s="12">
        <f t="shared" si="30"/>
        <v>0.99999999999999989</v>
      </c>
      <c r="CV29" s="26"/>
      <c r="CW29" s="23">
        <f t="shared" si="31"/>
        <v>1.068397403894159</v>
      </c>
      <c r="CX29" s="13">
        <f t="shared" si="32"/>
        <v>8.7609511889862324E-3</v>
      </c>
      <c r="CY29" s="13">
        <f t="shared" si="33"/>
        <v>0.32941176470588246</v>
      </c>
      <c r="CZ29" s="13">
        <f t="shared" si="34"/>
        <v>0</v>
      </c>
      <c r="DA29" s="13">
        <f t="shared" si="35"/>
        <v>7.7994428969359333E-2</v>
      </c>
      <c r="DB29" s="13">
        <f t="shared" si="36"/>
        <v>4.9183581870902271E-2</v>
      </c>
      <c r="DC29" s="24">
        <f t="shared" si="37"/>
        <v>2.1804553419819201E-2</v>
      </c>
      <c r="DD29" s="13">
        <f t="shared" si="38"/>
        <v>1.4084507042253524E-3</v>
      </c>
      <c r="DE29" s="13">
        <f t="shared" si="39"/>
        <v>5.2109181141439226E-2</v>
      </c>
      <c r="DF29" s="13">
        <f t="shared" si="40"/>
        <v>9.9821746880570411E-2</v>
      </c>
      <c r="DG29" s="13">
        <f t="shared" si="41"/>
        <v>0.12903225806451615</v>
      </c>
      <c r="DH29" s="13">
        <f t="shared" si="42"/>
        <v>2.9723991507430998E-2</v>
      </c>
      <c r="DI29" s="13">
        <f t="shared" si="43"/>
        <v>0</v>
      </c>
      <c r="DJ29" s="13">
        <f t="shared" si="95"/>
        <v>0</v>
      </c>
      <c r="DK29" s="12">
        <f t="shared" si="96"/>
        <v>1.7966601770565693</v>
      </c>
      <c r="DL29" s="26"/>
      <c r="DM29" s="23">
        <f t="shared" si="97"/>
        <v>0.59465747476214015</v>
      </c>
      <c r="DN29" s="13">
        <f t="shared" si="97"/>
        <v>4.8762427646941641E-3</v>
      </c>
      <c r="DO29" s="13">
        <f t="shared" si="97"/>
        <v>0.18334672795250065</v>
      </c>
      <c r="DP29" s="13">
        <f t="shared" si="97"/>
        <v>0</v>
      </c>
      <c r="DQ29" s="13">
        <f t="shared" si="97"/>
        <v>4.3410785169812116E-2</v>
      </c>
      <c r="DR29" s="13">
        <f t="shared" si="97"/>
        <v>2.7375005300934927E-2</v>
      </c>
      <c r="DS29" s="13">
        <f t="shared" si="97"/>
        <v>1.213615891211055E-2</v>
      </c>
      <c r="DT29" s="13">
        <f t="shared" si="97"/>
        <v>7.83927156738559E-4</v>
      </c>
      <c r="DU29" s="13">
        <f t="shared" si="97"/>
        <v>2.9003359570649919E-2</v>
      </c>
      <c r="DV29" s="13">
        <f t="shared" si="97"/>
        <v>5.5559614531060786E-2</v>
      </c>
      <c r="DW29" s="13">
        <f t="shared" si="97"/>
        <v>7.1817842746371208E-2</v>
      </c>
      <c r="DX29" s="13">
        <f t="shared" si="97"/>
        <v>1.6544025346032432E-2</v>
      </c>
      <c r="DY29" s="13">
        <f t="shared" si="97"/>
        <v>0</v>
      </c>
      <c r="DZ29" s="13">
        <f t="shared" si="97"/>
        <v>0</v>
      </c>
      <c r="EA29" s="12">
        <f t="shared" si="45"/>
        <v>1</v>
      </c>
      <c r="EB29" s="26"/>
      <c r="EC29" s="30">
        <f t="shared" si="46"/>
        <v>1323</v>
      </c>
      <c r="ED29" s="14">
        <f t="shared" si="98"/>
        <v>100000</v>
      </c>
      <c r="EE29" s="29"/>
      <c r="EF29" s="184">
        <f t="shared" si="122"/>
        <v>-8.4342365835222957</v>
      </c>
      <c r="EG29" s="13">
        <f t="shared" si="99"/>
        <v>1.8</v>
      </c>
      <c r="EH29" s="13">
        <f t="shared" si="100"/>
        <v>1.0492660619803509</v>
      </c>
      <c r="EI29" s="12">
        <f t="shared" si="47"/>
        <v>5.6414996220710538</v>
      </c>
      <c r="EJ29" s="29"/>
      <c r="EK29" s="28">
        <f t="shared" si="101"/>
        <v>-1.506905844830206</v>
      </c>
      <c r="EL29" s="24">
        <f t="shared" si="102"/>
        <v>-0.65432298950508294</v>
      </c>
      <c r="EM29" s="24">
        <f t="shared" si="103"/>
        <v>0.22159456627480231</v>
      </c>
      <c r="EN29" s="24">
        <f t="shared" si="104"/>
        <v>3.1820478708225707E-2</v>
      </c>
      <c r="EO29" s="24">
        <f t="shared" si="105"/>
        <v>7.0512451780058568E-3</v>
      </c>
      <c r="EP29" s="24">
        <f t="shared" si="106"/>
        <v>0.30709012599522989</v>
      </c>
      <c r="EQ29" s="24">
        <f t="shared" si="107"/>
        <v>-1.5065882261034422</v>
      </c>
      <c r="ER29" s="24">
        <f t="shared" si="48"/>
        <v>-19.41852022837092</v>
      </c>
      <c r="ES29" s="25">
        <f t="shared" si="49"/>
        <v>-8.4318368338562397</v>
      </c>
      <c r="ET29" s="26"/>
      <c r="EU29" s="23">
        <f t="shared" si="123"/>
        <v>-0.90555127163660032</v>
      </c>
      <c r="EV29" s="12">
        <f t="shared" si="50"/>
        <v>0.110552608476436</v>
      </c>
      <c r="EW29" s="26"/>
      <c r="EX29" s="27">
        <f t="shared" si="108"/>
        <v>0.96934656996828439</v>
      </c>
      <c r="EY29" s="26"/>
      <c r="EZ29" s="23">
        <f t="shared" si="51"/>
        <v>-5.6825641269665619</v>
      </c>
      <c r="FA29" s="13">
        <f t="shared" si="52"/>
        <v>13.719585867156439</v>
      </c>
      <c r="FB29" s="13">
        <f t="shared" si="53"/>
        <v>-21.845149910644157</v>
      </c>
      <c r="FC29" s="13">
        <f t="shared" si="54"/>
        <v>2.4062050487602136</v>
      </c>
      <c r="FD29" s="12">
        <f t="shared" si="55"/>
        <v>0.91729924732772383</v>
      </c>
      <c r="FE29" s="13"/>
      <c r="FF29" s="23">
        <f t="shared" si="56"/>
        <v>-6.5618948278368778</v>
      </c>
      <c r="FG29" s="13">
        <f t="shared" si="57"/>
        <v>10.691372608261709</v>
      </c>
      <c r="FH29" s="13">
        <f t="shared" si="58"/>
        <v>11.208717374430421</v>
      </c>
      <c r="FI29" s="24">
        <f t="shared" si="109"/>
        <v>0.70806847789761562</v>
      </c>
      <c r="FJ29" s="25">
        <f t="shared" si="59"/>
        <v>0.88867244319702576</v>
      </c>
      <c r="FK29" s="13"/>
      <c r="FL29" s="23">
        <f t="shared" si="110"/>
        <v>9.9978507438584074</v>
      </c>
      <c r="FM29" s="13">
        <f t="shared" si="124"/>
        <v>-6.7120070140629418</v>
      </c>
      <c r="FN29" s="13">
        <f t="shared" si="111"/>
        <v>-0.15861540912324301</v>
      </c>
      <c r="FO29" s="13">
        <f t="shared" si="60"/>
        <v>0.40969521656912189</v>
      </c>
      <c r="FP29" s="23">
        <f t="shared" si="112"/>
        <v>-0.15869794880578425</v>
      </c>
      <c r="FQ29" s="13">
        <f t="shared" si="113"/>
        <v>0.4096492535843167</v>
      </c>
      <c r="FR29" s="13">
        <f t="shared" si="114"/>
        <v>-0.15866559808771896</v>
      </c>
      <c r="FS29" s="13">
        <f t="shared" si="115"/>
        <v>0.40966726819250499</v>
      </c>
      <c r="FT29" s="13">
        <f t="shared" si="116"/>
        <v>-0.15870626324266723</v>
      </c>
      <c r="FU29" s="12">
        <f t="shared" si="117"/>
        <v>0.40964462370082</v>
      </c>
      <c r="FV29" s="22"/>
      <c r="FW29" s="11">
        <f t="shared" si="61"/>
        <v>1.8</v>
      </c>
      <c r="FX29" s="10">
        <f t="shared" si="62"/>
        <v>1.0492660619803509</v>
      </c>
      <c r="FY29" s="10">
        <f t="shared" si="63"/>
        <v>5.6414996220710538</v>
      </c>
      <c r="FZ29" s="5">
        <f t="shared" si="64"/>
        <v>-8.4342365835222957</v>
      </c>
      <c r="GA29" s="10">
        <f t="shared" si="65"/>
        <v>0.30709012599522989</v>
      </c>
      <c r="GB29" s="9">
        <f t="shared" si="118"/>
        <v>9.9978507438584074</v>
      </c>
      <c r="GC29" s="8">
        <f t="shared" si="119"/>
        <v>-6.7120070140629418</v>
      </c>
      <c r="GD29" s="8">
        <f t="shared" si="120"/>
        <v>0.40969521656912189</v>
      </c>
      <c r="GE29" s="7">
        <f t="shared" si="121"/>
        <v>0.4096492535843167</v>
      </c>
      <c r="GF29" s="6">
        <f t="shared" si="66"/>
        <v>0.70806847789761562</v>
      </c>
      <c r="GG29" s="5">
        <f t="shared" si="67"/>
        <v>0.88867244319702576</v>
      </c>
      <c r="GH29" s="4">
        <f t="shared" si="68"/>
        <v>0.91729924732772383</v>
      </c>
      <c r="GI29" s="4">
        <f t="shared" si="69"/>
        <v>0.96934656996828439</v>
      </c>
      <c r="GJ29" s="4">
        <f t="shared" si="70"/>
        <v>0.110552608476436</v>
      </c>
      <c r="GK29" s="1"/>
    </row>
    <row r="30" spans="1:193" x14ac:dyDescent="0.4">
      <c r="A30" s="34"/>
      <c r="B30" s="21"/>
      <c r="C30" s="21"/>
      <c r="D30" s="34"/>
      <c r="E30" s="34"/>
      <c r="F30" s="20" t="s">
        <v>134</v>
      </c>
      <c r="G30" s="19">
        <v>1050</v>
      </c>
      <c r="H30" s="18">
        <v>1E-4</v>
      </c>
      <c r="I30" s="17">
        <v>2.2000000000000002</v>
      </c>
      <c r="J30" s="16">
        <v>64.2</v>
      </c>
      <c r="K30" s="16">
        <v>0.7</v>
      </c>
      <c r="L30" s="16">
        <v>16.8</v>
      </c>
      <c r="M30" s="16">
        <v>0</v>
      </c>
      <c r="N30" s="16">
        <v>5.0999999999999996</v>
      </c>
      <c r="O30" s="16">
        <v>0.1</v>
      </c>
      <c r="P30" s="16">
        <v>2.1</v>
      </c>
      <c r="Q30" s="16">
        <v>5.6</v>
      </c>
      <c r="R30" s="16">
        <v>4</v>
      </c>
      <c r="S30" s="16">
        <v>1.4</v>
      </c>
      <c r="T30" s="16">
        <v>0</v>
      </c>
      <c r="U30" s="15">
        <v>0</v>
      </c>
      <c r="V30" s="16"/>
      <c r="W30" s="28">
        <f t="shared" si="71"/>
        <v>64.200000000000017</v>
      </c>
      <c r="X30" s="24">
        <f t="shared" si="125"/>
        <v>0.70000000000000007</v>
      </c>
      <c r="Y30" s="24">
        <f t="shared" si="125"/>
        <v>16.800000000000004</v>
      </c>
      <c r="Z30" s="24">
        <f t="shared" si="125"/>
        <v>0</v>
      </c>
      <c r="AA30" s="24">
        <f t="shared" si="125"/>
        <v>5.1000000000000005</v>
      </c>
      <c r="AB30" s="24">
        <f t="shared" si="125"/>
        <v>0.10000000000000002</v>
      </c>
      <c r="AC30" s="24">
        <f t="shared" si="125"/>
        <v>2.1000000000000005</v>
      </c>
      <c r="AD30" s="24">
        <f t="shared" si="125"/>
        <v>5.6000000000000005</v>
      </c>
      <c r="AE30" s="24">
        <f t="shared" si="125"/>
        <v>4.0000000000000009</v>
      </c>
      <c r="AF30" s="24">
        <f t="shared" si="125"/>
        <v>1.4000000000000001</v>
      </c>
      <c r="AG30" s="24">
        <f t="shared" si="125"/>
        <v>0</v>
      </c>
      <c r="AH30" s="24">
        <f t="shared" si="125"/>
        <v>0</v>
      </c>
      <c r="AI30" s="14">
        <f t="shared" si="72"/>
        <v>100</v>
      </c>
      <c r="AJ30" s="26"/>
      <c r="AK30" s="50">
        <f t="shared" si="73"/>
        <v>1.068397403894159</v>
      </c>
      <c r="AL30" s="47">
        <f t="shared" si="74"/>
        <v>8.7609511889862324E-3</v>
      </c>
      <c r="AM30" s="47">
        <f t="shared" si="75"/>
        <v>0.16477049823460185</v>
      </c>
      <c r="AN30" s="49">
        <f t="shared" si="76"/>
        <v>0</v>
      </c>
      <c r="AO30" s="49">
        <f t="shared" si="77"/>
        <v>7.0981210855949911E-2</v>
      </c>
      <c r="AP30" s="47">
        <f t="shared" si="78"/>
        <v>1.4084507042253524E-3</v>
      </c>
      <c r="AQ30" s="47">
        <f t="shared" si="79"/>
        <v>5.208333333333335E-2</v>
      </c>
      <c r="AR30" s="47">
        <f t="shared" si="80"/>
        <v>9.9857346647646228E-2</v>
      </c>
      <c r="AS30" s="47">
        <f t="shared" si="81"/>
        <v>6.4536947402387884E-2</v>
      </c>
      <c r="AT30" s="47">
        <f t="shared" si="82"/>
        <v>1.4861995753715499E-2</v>
      </c>
      <c r="AU30" s="47">
        <f t="shared" si="83"/>
        <v>0</v>
      </c>
      <c r="AV30" s="47">
        <f t="shared" si="84"/>
        <v>0</v>
      </c>
      <c r="AW30" s="47">
        <f t="shared" si="85"/>
        <v>1.5456581380150054</v>
      </c>
      <c r="AX30" s="47">
        <f t="shared" si="86"/>
        <v>4.6366548939916805E-2</v>
      </c>
      <c r="AY30" s="46">
        <f t="shared" si="87"/>
        <v>1.2311240617662991E-2</v>
      </c>
      <c r="AZ30" s="26"/>
      <c r="BA30" s="23">
        <f t="shared" si="88"/>
        <v>0.69122490777050916</v>
      </c>
      <c r="BB30" s="13">
        <f t="shared" si="6"/>
        <v>5.6681040739302085E-3</v>
      </c>
      <c r="BC30" s="13">
        <f t="shared" si="7"/>
        <v>0.10660216135904836</v>
      </c>
      <c r="BD30" s="13">
        <f t="shared" si="8"/>
        <v>0</v>
      </c>
      <c r="BE30" s="13">
        <f t="shared" si="9"/>
        <v>4.5922969064237422E-2</v>
      </c>
      <c r="BF30" s="13">
        <f t="shared" si="10"/>
        <v>2.9997932789628722E-2</v>
      </c>
      <c r="BG30" s="13">
        <f t="shared" si="11"/>
        <v>7.9650475838554877E-3</v>
      </c>
      <c r="BH30" s="13">
        <f t="shared" si="12"/>
        <v>9.1123041349501759E-4</v>
      </c>
      <c r="BI30" s="13">
        <f t="shared" si="13"/>
        <v>3.3696541332367845E-2</v>
      </c>
      <c r="BJ30" s="13">
        <f t="shared" si="14"/>
        <v>6.4605066406137474E-2</v>
      </c>
      <c r="BK30" s="13">
        <f t="shared" si="15"/>
        <v>4.1753700779700711E-2</v>
      </c>
      <c r="BL30" s="13">
        <f t="shared" si="16"/>
        <v>9.6153188005737508E-3</v>
      </c>
      <c r="BM30" s="13">
        <f t="shared" si="17"/>
        <v>0</v>
      </c>
      <c r="BN30" s="13">
        <f t="shared" si="18"/>
        <v>0</v>
      </c>
      <c r="BO30" s="12">
        <f t="shared" si="89"/>
        <v>1</v>
      </c>
      <c r="BP30" s="13"/>
      <c r="BQ30" s="23">
        <f t="shared" si="90"/>
        <v>2.1367948077883181</v>
      </c>
      <c r="BR30" s="13">
        <f t="shared" si="19"/>
        <v>1.7521902377972465E-2</v>
      </c>
      <c r="BS30" s="13">
        <f t="shared" si="20"/>
        <v>0.49411764705882366</v>
      </c>
      <c r="BT30" s="13">
        <f t="shared" si="21"/>
        <v>0</v>
      </c>
      <c r="BU30" s="13">
        <f t="shared" si="22"/>
        <v>7.0981210855949911E-2</v>
      </c>
      <c r="BV30" s="13">
        <f t="shared" si="91"/>
        <v>4.6366548939916805E-2</v>
      </c>
      <c r="BW30" s="24">
        <f t="shared" si="92"/>
        <v>3.6933721852988974E-2</v>
      </c>
      <c r="BX30" s="13">
        <f t="shared" si="23"/>
        <v>1.4084507042253524E-3</v>
      </c>
      <c r="BY30" s="13">
        <f t="shared" si="24"/>
        <v>5.2109181141439226E-2</v>
      </c>
      <c r="BZ30" s="13">
        <f t="shared" si="25"/>
        <v>9.9821746880570411E-2</v>
      </c>
      <c r="CA30" s="13">
        <f t="shared" si="26"/>
        <v>6.4516129032258077E-2</v>
      </c>
      <c r="CB30" s="13">
        <f t="shared" si="27"/>
        <v>1.4861995753715499E-2</v>
      </c>
      <c r="CC30" s="13">
        <f t="shared" si="28"/>
        <v>0</v>
      </c>
      <c r="CD30" s="13">
        <f t="shared" si="93"/>
        <v>0</v>
      </c>
      <c r="CE30" s="12">
        <f t="shared" si="94"/>
        <v>2.952133071593273</v>
      </c>
      <c r="CF30" s="13"/>
      <c r="CG30" s="23">
        <f t="shared" si="127"/>
        <v>0.72381385119441277</v>
      </c>
      <c r="CH30" s="13">
        <f t="shared" si="127"/>
        <v>5.9353362308006844E-3</v>
      </c>
      <c r="CI30" s="13">
        <f t="shared" si="127"/>
        <v>0.16737648170857936</v>
      </c>
      <c r="CJ30" s="13">
        <f t="shared" si="127"/>
        <v>0</v>
      </c>
      <c r="CK30" s="13">
        <f t="shared" si="126"/>
        <v>2.404404176050275E-2</v>
      </c>
      <c r="CL30" s="13">
        <f t="shared" si="126"/>
        <v>1.570611751417177E-2</v>
      </c>
      <c r="CM30" s="13">
        <f t="shared" si="126"/>
        <v>1.2510859421745429E-2</v>
      </c>
      <c r="CN30" s="13">
        <f t="shared" si="126"/>
        <v>4.7709594048387808E-4</v>
      </c>
      <c r="CO30" s="13">
        <f t="shared" si="126"/>
        <v>1.7651365937008993E-2</v>
      </c>
      <c r="CP30" s="13">
        <f t="shared" si="126"/>
        <v>3.3813430648197841E-2</v>
      </c>
      <c r="CQ30" s="13">
        <f t="shared" si="126"/>
        <v>2.185407211248732E-2</v>
      </c>
      <c r="CR30" s="13">
        <f t="shared" si="126"/>
        <v>5.0343244675262709E-3</v>
      </c>
      <c r="CS30" s="13">
        <f t="shared" si="126"/>
        <v>0</v>
      </c>
      <c r="CT30" s="13">
        <f t="shared" si="126"/>
        <v>0</v>
      </c>
      <c r="CU30" s="12">
        <f t="shared" si="30"/>
        <v>0.99999999999999989</v>
      </c>
      <c r="CV30" s="26"/>
      <c r="CW30" s="23">
        <f t="shared" si="31"/>
        <v>1.068397403894159</v>
      </c>
      <c r="CX30" s="13">
        <f t="shared" si="32"/>
        <v>8.7609511889862324E-3</v>
      </c>
      <c r="CY30" s="13">
        <f t="shared" si="33"/>
        <v>0.32941176470588246</v>
      </c>
      <c r="CZ30" s="13">
        <f t="shared" si="34"/>
        <v>0</v>
      </c>
      <c r="DA30" s="13">
        <f t="shared" si="35"/>
        <v>7.7994428969359333E-2</v>
      </c>
      <c r="DB30" s="13">
        <f t="shared" si="36"/>
        <v>4.6366548939916805E-2</v>
      </c>
      <c r="DC30" s="24">
        <f t="shared" si="37"/>
        <v>2.4622481235325983E-2</v>
      </c>
      <c r="DD30" s="13">
        <f t="shared" si="38"/>
        <v>1.4084507042253524E-3</v>
      </c>
      <c r="DE30" s="13">
        <f t="shared" si="39"/>
        <v>5.2109181141439226E-2</v>
      </c>
      <c r="DF30" s="13">
        <f t="shared" si="40"/>
        <v>9.9821746880570411E-2</v>
      </c>
      <c r="DG30" s="13">
        <f t="shared" si="41"/>
        <v>0.12903225806451615</v>
      </c>
      <c r="DH30" s="13">
        <f t="shared" si="42"/>
        <v>2.9723991507430998E-2</v>
      </c>
      <c r="DI30" s="13">
        <f t="shared" si="43"/>
        <v>0</v>
      </c>
      <c r="DJ30" s="13">
        <f t="shared" si="95"/>
        <v>0</v>
      </c>
      <c r="DK30" s="12">
        <f t="shared" si="96"/>
        <v>1.7966601770565693</v>
      </c>
      <c r="DL30" s="26"/>
      <c r="DM30" s="23">
        <f t="shared" si="97"/>
        <v>0.59465747476214015</v>
      </c>
      <c r="DN30" s="13">
        <f t="shared" si="97"/>
        <v>4.8762427646941641E-3</v>
      </c>
      <c r="DO30" s="13">
        <f t="shared" si="97"/>
        <v>0.18334672795250065</v>
      </c>
      <c r="DP30" s="13">
        <f t="shared" si="97"/>
        <v>0</v>
      </c>
      <c r="DQ30" s="13">
        <f t="shared" si="97"/>
        <v>4.3410785169812116E-2</v>
      </c>
      <c r="DR30" s="13">
        <f t="shared" si="97"/>
        <v>2.5807077783556235E-2</v>
      </c>
      <c r="DS30" s="13">
        <f t="shared" si="97"/>
        <v>1.3704584511726906E-2</v>
      </c>
      <c r="DT30" s="13">
        <f t="shared" si="97"/>
        <v>7.83927156738559E-4</v>
      </c>
      <c r="DU30" s="13">
        <f t="shared" si="97"/>
        <v>2.9003359570649919E-2</v>
      </c>
      <c r="DV30" s="13">
        <f t="shared" si="97"/>
        <v>5.5559614531060786E-2</v>
      </c>
      <c r="DW30" s="13">
        <f t="shared" si="97"/>
        <v>7.1817842746371208E-2</v>
      </c>
      <c r="DX30" s="13">
        <f t="shared" si="97"/>
        <v>1.6544025346032432E-2</v>
      </c>
      <c r="DY30" s="13">
        <f t="shared" si="97"/>
        <v>0</v>
      </c>
      <c r="DZ30" s="13">
        <f t="shared" si="97"/>
        <v>0</v>
      </c>
      <c r="EA30" s="12">
        <f t="shared" si="45"/>
        <v>1</v>
      </c>
      <c r="EB30" s="26"/>
      <c r="EC30" s="30">
        <f t="shared" si="46"/>
        <v>1323</v>
      </c>
      <c r="ED30" s="14">
        <f t="shared" si="98"/>
        <v>100000</v>
      </c>
      <c r="EE30" s="29"/>
      <c r="EF30" s="184">
        <f t="shared" si="122"/>
        <v>-8.0342365835222971</v>
      </c>
      <c r="EG30" s="13">
        <f t="shared" si="99"/>
        <v>2.2000000000000002</v>
      </c>
      <c r="EH30" s="13">
        <f t="shared" si="100"/>
        <v>1.4492660619803495</v>
      </c>
      <c r="EI30" s="12">
        <f t="shared" si="47"/>
        <v>6.0414996220710524</v>
      </c>
      <c r="EJ30" s="29"/>
      <c r="EK30" s="28">
        <f t="shared" si="101"/>
        <v>-1.3263831735394738</v>
      </c>
      <c r="EL30" s="24">
        <f t="shared" si="102"/>
        <v>-0.57593711399890313</v>
      </c>
      <c r="EM30" s="24">
        <f t="shared" si="103"/>
        <v>0.26543556161500764</v>
      </c>
      <c r="EN30" s="24">
        <f t="shared" si="104"/>
        <v>2.9997932789628715E-2</v>
      </c>
      <c r="EO30" s="24">
        <f t="shared" si="105"/>
        <v>7.9625181373043502E-3</v>
      </c>
      <c r="EP30" s="24">
        <f t="shared" si="106"/>
        <v>0.34677714875823107</v>
      </c>
      <c r="EQ30" s="24">
        <f t="shared" si="107"/>
        <v>-1.32606555481271</v>
      </c>
      <c r="ER30" s="24">
        <f t="shared" si="48"/>
        <v>-18.497486191173305</v>
      </c>
      <c r="ES30" s="25">
        <f t="shared" si="49"/>
        <v>-8.0319088976002195</v>
      </c>
      <c r="ET30" s="26"/>
      <c r="EU30" s="23">
        <f t="shared" si="123"/>
        <v>-0.27835127163660545</v>
      </c>
      <c r="EV30" s="12">
        <f t="shared" si="50"/>
        <v>0.34503690941243059</v>
      </c>
      <c r="EW30" s="26"/>
      <c r="EX30" s="27">
        <f t="shared" si="108"/>
        <v>0.99501312126331209</v>
      </c>
      <c r="EY30" s="26"/>
      <c r="EZ30" s="23">
        <f t="shared" si="51"/>
        <v>-5.6825641269665619</v>
      </c>
      <c r="FA30" s="13">
        <f t="shared" si="52"/>
        <v>13.700031215579155</v>
      </c>
      <c r="FB30" s="13">
        <f t="shared" si="53"/>
        <v>-21.845149910644157</v>
      </c>
      <c r="FC30" s="13">
        <f t="shared" si="54"/>
        <v>4.2287184715781621</v>
      </c>
      <c r="FD30" s="12">
        <f t="shared" si="55"/>
        <v>0.98563821451490052</v>
      </c>
      <c r="FE30" s="13"/>
      <c r="FF30" s="23">
        <f t="shared" si="56"/>
        <v>-6.5800974467719744</v>
      </c>
      <c r="FG30" s="13">
        <f t="shared" si="57"/>
        <v>10.691372608261709</v>
      </c>
      <c r="FH30" s="13">
        <f t="shared" si="58"/>
        <v>11.208717374430421</v>
      </c>
      <c r="FI30" s="24">
        <f t="shared" si="109"/>
        <v>0.94103313642446595</v>
      </c>
      <c r="FJ30" s="25">
        <f t="shared" si="59"/>
        <v>0.98131611115284034</v>
      </c>
      <c r="FK30" s="13"/>
      <c r="FL30" s="23">
        <f t="shared" si="110"/>
        <v>9.9978507438584074</v>
      </c>
      <c r="FM30" s="13">
        <f t="shared" si="124"/>
        <v>-6.7217058396986511</v>
      </c>
      <c r="FN30" s="13">
        <f t="shared" si="111"/>
        <v>0.65108341651246349</v>
      </c>
      <c r="FO30" s="13">
        <f t="shared" si="60"/>
        <v>0.81745139352884411</v>
      </c>
      <c r="FP30" s="23">
        <f t="shared" si="112"/>
        <v>0.65100087682992225</v>
      </c>
      <c r="FQ30" s="13">
        <f t="shared" si="113"/>
        <v>0.81742303098728653</v>
      </c>
      <c r="FR30" s="13">
        <f t="shared" si="114"/>
        <v>0.65103322754798754</v>
      </c>
      <c r="FS30" s="13">
        <f t="shared" si="115"/>
        <v>0.81743414784910473</v>
      </c>
      <c r="FT30" s="13">
        <f t="shared" si="116"/>
        <v>0.65099256239303926</v>
      </c>
      <c r="FU30" s="12">
        <f t="shared" si="117"/>
        <v>0.81742017376498299</v>
      </c>
      <c r="FV30" s="22"/>
      <c r="FW30" s="11">
        <f t="shared" si="61"/>
        <v>2.2000000000000002</v>
      </c>
      <c r="FX30" s="10">
        <f t="shared" si="62"/>
        <v>1.4492660619803495</v>
      </c>
      <c r="FY30" s="10">
        <f t="shared" si="63"/>
        <v>6.0414996220710524</v>
      </c>
      <c r="FZ30" s="5">
        <f t="shared" si="64"/>
        <v>-8.0342365835222971</v>
      </c>
      <c r="GA30" s="10">
        <f t="shared" si="65"/>
        <v>0.34677714875823107</v>
      </c>
      <c r="GB30" s="9">
        <f t="shared" si="118"/>
        <v>9.9978507438584074</v>
      </c>
      <c r="GC30" s="8">
        <f t="shared" si="119"/>
        <v>-6.7217058396986511</v>
      </c>
      <c r="GD30" s="8">
        <f t="shared" si="120"/>
        <v>0.81745139352884411</v>
      </c>
      <c r="GE30" s="7">
        <f t="shared" si="121"/>
        <v>0.81742303098728653</v>
      </c>
      <c r="GF30" s="6">
        <f t="shared" si="66"/>
        <v>0.94103313642446595</v>
      </c>
      <c r="GG30" s="5">
        <f t="shared" si="67"/>
        <v>0.98131611115284034</v>
      </c>
      <c r="GH30" s="4">
        <f t="shared" si="68"/>
        <v>0.98563821451490052</v>
      </c>
      <c r="GI30" s="4">
        <f t="shared" si="69"/>
        <v>0.99501312126331209</v>
      </c>
      <c r="GJ30" s="4">
        <f t="shared" si="70"/>
        <v>0.34503690941243059</v>
      </c>
      <c r="GK30" s="1"/>
    </row>
    <row r="31" spans="1:193" x14ac:dyDescent="0.4">
      <c r="A31" s="34"/>
      <c r="B31" s="21"/>
      <c r="C31" s="21"/>
      <c r="D31" s="34"/>
      <c r="E31" s="34"/>
      <c r="F31" s="20" t="s">
        <v>134</v>
      </c>
      <c r="G31" s="19">
        <v>1050</v>
      </c>
      <c r="H31" s="18">
        <v>1E-4</v>
      </c>
      <c r="I31" s="17">
        <v>2.6</v>
      </c>
      <c r="J31" s="16">
        <v>64.2</v>
      </c>
      <c r="K31" s="16">
        <v>0.7</v>
      </c>
      <c r="L31" s="16">
        <v>16.8</v>
      </c>
      <c r="M31" s="16">
        <v>0</v>
      </c>
      <c r="N31" s="16">
        <v>5.0999999999999996</v>
      </c>
      <c r="O31" s="16">
        <v>0.1</v>
      </c>
      <c r="P31" s="16">
        <v>2.1</v>
      </c>
      <c r="Q31" s="16">
        <v>5.6</v>
      </c>
      <c r="R31" s="16">
        <v>4</v>
      </c>
      <c r="S31" s="16">
        <v>1.4</v>
      </c>
      <c r="T31" s="16">
        <v>0</v>
      </c>
      <c r="U31" s="15">
        <v>0</v>
      </c>
      <c r="V31" s="16"/>
      <c r="W31" s="28">
        <f t="shared" si="71"/>
        <v>64.200000000000017</v>
      </c>
      <c r="X31" s="24">
        <f t="shared" si="125"/>
        <v>0.70000000000000007</v>
      </c>
      <c r="Y31" s="24">
        <f t="shared" si="125"/>
        <v>16.800000000000004</v>
      </c>
      <c r="Z31" s="24">
        <f t="shared" si="125"/>
        <v>0</v>
      </c>
      <c r="AA31" s="24">
        <f t="shared" si="125"/>
        <v>5.1000000000000005</v>
      </c>
      <c r="AB31" s="24">
        <f t="shared" si="125"/>
        <v>0.10000000000000002</v>
      </c>
      <c r="AC31" s="24">
        <f t="shared" si="125"/>
        <v>2.1000000000000005</v>
      </c>
      <c r="AD31" s="24">
        <f t="shared" si="125"/>
        <v>5.6000000000000005</v>
      </c>
      <c r="AE31" s="24">
        <f t="shared" si="125"/>
        <v>4.0000000000000009</v>
      </c>
      <c r="AF31" s="24">
        <f t="shared" si="125"/>
        <v>1.4000000000000001</v>
      </c>
      <c r="AG31" s="24">
        <f t="shared" si="125"/>
        <v>0</v>
      </c>
      <c r="AH31" s="24">
        <f t="shared" si="125"/>
        <v>0</v>
      </c>
      <c r="AI31" s="14">
        <f t="shared" si="72"/>
        <v>100</v>
      </c>
      <c r="AJ31" s="26"/>
      <c r="AK31" s="50">
        <f t="shared" si="73"/>
        <v>1.068397403894159</v>
      </c>
      <c r="AL31" s="47">
        <f t="shared" si="74"/>
        <v>8.7609511889862324E-3</v>
      </c>
      <c r="AM31" s="47">
        <f t="shared" si="75"/>
        <v>0.16477049823460185</v>
      </c>
      <c r="AN31" s="49">
        <f t="shared" si="76"/>
        <v>0</v>
      </c>
      <c r="AO31" s="49">
        <f t="shared" si="77"/>
        <v>7.0981210855949911E-2</v>
      </c>
      <c r="AP31" s="47">
        <f t="shared" si="78"/>
        <v>1.4084507042253524E-3</v>
      </c>
      <c r="AQ31" s="47">
        <f t="shared" si="79"/>
        <v>5.208333333333335E-2</v>
      </c>
      <c r="AR31" s="47">
        <f t="shared" si="80"/>
        <v>9.9857346647646228E-2</v>
      </c>
      <c r="AS31" s="47">
        <f t="shared" si="81"/>
        <v>6.4536947402387884E-2</v>
      </c>
      <c r="AT31" s="47">
        <f t="shared" si="82"/>
        <v>1.4861995753715499E-2</v>
      </c>
      <c r="AU31" s="47">
        <f t="shared" si="83"/>
        <v>0</v>
      </c>
      <c r="AV31" s="47">
        <f t="shared" si="84"/>
        <v>0</v>
      </c>
      <c r="AW31" s="47">
        <f t="shared" si="85"/>
        <v>1.5456581380150054</v>
      </c>
      <c r="AX31" s="47">
        <f t="shared" si="86"/>
        <v>4.3389689604757115E-2</v>
      </c>
      <c r="AY31" s="46">
        <f t="shared" si="87"/>
        <v>1.3800143113464301E-2</v>
      </c>
      <c r="AZ31" s="26"/>
      <c r="BA31" s="23">
        <f t="shared" si="88"/>
        <v>0.69122490777050916</v>
      </c>
      <c r="BB31" s="13">
        <f t="shared" si="6"/>
        <v>5.6681040739302085E-3</v>
      </c>
      <c r="BC31" s="13">
        <f t="shared" si="7"/>
        <v>0.10660216135904836</v>
      </c>
      <c r="BD31" s="13">
        <f t="shared" si="8"/>
        <v>0</v>
      </c>
      <c r="BE31" s="13">
        <f t="shared" si="9"/>
        <v>4.5922969064237422E-2</v>
      </c>
      <c r="BF31" s="13">
        <f t="shared" si="10"/>
        <v>2.8071983407973934E-2</v>
      </c>
      <c r="BG31" s="13">
        <f t="shared" si="11"/>
        <v>8.9283281820564699E-3</v>
      </c>
      <c r="BH31" s="13">
        <f t="shared" si="12"/>
        <v>9.1123041349501759E-4</v>
      </c>
      <c r="BI31" s="13">
        <f t="shared" si="13"/>
        <v>3.3696541332367845E-2</v>
      </c>
      <c r="BJ31" s="13">
        <f t="shared" si="14"/>
        <v>6.4605066406137474E-2</v>
      </c>
      <c r="BK31" s="13">
        <f t="shared" si="15"/>
        <v>4.1753700779700711E-2</v>
      </c>
      <c r="BL31" s="13">
        <f t="shared" si="16"/>
        <v>9.6153188005737508E-3</v>
      </c>
      <c r="BM31" s="13">
        <f t="shared" si="17"/>
        <v>0</v>
      </c>
      <c r="BN31" s="13">
        <f t="shared" si="18"/>
        <v>0</v>
      </c>
      <c r="BO31" s="12">
        <f t="shared" si="89"/>
        <v>1</v>
      </c>
      <c r="BP31" s="13"/>
      <c r="BQ31" s="23">
        <f t="shared" si="90"/>
        <v>2.1367948077883181</v>
      </c>
      <c r="BR31" s="13">
        <f t="shared" si="19"/>
        <v>1.7521902377972465E-2</v>
      </c>
      <c r="BS31" s="13">
        <f t="shared" si="20"/>
        <v>0.49411764705882366</v>
      </c>
      <c r="BT31" s="13">
        <f t="shared" si="21"/>
        <v>0</v>
      </c>
      <c r="BU31" s="13">
        <f t="shared" si="22"/>
        <v>7.0981210855949911E-2</v>
      </c>
      <c r="BV31" s="13">
        <f t="shared" si="91"/>
        <v>4.3389689604757115E-2</v>
      </c>
      <c r="BW31" s="24">
        <f t="shared" si="92"/>
        <v>4.1400429340392904E-2</v>
      </c>
      <c r="BX31" s="13">
        <f t="shared" si="23"/>
        <v>1.4084507042253524E-3</v>
      </c>
      <c r="BY31" s="13">
        <f t="shared" si="24"/>
        <v>5.2109181141439226E-2</v>
      </c>
      <c r="BZ31" s="13">
        <f t="shared" si="25"/>
        <v>9.9821746880570411E-2</v>
      </c>
      <c r="CA31" s="13">
        <f t="shared" si="26"/>
        <v>6.4516129032258077E-2</v>
      </c>
      <c r="CB31" s="13">
        <f t="shared" si="27"/>
        <v>1.4861995753715499E-2</v>
      </c>
      <c r="CC31" s="13">
        <f t="shared" si="28"/>
        <v>0</v>
      </c>
      <c r="CD31" s="13">
        <f t="shared" si="93"/>
        <v>0</v>
      </c>
      <c r="CE31" s="12">
        <f t="shared" si="94"/>
        <v>2.952133071593273</v>
      </c>
      <c r="CF31" s="13"/>
      <c r="CG31" s="23">
        <f t="shared" si="127"/>
        <v>0.72381385119441277</v>
      </c>
      <c r="CH31" s="13">
        <f t="shared" si="127"/>
        <v>5.9353362308006844E-3</v>
      </c>
      <c r="CI31" s="13">
        <f t="shared" si="127"/>
        <v>0.16737648170857936</v>
      </c>
      <c r="CJ31" s="13">
        <f t="shared" si="127"/>
        <v>0</v>
      </c>
      <c r="CK31" s="13">
        <f t="shared" si="126"/>
        <v>2.404404176050275E-2</v>
      </c>
      <c r="CL31" s="13">
        <f t="shared" si="126"/>
        <v>1.469774178619245E-2</v>
      </c>
      <c r="CM31" s="13">
        <f t="shared" si="126"/>
        <v>1.4023903508539673E-2</v>
      </c>
      <c r="CN31" s="13">
        <f t="shared" si="126"/>
        <v>4.7709594048387808E-4</v>
      </c>
      <c r="CO31" s="13">
        <f t="shared" si="126"/>
        <v>1.7651365937008993E-2</v>
      </c>
      <c r="CP31" s="13">
        <f t="shared" si="126"/>
        <v>3.3813430648197841E-2</v>
      </c>
      <c r="CQ31" s="13">
        <f t="shared" si="126"/>
        <v>2.185407211248732E-2</v>
      </c>
      <c r="CR31" s="13">
        <f t="shared" si="126"/>
        <v>5.0343244675262709E-3</v>
      </c>
      <c r="CS31" s="13">
        <f t="shared" si="126"/>
        <v>0</v>
      </c>
      <c r="CT31" s="13">
        <f t="shared" si="126"/>
        <v>0</v>
      </c>
      <c r="CU31" s="12">
        <f t="shared" si="30"/>
        <v>0.99999999999999989</v>
      </c>
      <c r="CV31" s="26"/>
      <c r="CW31" s="23">
        <f t="shared" si="31"/>
        <v>1.068397403894159</v>
      </c>
      <c r="CX31" s="13">
        <f t="shared" si="32"/>
        <v>8.7609511889862324E-3</v>
      </c>
      <c r="CY31" s="13">
        <f t="shared" si="33"/>
        <v>0.32941176470588246</v>
      </c>
      <c r="CZ31" s="13">
        <f t="shared" si="34"/>
        <v>0</v>
      </c>
      <c r="DA31" s="13">
        <f t="shared" si="35"/>
        <v>7.7994428969359333E-2</v>
      </c>
      <c r="DB31" s="13">
        <f t="shared" si="36"/>
        <v>4.3389689604757115E-2</v>
      </c>
      <c r="DC31" s="24">
        <f t="shared" si="37"/>
        <v>2.7600286226928603E-2</v>
      </c>
      <c r="DD31" s="13">
        <f t="shared" si="38"/>
        <v>1.4084507042253524E-3</v>
      </c>
      <c r="DE31" s="13">
        <f t="shared" si="39"/>
        <v>5.2109181141439226E-2</v>
      </c>
      <c r="DF31" s="13">
        <f t="shared" si="40"/>
        <v>9.9821746880570411E-2</v>
      </c>
      <c r="DG31" s="13">
        <f t="shared" si="41"/>
        <v>0.12903225806451615</v>
      </c>
      <c r="DH31" s="13">
        <f t="shared" si="42"/>
        <v>2.9723991507430998E-2</v>
      </c>
      <c r="DI31" s="13">
        <f t="shared" si="43"/>
        <v>0</v>
      </c>
      <c r="DJ31" s="13">
        <f t="shared" si="95"/>
        <v>0</v>
      </c>
      <c r="DK31" s="12">
        <f t="shared" si="96"/>
        <v>1.7966601770565693</v>
      </c>
      <c r="DL31" s="26"/>
      <c r="DM31" s="23">
        <f t="shared" si="97"/>
        <v>0.59465747476214015</v>
      </c>
      <c r="DN31" s="13">
        <f t="shared" si="97"/>
        <v>4.8762427646941641E-3</v>
      </c>
      <c r="DO31" s="13">
        <f t="shared" si="97"/>
        <v>0.18334672795250065</v>
      </c>
      <c r="DP31" s="13">
        <f t="shared" si="97"/>
        <v>0</v>
      </c>
      <c r="DQ31" s="13">
        <f t="shared" si="97"/>
        <v>4.3410785169812116E-2</v>
      </c>
      <c r="DR31" s="13">
        <f t="shared" si="97"/>
        <v>2.4150192762574352E-2</v>
      </c>
      <c r="DS31" s="13">
        <f t="shared" si="97"/>
        <v>1.5361995874003047E-2</v>
      </c>
      <c r="DT31" s="13">
        <f t="shared" si="97"/>
        <v>7.83927156738559E-4</v>
      </c>
      <c r="DU31" s="13">
        <f t="shared" si="97"/>
        <v>2.9003359570649919E-2</v>
      </c>
      <c r="DV31" s="13">
        <f t="shared" si="97"/>
        <v>5.5559614531060786E-2</v>
      </c>
      <c r="DW31" s="13">
        <f t="shared" si="97"/>
        <v>7.1817842746371208E-2</v>
      </c>
      <c r="DX31" s="13">
        <f t="shared" si="97"/>
        <v>1.6544025346032432E-2</v>
      </c>
      <c r="DY31" s="13">
        <f t="shared" si="97"/>
        <v>0</v>
      </c>
      <c r="DZ31" s="13">
        <f t="shared" si="97"/>
        <v>0</v>
      </c>
      <c r="EA31" s="12">
        <f t="shared" si="45"/>
        <v>1</v>
      </c>
      <c r="EB31" s="26"/>
      <c r="EC31" s="30">
        <f t="shared" si="46"/>
        <v>1323</v>
      </c>
      <c r="ED31" s="14">
        <f t="shared" si="98"/>
        <v>100000</v>
      </c>
      <c r="EE31" s="29"/>
      <c r="EF31" s="184">
        <f t="shared" si="122"/>
        <v>-7.6342365835222967</v>
      </c>
      <c r="EG31" s="13">
        <f t="shared" si="99"/>
        <v>2.6</v>
      </c>
      <c r="EH31" s="13">
        <f t="shared" si="100"/>
        <v>1.8492660619803498</v>
      </c>
      <c r="EI31" s="12">
        <f t="shared" si="47"/>
        <v>6.4414996220710528</v>
      </c>
      <c r="EJ31" s="29"/>
      <c r="EK31" s="28">
        <f t="shared" si="101"/>
        <v>-1.1458605022487398</v>
      </c>
      <c r="EL31" s="24">
        <f t="shared" si="102"/>
        <v>-0.49755123849272248</v>
      </c>
      <c r="EM31" s="24">
        <f t="shared" si="103"/>
        <v>0.31795020317646772</v>
      </c>
      <c r="EN31" s="24">
        <f t="shared" si="104"/>
        <v>2.8071983407973934E-2</v>
      </c>
      <c r="EO31" s="24">
        <f t="shared" si="105"/>
        <v>8.9254928281317421E-3</v>
      </c>
      <c r="EP31" s="24">
        <f t="shared" si="106"/>
        <v>0.38871584350945132</v>
      </c>
      <c r="EQ31" s="24">
        <f t="shared" si="107"/>
        <v>-1.1455428835219759</v>
      </c>
      <c r="ER31" s="24">
        <f t="shared" si="48"/>
        <v>-17.57645215397568</v>
      </c>
      <c r="ES31" s="25">
        <f t="shared" si="49"/>
        <v>-7.6319809613441949</v>
      </c>
      <c r="ET31" s="26"/>
      <c r="EU31" s="23">
        <f t="shared" si="123"/>
        <v>0.34884872836340008</v>
      </c>
      <c r="EV31" s="12">
        <f t="shared" si="50"/>
        <v>0.69067008735578428</v>
      </c>
      <c r="EW31" s="26"/>
      <c r="EX31" s="27">
        <f t="shared" si="108"/>
        <v>0.99920630222183082</v>
      </c>
      <c r="EY31" s="26"/>
      <c r="EZ31" s="23">
        <f t="shared" si="51"/>
        <v>-5.6825641269665619</v>
      </c>
      <c r="FA31" s="13">
        <f t="shared" si="52"/>
        <v>13.679367116678019</v>
      </c>
      <c r="FB31" s="13">
        <f t="shared" si="53"/>
        <v>-21.845149910644157</v>
      </c>
      <c r="FC31" s="13">
        <f t="shared" si="54"/>
        <v>6.050122447072269</v>
      </c>
      <c r="FD31" s="12">
        <f t="shared" si="55"/>
        <v>0.99764797176811981</v>
      </c>
      <c r="FE31" s="13"/>
      <c r="FF31" s="23">
        <f t="shared" si="56"/>
        <v>-6.5993328044794684</v>
      </c>
      <c r="FG31" s="13">
        <f t="shared" si="57"/>
        <v>10.691372608261709</v>
      </c>
      <c r="FH31" s="13">
        <f t="shared" si="58"/>
        <v>11.208717374430421</v>
      </c>
      <c r="FI31" s="24">
        <f t="shared" si="109"/>
        <v>0.99058845299681597</v>
      </c>
      <c r="FJ31" s="25">
        <f t="shared" si="59"/>
        <v>0.99712146804581847</v>
      </c>
      <c r="FK31" s="13"/>
      <c r="FL31" s="23">
        <f t="shared" si="110"/>
        <v>9.9978507438584074</v>
      </c>
      <c r="FM31" s="13">
        <f t="shared" si="124"/>
        <v>-6.7319550704485307</v>
      </c>
      <c r="FN31" s="13">
        <f t="shared" si="111"/>
        <v>1.4613326472623456</v>
      </c>
      <c r="FO31" s="13">
        <f t="shared" si="60"/>
        <v>0.96658753305685008</v>
      </c>
      <c r="FP31" s="23">
        <f t="shared" si="112"/>
        <v>1.4612501075798061</v>
      </c>
      <c r="FQ31" s="13">
        <f t="shared" si="113"/>
        <v>0.96658139449371794</v>
      </c>
      <c r="FR31" s="13">
        <f t="shared" si="114"/>
        <v>1.4612824582978714</v>
      </c>
      <c r="FS31" s="13">
        <f t="shared" si="115"/>
        <v>0.9665838005804277</v>
      </c>
      <c r="FT31" s="13">
        <f t="shared" si="116"/>
        <v>1.4612417931429196</v>
      </c>
      <c r="FU31" s="12">
        <f t="shared" si="117"/>
        <v>0.96658077607992987</v>
      </c>
      <c r="FV31" s="22"/>
      <c r="FW31" s="11">
        <f t="shared" si="61"/>
        <v>2.6</v>
      </c>
      <c r="FX31" s="10">
        <f t="shared" si="62"/>
        <v>1.8492660619803498</v>
      </c>
      <c r="FY31" s="10">
        <f t="shared" si="63"/>
        <v>6.4414996220710528</v>
      </c>
      <c r="FZ31" s="5">
        <f t="shared" si="64"/>
        <v>-7.6342365835222967</v>
      </c>
      <c r="GA31" s="10">
        <f t="shared" si="65"/>
        <v>0.38871584350945132</v>
      </c>
      <c r="GB31" s="9">
        <f t="shared" si="118"/>
        <v>9.9978507438584074</v>
      </c>
      <c r="GC31" s="8">
        <f t="shared" si="119"/>
        <v>-6.7319550704485307</v>
      </c>
      <c r="GD31" s="8">
        <f t="shared" si="120"/>
        <v>0.96658753305685008</v>
      </c>
      <c r="GE31" s="7">
        <f t="shared" si="121"/>
        <v>0.96658139449371794</v>
      </c>
      <c r="GF31" s="6">
        <f t="shared" si="66"/>
        <v>0.99058845299681597</v>
      </c>
      <c r="GG31" s="5">
        <f t="shared" si="67"/>
        <v>0.99712146804581847</v>
      </c>
      <c r="GH31" s="4">
        <f t="shared" si="68"/>
        <v>0.99764797176811981</v>
      </c>
      <c r="GI31" s="4">
        <f t="shared" si="69"/>
        <v>0.99920630222183082</v>
      </c>
      <c r="GJ31" s="4">
        <f t="shared" si="70"/>
        <v>0.69067008735578428</v>
      </c>
      <c r="GK31" s="1"/>
    </row>
    <row r="32" spans="1:193" x14ac:dyDescent="0.4">
      <c r="A32" s="34"/>
      <c r="B32" s="21"/>
      <c r="C32" s="21"/>
      <c r="D32" s="34"/>
      <c r="E32" s="34"/>
      <c r="F32" s="20" t="s">
        <v>134</v>
      </c>
      <c r="G32" s="19">
        <v>1050</v>
      </c>
      <c r="H32" s="18">
        <v>1E-4</v>
      </c>
      <c r="I32" s="17">
        <v>3</v>
      </c>
      <c r="J32" s="16">
        <v>64.2</v>
      </c>
      <c r="K32" s="16">
        <v>0.7</v>
      </c>
      <c r="L32" s="16">
        <v>16.8</v>
      </c>
      <c r="M32" s="16">
        <v>0</v>
      </c>
      <c r="N32" s="16">
        <v>5.0999999999999996</v>
      </c>
      <c r="O32" s="16">
        <v>0.1</v>
      </c>
      <c r="P32" s="16">
        <v>2.1</v>
      </c>
      <c r="Q32" s="16">
        <v>5.6</v>
      </c>
      <c r="R32" s="16">
        <v>4</v>
      </c>
      <c r="S32" s="16">
        <v>1.4</v>
      </c>
      <c r="T32" s="16">
        <v>0</v>
      </c>
      <c r="U32" s="15">
        <v>0</v>
      </c>
      <c r="V32" s="16"/>
      <c r="W32" s="28">
        <f t="shared" si="71"/>
        <v>64.200000000000017</v>
      </c>
      <c r="X32" s="24">
        <f t="shared" si="125"/>
        <v>0.70000000000000007</v>
      </c>
      <c r="Y32" s="24">
        <f t="shared" si="125"/>
        <v>16.800000000000004</v>
      </c>
      <c r="Z32" s="24">
        <f t="shared" si="125"/>
        <v>0</v>
      </c>
      <c r="AA32" s="24">
        <f t="shared" si="125"/>
        <v>5.1000000000000005</v>
      </c>
      <c r="AB32" s="24">
        <f t="shared" si="125"/>
        <v>0.10000000000000002</v>
      </c>
      <c r="AC32" s="24">
        <f t="shared" si="125"/>
        <v>2.1000000000000005</v>
      </c>
      <c r="AD32" s="24">
        <f t="shared" si="125"/>
        <v>5.6000000000000005</v>
      </c>
      <c r="AE32" s="24">
        <f t="shared" si="125"/>
        <v>4.0000000000000009</v>
      </c>
      <c r="AF32" s="24">
        <f t="shared" si="125"/>
        <v>1.4000000000000001</v>
      </c>
      <c r="AG32" s="24">
        <f t="shared" si="125"/>
        <v>0</v>
      </c>
      <c r="AH32" s="24">
        <f t="shared" si="125"/>
        <v>0</v>
      </c>
      <c r="AI32" s="14">
        <f t="shared" si="72"/>
        <v>100</v>
      </c>
      <c r="AJ32" s="26"/>
      <c r="AK32" s="50">
        <f t="shared" si="73"/>
        <v>1.068397403894159</v>
      </c>
      <c r="AL32" s="47">
        <f t="shared" si="74"/>
        <v>8.7609511889862324E-3</v>
      </c>
      <c r="AM32" s="47">
        <f t="shared" si="75"/>
        <v>0.16477049823460185</v>
      </c>
      <c r="AN32" s="49">
        <f t="shared" si="76"/>
        <v>0</v>
      </c>
      <c r="AO32" s="49">
        <f t="shared" si="77"/>
        <v>7.0981210855949911E-2</v>
      </c>
      <c r="AP32" s="47">
        <f t="shared" si="78"/>
        <v>1.4084507042253524E-3</v>
      </c>
      <c r="AQ32" s="47">
        <f t="shared" si="79"/>
        <v>5.208333333333335E-2</v>
      </c>
      <c r="AR32" s="47">
        <f t="shared" si="80"/>
        <v>9.9857346647646228E-2</v>
      </c>
      <c r="AS32" s="47">
        <f t="shared" si="81"/>
        <v>6.4536947402387884E-2</v>
      </c>
      <c r="AT32" s="47">
        <f t="shared" si="82"/>
        <v>1.4861995753715499E-2</v>
      </c>
      <c r="AU32" s="47">
        <f t="shared" si="83"/>
        <v>0</v>
      </c>
      <c r="AV32" s="47">
        <f t="shared" si="84"/>
        <v>0</v>
      </c>
      <c r="AW32" s="47">
        <f t="shared" si="85"/>
        <v>1.5456581380150054</v>
      </c>
      <c r="AX32" s="47">
        <f t="shared" si="86"/>
        <v>4.029110923733277E-2</v>
      </c>
      <c r="AY32" s="46">
        <f t="shared" si="87"/>
        <v>1.5349925458907765E-2</v>
      </c>
      <c r="AZ32" s="26"/>
      <c r="BA32" s="23">
        <f t="shared" si="88"/>
        <v>0.69122490777050916</v>
      </c>
      <c r="BB32" s="13">
        <f t="shared" si="6"/>
        <v>5.6681040739302085E-3</v>
      </c>
      <c r="BC32" s="13">
        <f t="shared" si="7"/>
        <v>0.10660216135904836</v>
      </c>
      <c r="BD32" s="13">
        <f t="shared" si="8"/>
        <v>0</v>
      </c>
      <c r="BE32" s="13">
        <f t="shared" si="9"/>
        <v>4.5922969064237422E-2</v>
      </c>
      <c r="BF32" s="13">
        <f t="shared" si="10"/>
        <v>2.6067283732660436E-2</v>
      </c>
      <c r="BG32" s="13">
        <f t="shared" si="11"/>
        <v>9.930996435357135E-3</v>
      </c>
      <c r="BH32" s="13">
        <f t="shared" si="12"/>
        <v>9.1123041349501759E-4</v>
      </c>
      <c r="BI32" s="13">
        <f t="shared" si="13"/>
        <v>3.3696541332367845E-2</v>
      </c>
      <c r="BJ32" s="13">
        <f t="shared" si="14"/>
        <v>6.4605066406137474E-2</v>
      </c>
      <c r="BK32" s="13">
        <f t="shared" si="15"/>
        <v>4.1753700779700711E-2</v>
      </c>
      <c r="BL32" s="13">
        <f t="shared" si="16"/>
        <v>9.6153188005737508E-3</v>
      </c>
      <c r="BM32" s="13">
        <f t="shared" si="17"/>
        <v>0</v>
      </c>
      <c r="BN32" s="13">
        <f t="shared" si="18"/>
        <v>0</v>
      </c>
      <c r="BO32" s="12">
        <f t="shared" si="89"/>
        <v>1</v>
      </c>
      <c r="BP32" s="13"/>
      <c r="BQ32" s="23">
        <f t="shared" si="90"/>
        <v>2.1367948077883181</v>
      </c>
      <c r="BR32" s="13">
        <f t="shared" si="19"/>
        <v>1.7521902377972465E-2</v>
      </c>
      <c r="BS32" s="13">
        <f t="shared" si="20"/>
        <v>0.49411764705882366</v>
      </c>
      <c r="BT32" s="13">
        <f t="shared" si="21"/>
        <v>0</v>
      </c>
      <c r="BU32" s="13">
        <f t="shared" si="22"/>
        <v>7.0981210855949911E-2</v>
      </c>
      <c r="BV32" s="13">
        <f t="shared" si="91"/>
        <v>4.029110923733277E-2</v>
      </c>
      <c r="BW32" s="24">
        <f t="shared" si="92"/>
        <v>4.6049776376723292E-2</v>
      </c>
      <c r="BX32" s="13">
        <f t="shared" si="23"/>
        <v>1.4084507042253524E-3</v>
      </c>
      <c r="BY32" s="13">
        <f t="shared" si="24"/>
        <v>5.2109181141439226E-2</v>
      </c>
      <c r="BZ32" s="13">
        <f t="shared" si="25"/>
        <v>9.9821746880570411E-2</v>
      </c>
      <c r="CA32" s="13">
        <f t="shared" si="26"/>
        <v>6.4516129032258077E-2</v>
      </c>
      <c r="CB32" s="13">
        <f t="shared" si="27"/>
        <v>1.4861995753715499E-2</v>
      </c>
      <c r="CC32" s="13">
        <f t="shared" si="28"/>
        <v>0</v>
      </c>
      <c r="CD32" s="13">
        <f t="shared" si="93"/>
        <v>0</v>
      </c>
      <c r="CE32" s="12">
        <f t="shared" si="94"/>
        <v>2.952133071593273</v>
      </c>
      <c r="CF32" s="13"/>
      <c r="CG32" s="23">
        <f t="shared" si="127"/>
        <v>0.72381385119441277</v>
      </c>
      <c r="CH32" s="13">
        <f t="shared" si="127"/>
        <v>5.9353362308006844E-3</v>
      </c>
      <c r="CI32" s="13">
        <f t="shared" si="127"/>
        <v>0.16737648170857936</v>
      </c>
      <c r="CJ32" s="13">
        <f t="shared" si="127"/>
        <v>0</v>
      </c>
      <c r="CK32" s="13">
        <f t="shared" si="126"/>
        <v>2.404404176050275E-2</v>
      </c>
      <c r="CL32" s="13">
        <f t="shared" si="126"/>
        <v>1.3648134504854E-2</v>
      </c>
      <c r="CM32" s="13">
        <f t="shared" si="126"/>
        <v>1.5598814572362797E-2</v>
      </c>
      <c r="CN32" s="13">
        <f t="shared" si="126"/>
        <v>4.7709594048387808E-4</v>
      </c>
      <c r="CO32" s="13">
        <f t="shared" si="126"/>
        <v>1.7651365937008993E-2</v>
      </c>
      <c r="CP32" s="13">
        <f t="shared" si="126"/>
        <v>3.3813430648197841E-2</v>
      </c>
      <c r="CQ32" s="13">
        <f t="shared" si="126"/>
        <v>2.185407211248732E-2</v>
      </c>
      <c r="CR32" s="13">
        <f t="shared" si="126"/>
        <v>5.0343244675262709E-3</v>
      </c>
      <c r="CS32" s="13">
        <f t="shared" si="126"/>
        <v>0</v>
      </c>
      <c r="CT32" s="13">
        <f t="shared" si="126"/>
        <v>0</v>
      </c>
      <c r="CU32" s="12">
        <f t="shared" si="30"/>
        <v>0.99999999999999989</v>
      </c>
      <c r="CV32" s="26"/>
      <c r="CW32" s="23">
        <f t="shared" si="31"/>
        <v>1.068397403894159</v>
      </c>
      <c r="CX32" s="13">
        <f t="shared" si="32"/>
        <v>8.7609511889862324E-3</v>
      </c>
      <c r="CY32" s="13">
        <f t="shared" si="33"/>
        <v>0.32941176470588246</v>
      </c>
      <c r="CZ32" s="13">
        <f t="shared" si="34"/>
        <v>0</v>
      </c>
      <c r="DA32" s="13">
        <f t="shared" si="35"/>
        <v>7.7994428969359333E-2</v>
      </c>
      <c r="DB32" s="13">
        <f t="shared" si="36"/>
        <v>4.029110923733277E-2</v>
      </c>
      <c r="DC32" s="24">
        <f t="shared" si="37"/>
        <v>3.0699850917815529E-2</v>
      </c>
      <c r="DD32" s="13">
        <f t="shared" si="38"/>
        <v>1.4084507042253524E-3</v>
      </c>
      <c r="DE32" s="13">
        <f t="shared" si="39"/>
        <v>5.2109181141439226E-2</v>
      </c>
      <c r="DF32" s="13">
        <f t="shared" si="40"/>
        <v>9.9821746880570411E-2</v>
      </c>
      <c r="DG32" s="13">
        <f t="shared" si="41"/>
        <v>0.12903225806451615</v>
      </c>
      <c r="DH32" s="13">
        <f t="shared" si="42"/>
        <v>2.9723991507430998E-2</v>
      </c>
      <c r="DI32" s="13">
        <f t="shared" si="43"/>
        <v>0</v>
      </c>
      <c r="DJ32" s="13">
        <f t="shared" si="95"/>
        <v>0</v>
      </c>
      <c r="DK32" s="12">
        <f t="shared" si="96"/>
        <v>1.7966601770565693</v>
      </c>
      <c r="DL32" s="26"/>
      <c r="DM32" s="23">
        <f t="shared" si="97"/>
        <v>0.59465747476214015</v>
      </c>
      <c r="DN32" s="13">
        <f t="shared" si="97"/>
        <v>4.8762427646941641E-3</v>
      </c>
      <c r="DO32" s="13">
        <f t="shared" si="97"/>
        <v>0.18334672795250065</v>
      </c>
      <c r="DP32" s="13">
        <f t="shared" si="97"/>
        <v>0</v>
      </c>
      <c r="DQ32" s="13">
        <f t="shared" si="97"/>
        <v>4.3410785169812116E-2</v>
      </c>
      <c r="DR32" s="13">
        <f t="shared" si="97"/>
        <v>2.2425559241448123E-2</v>
      </c>
      <c r="DS32" s="13">
        <f t="shared" si="97"/>
        <v>1.7087177258033541E-2</v>
      </c>
      <c r="DT32" s="13">
        <f t="shared" si="97"/>
        <v>7.83927156738559E-4</v>
      </c>
      <c r="DU32" s="13">
        <f t="shared" si="97"/>
        <v>2.9003359570649919E-2</v>
      </c>
      <c r="DV32" s="13">
        <f t="shared" si="97"/>
        <v>5.5559614531060786E-2</v>
      </c>
      <c r="DW32" s="13">
        <f t="shared" si="97"/>
        <v>7.1817842746371208E-2</v>
      </c>
      <c r="DX32" s="13">
        <f t="shared" si="97"/>
        <v>1.6544025346032432E-2</v>
      </c>
      <c r="DY32" s="13">
        <f t="shared" si="97"/>
        <v>0</v>
      </c>
      <c r="DZ32" s="13">
        <f t="shared" si="97"/>
        <v>0</v>
      </c>
      <c r="EA32" s="12">
        <f t="shared" si="45"/>
        <v>1</v>
      </c>
      <c r="EB32" s="26"/>
      <c r="EC32" s="30">
        <f t="shared" si="46"/>
        <v>1323</v>
      </c>
      <c r="ED32" s="14">
        <f t="shared" si="98"/>
        <v>100000</v>
      </c>
      <c r="EE32" s="29"/>
      <c r="EF32" s="184">
        <f t="shared" si="122"/>
        <v>-7.2342365835222964</v>
      </c>
      <c r="EG32" s="13">
        <f t="shared" si="99"/>
        <v>3</v>
      </c>
      <c r="EH32" s="13">
        <f t="shared" si="100"/>
        <v>2.2492660619803502</v>
      </c>
      <c r="EI32" s="12">
        <f t="shared" si="47"/>
        <v>6.8414996220710531</v>
      </c>
      <c r="EJ32" s="29"/>
      <c r="EK32" s="28">
        <f t="shared" si="101"/>
        <v>-0.96533783095800663</v>
      </c>
      <c r="EL32" s="24">
        <f t="shared" si="102"/>
        <v>-0.41916536298654217</v>
      </c>
      <c r="EM32" s="24">
        <f t="shared" si="103"/>
        <v>0.38085451355829669</v>
      </c>
      <c r="EN32" s="24">
        <f t="shared" si="104"/>
        <v>2.6067283732660439E-2</v>
      </c>
      <c r="EO32" s="24">
        <f t="shared" si="105"/>
        <v>9.9278426657884913E-3</v>
      </c>
      <c r="EP32" s="24">
        <f t="shared" si="106"/>
        <v>0.43236937280345894</v>
      </c>
      <c r="EQ32" s="24">
        <f t="shared" si="107"/>
        <v>-0.96502021223124279</v>
      </c>
      <c r="ER32" s="24">
        <f t="shared" si="48"/>
        <v>-16.655418116778065</v>
      </c>
      <c r="ES32" s="25">
        <f t="shared" si="49"/>
        <v>-7.2320530250881747</v>
      </c>
      <c r="ET32" s="26"/>
      <c r="EU32" s="23">
        <f t="shared" si="123"/>
        <v>0.97604872836339851</v>
      </c>
      <c r="EV32" s="12">
        <f t="shared" si="50"/>
        <v>0.90442907549211737</v>
      </c>
      <c r="EW32" s="26"/>
      <c r="EX32" s="27">
        <f t="shared" si="108"/>
        <v>0.99987412330575753</v>
      </c>
      <c r="EY32" s="26"/>
      <c r="EZ32" s="23">
        <f t="shared" si="51"/>
        <v>-5.6825641269665619</v>
      </c>
      <c r="FA32" s="13">
        <f t="shared" si="52"/>
        <v>13.657858081834043</v>
      </c>
      <c r="FB32" s="13">
        <f t="shared" si="53"/>
        <v>-21.845149910644157</v>
      </c>
      <c r="FC32" s="13">
        <f t="shared" si="54"/>
        <v>7.870681486623532</v>
      </c>
      <c r="FD32" s="12">
        <f t="shared" si="55"/>
        <v>0.99961837159625488</v>
      </c>
      <c r="FE32" s="13"/>
      <c r="FF32" s="23">
        <f t="shared" si="56"/>
        <v>-6.6193546782203123</v>
      </c>
      <c r="FG32" s="13">
        <f t="shared" si="57"/>
        <v>10.691372608261709</v>
      </c>
      <c r="FH32" s="13">
        <f t="shared" si="58"/>
        <v>11.208717374430421</v>
      </c>
      <c r="FI32" s="24">
        <f t="shared" si="109"/>
        <v>0.99856410781317229</v>
      </c>
      <c r="FJ32" s="25">
        <f t="shared" si="59"/>
        <v>0.99956327163049041</v>
      </c>
      <c r="FK32" s="13"/>
      <c r="FL32" s="23">
        <f t="shared" si="110"/>
        <v>9.9978507438584074</v>
      </c>
      <c r="FM32" s="13">
        <f t="shared" si="124"/>
        <v>-6.7426235209314962</v>
      </c>
      <c r="FN32" s="13">
        <f t="shared" si="111"/>
        <v>2.27200109774531</v>
      </c>
      <c r="FO32" s="13">
        <f t="shared" si="60"/>
        <v>0.99468279373569879</v>
      </c>
      <c r="FP32" s="23">
        <f t="shared" si="112"/>
        <v>2.2719185580627705</v>
      </c>
      <c r="FQ32" s="13">
        <f t="shared" si="113"/>
        <v>0.99468178845480704</v>
      </c>
      <c r="FR32" s="13">
        <f t="shared" si="114"/>
        <v>2.2719509087808358</v>
      </c>
      <c r="FS32" s="13">
        <f t="shared" si="115"/>
        <v>0.99468218248852391</v>
      </c>
      <c r="FT32" s="13">
        <f t="shared" si="116"/>
        <v>2.271910243625884</v>
      </c>
      <c r="FU32" s="12">
        <f t="shared" si="117"/>
        <v>0.99468168717976835</v>
      </c>
      <c r="FV32" s="22"/>
      <c r="FW32" s="11">
        <f t="shared" si="61"/>
        <v>3</v>
      </c>
      <c r="FX32" s="10">
        <f t="shared" si="62"/>
        <v>2.2492660619803502</v>
      </c>
      <c r="FY32" s="10">
        <f t="shared" si="63"/>
        <v>6.8414996220710531</v>
      </c>
      <c r="FZ32" s="5">
        <f t="shared" si="64"/>
        <v>-7.2342365835222964</v>
      </c>
      <c r="GA32" s="10">
        <f t="shared" si="65"/>
        <v>0.43236937280345894</v>
      </c>
      <c r="GB32" s="9">
        <f t="shared" si="118"/>
        <v>9.9978507438584074</v>
      </c>
      <c r="GC32" s="8">
        <f t="shared" si="119"/>
        <v>-6.7426235209314962</v>
      </c>
      <c r="GD32" s="8">
        <f t="shared" si="120"/>
        <v>0.99468279373569879</v>
      </c>
      <c r="GE32" s="7">
        <f t="shared" si="121"/>
        <v>0.99468178845480704</v>
      </c>
      <c r="GF32" s="6">
        <f t="shared" si="66"/>
        <v>0.99856410781317229</v>
      </c>
      <c r="GG32" s="5">
        <f t="shared" si="67"/>
        <v>0.99956327163049041</v>
      </c>
      <c r="GH32" s="4">
        <f t="shared" si="68"/>
        <v>0.99961837159625488</v>
      </c>
      <c r="GI32" s="4">
        <f t="shared" si="69"/>
        <v>0.99987412330575753</v>
      </c>
      <c r="GJ32" s="4">
        <f t="shared" si="70"/>
        <v>0.90442907549211737</v>
      </c>
      <c r="GK32" s="1"/>
    </row>
    <row r="33" spans="1:193" x14ac:dyDescent="0.4">
      <c r="A33" s="34"/>
      <c r="B33" s="21"/>
      <c r="C33" s="21"/>
      <c r="D33" s="34"/>
      <c r="E33" s="34"/>
      <c r="F33" s="20" t="s">
        <v>134</v>
      </c>
      <c r="G33" s="19">
        <v>1050</v>
      </c>
      <c r="H33" s="18">
        <v>1E-4</v>
      </c>
      <c r="I33" s="17">
        <v>3.4</v>
      </c>
      <c r="J33" s="16">
        <v>64.2</v>
      </c>
      <c r="K33" s="16">
        <v>0.7</v>
      </c>
      <c r="L33" s="16">
        <v>16.8</v>
      </c>
      <c r="M33" s="16">
        <v>0</v>
      </c>
      <c r="N33" s="16">
        <v>5.0999999999999996</v>
      </c>
      <c r="O33" s="16">
        <v>0.1</v>
      </c>
      <c r="P33" s="16">
        <v>2.1</v>
      </c>
      <c r="Q33" s="16">
        <v>5.6</v>
      </c>
      <c r="R33" s="16">
        <v>4</v>
      </c>
      <c r="S33" s="16">
        <v>1.4</v>
      </c>
      <c r="T33" s="16">
        <v>0</v>
      </c>
      <c r="U33" s="15">
        <v>0</v>
      </c>
      <c r="V33" s="16"/>
      <c r="W33" s="28">
        <f t="shared" si="71"/>
        <v>64.200000000000017</v>
      </c>
      <c r="X33" s="24">
        <f t="shared" si="125"/>
        <v>0.70000000000000007</v>
      </c>
      <c r="Y33" s="24">
        <f t="shared" si="125"/>
        <v>16.800000000000004</v>
      </c>
      <c r="Z33" s="24">
        <f t="shared" si="125"/>
        <v>0</v>
      </c>
      <c r="AA33" s="24">
        <f t="shared" si="125"/>
        <v>5.1000000000000005</v>
      </c>
      <c r="AB33" s="24">
        <f t="shared" si="125"/>
        <v>0.10000000000000002</v>
      </c>
      <c r="AC33" s="24">
        <f t="shared" si="125"/>
        <v>2.1000000000000005</v>
      </c>
      <c r="AD33" s="24">
        <f t="shared" si="125"/>
        <v>5.6000000000000005</v>
      </c>
      <c r="AE33" s="24">
        <f t="shared" si="125"/>
        <v>4.0000000000000009</v>
      </c>
      <c r="AF33" s="24">
        <f t="shared" si="125"/>
        <v>1.4000000000000001</v>
      </c>
      <c r="AG33" s="24">
        <f t="shared" si="125"/>
        <v>0</v>
      </c>
      <c r="AH33" s="24">
        <f t="shared" si="125"/>
        <v>0</v>
      </c>
      <c r="AI33" s="14">
        <f t="shared" si="72"/>
        <v>100</v>
      </c>
      <c r="AJ33" s="26"/>
      <c r="AK33" s="50">
        <f t="shared" si="73"/>
        <v>1.068397403894159</v>
      </c>
      <c r="AL33" s="47">
        <f t="shared" si="74"/>
        <v>8.7609511889862324E-3</v>
      </c>
      <c r="AM33" s="47">
        <f t="shared" si="75"/>
        <v>0.16477049823460185</v>
      </c>
      <c r="AN33" s="49">
        <f t="shared" si="76"/>
        <v>0</v>
      </c>
      <c r="AO33" s="49">
        <f t="shared" si="77"/>
        <v>7.0981210855949911E-2</v>
      </c>
      <c r="AP33" s="47">
        <f t="shared" si="78"/>
        <v>1.4084507042253524E-3</v>
      </c>
      <c r="AQ33" s="47">
        <f t="shared" si="79"/>
        <v>5.208333333333335E-2</v>
      </c>
      <c r="AR33" s="47">
        <f t="shared" si="80"/>
        <v>9.9857346647646228E-2</v>
      </c>
      <c r="AS33" s="47">
        <f t="shared" si="81"/>
        <v>6.4536947402387884E-2</v>
      </c>
      <c r="AT33" s="47">
        <f t="shared" si="82"/>
        <v>1.4861995753715499E-2</v>
      </c>
      <c r="AU33" s="47">
        <f t="shared" si="83"/>
        <v>0</v>
      </c>
      <c r="AV33" s="47">
        <f t="shared" si="84"/>
        <v>0</v>
      </c>
      <c r="AW33" s="47">
        <f t="shared" si="85"/>
        <v>1.5456581380150054</v>
      </c>
      <c r="AX33" s="47">
        <f t="shared" si="86"/>
        <v>3.7116143340384516E-2</v>
      </c>
      <c r="AY33" s="46">
        <f t="shared" si="87"/>
        <v>1.6937912701777181E-2</v>
      </c>
      <c r="AZ33" s="26"/>
      <c r="BA33" s="23">
        <f t="shared" si="88"/>
        <v>0.69122490777050916</v>
      </c>
      <c r="BB33" s="13">
        <f t="shared" si="6"/>
        <v>5.6681040739302085E-3</v>
      </c>
      <c r="BC33" s="13">
        <f t="shared" si="7"/>
        <v>0.10660216135904836</v>
      </c>
      <c r="BD33" s="13">
        <f t="shared" si="8"/>
        <v>0</v>
      </c>
      <c r="BE33" s="13">
        <f t="shared" si="9"/>
        <v>4.5922969064237422E-2</v>
      </c>
      <c r="BF33" s="13">
        <f t="shared" si="10"/>
        <v>2.4013164636813234E-2</v>
      </c>
      <c r="BG33" s="13">
        <f t="shared" si="11"/>
        <v>1.0958382248437879E-2</v>
      </c>
      <c r="BH33" s="13">
        <f t="shared" si="12"/>
        <v>9.1123041349501759E-4</v>
      </c>
      <c r="BI33" s="13">
        <f t="shared" si="13"/>
        <v>3.3696541332367845E-2</v>
      </c>
      <c r="BJ33" s="13">
        <f t="shared" si="14"/>
        <v>6.4605066406137474E-2</v>
      </c>
      <c r="BK33" s="13">
        <f t="shared" si="15"/>
        <v>4.1753700779700711E-2</v>
      </c>
      <c r="BL33" s="13">
        <f t="shared" si="16"/>
        <v>9.6153188005737508E-3</v>
      </c>
      <c r="BM33" s="13">
        <f t="shared" si="17"/>
        <v>0</v>
      </c>
      <c r="BN33" s="13">
        <f t="shared" si="18"/>
        <v>0</v>
      </c>
      <c r="BO33" s="12">
        <f t="shared" si="89"/>
        <v>1</v>
      </c>
      <c r="BP33" s="13"/>
      <c r="BQ33" s="23">
        <f t="shared" si="90"/>
        <v>2.1367948077883181</v>
      </c>
      <c r="BR33" s="13">
        <f t="shared" si="19"/>
        <v>1.7521902377972465E-2</v>
      </c>
      <c r="BS33" s="13">
        <f t="shared" si="20"/>
        <v>0.49411764705882366</v>
      </c>
      <c r="BT33" s="13">
        <f t="shared" si="21"/>
        <v>0</v>
      </c>
      <c r="BU33" s="13">
        <f t="shared" si="22"/>
        <v>7.0981210855949911E-2</v>
      </c>
      <c r="BV33" s="13">
        <f t="shared" si="91"/>
        <v>3.7116143340384516E-2</v>
      </c>
      <c r="BW33" s="24">
        <f t="shared" si="92"/>
        <v>5.0813738105331539E-2</v>
      </c>
      <c r="BX33" s="13">
        <f t="shared" si="23"/>
        <v>1.4084507042253524E-3</v>
      </c>
      <c r="BY33" s="13">
        <f t="shared" si="24"/>
        <v>5.2109181141439226E-2</v>
      </c>
      <c r="BZ33" s="13">
        <f t="shared" si="25"/>
        <v>9.9821746880570411E-2</v>
      </c>
      <c r="CA33" s="13">
        <f t="shared" si="26"/>
        <v>6.4516129032258077E-2</v>
      </c>
      <c r="CB33" s="13">
        <f t="shared" si="27"/>
        <v>1.4861995753715499E-2</v>
      </c>
      <c r="CC33" s="13">
        <f t="shared" si="28"/>
        <v>0</v>
      </c>
      <c r="CD33" s="13">
        <f t="shared" si="93"/>
        <v>0</v>
      </c>
      <c r="CE33" s="12">
        <f t="shared" si="94"/>
        <v>2.952133071593273</v>
      </c>
      <c r="CF33" s="13"/>
      <c r="CG33" s="23">
        <f t="shared" si="127"/>
        <v>0.72381385119441277</v>
      </c>
      <c r="CH33" s="13">
        <f t="shared" si="127"/>
        <v>5.9353362308006844E-3</v>
      </c>
      <c r="CI33" s="13">
        <f t="shared" si="127"/>
        <v>0.16737648170857936</v>
      </c>
      <c r="CJ33" s="13">
        <f t="shared" si="127"/>
        <v>0</v>
      </c>
      <c r="CK33" s="13">
        <f t="shared" si="126"/>
        <v>2.404404176050275E-2</v>
      </c>
      <c r="CL33" s="13">
        <f t="shared" si="126"/>
        <v>1.2572652533021774E-2</v>
      </c>
      <c r="CM33" s="13">
        <f t="shared" si="126"/>
        <v>1.721255000131388E-2</v>
      </c>
      <c r="CN33" s="13">
        <f t="shared" si="126"/>
        <v>4.7709594048387808E-4</v>
      </c>
      <c r="CO33" s="13">
        <f t="shared" si="126"/>
        <v>1.7651365937008993E-2</v>
      </c>
      <c r="CP33" s="13">
        <f t="shared" si="126"/>
        <v>3.3813430648197841E-2</v>
      </c>
      <c r="CQ33" s="13">
        <f t="shared" si="126"/>
        <v>2.185407211248732E-2</v>
      </c>
      <c r="CR33" s="13">
        <f t="shared" si="126"/>
        <v>5.0343244675262709E-3</v>
      </c>
      <c r="CS33" s="13">
        <f t="shared" si="126"/>
        <v>0</v>
      </c>
      <c r="CT33" s="13">
        <f t="shared" si="126"/>
        <v>0</v>
      </c>
      <c r="CU33" s="12">
        <f t="shared" si="30"/>
        <v>0.99999999999999989</v>
      </c>
      <c r="CV33" s="26"/>
      <c r="CW33" s="23">
        <f t="shared" si="31"/>
        <v>1.068397403894159</v>
      </c>
      <c r="CX33" s="13">
        <f t="shared" si="32"/>
        <v>8.7609511889862324E-3</v>
      </c>
      <c r="CY33" s="13">
        <f t="shared" si="33"/>
        <v>0.32941176470588246</v>
      </c>
      <c r="CZ33" s="13">
        <f t="shared" si="34"/>
        <v>0</v>
      </c>
      <c r="DA33" s="13">
        <f t="shared" si="35"/>
        <v>7.7994428969359333E-2</v>
      </c>
      <c r="DB33" s="13">
        <f t="shared" si="36"/>
        <v>3.7116143340384516E-2</v>
      </c>
      <c r="DC33" s="24">
        <f t="shared" si="37"/>
        <v>3.3875825403554362E-2</v>
      </c>
      <c r="DD33" s="13">
        <f t="shared" si="38"/>
        <v>1.4084507042253524E-3</v>
      </c>
      <c r="DE33" s="13">
        <f t="shared" si="39"/>
        <v>5.2109181141439226E-2</v>
      </c>
      <c r="DF33" s="13">
        <f t="shared" si="40"/>
        <v>9.9821746880570411E-2</v>
      </c>
      <c r="DG33" s="13">
        <f t="shared" si="41"/>
        <v>0.12903225806451615</v>
      </c>
      <c r="DH33" s="13">
        <f t="shared" si="42"/>
        <v>2.9723991507430998E-2</v>
      </c>
      <c r="DI33" s="13">
        <f t="shared" si="43"/>
        <v>0</v>
      </c>
      <c r="DJ33" s="13">
        <f t="shared" si="95"/>
        <v>0</v>
      </c>
      <c r="DK33" s="12">
        <f t="shared" si="96"/>
        <v>1.7966601770565693</v>
      </c>
      <c r="DL33" s="26"/>
      <c r="DM33" s="23">
        <f t="shared" si="97"/>
        <v>0.59465747476214015</v>
      </c>
      <c r="DN33" s="13">
        <f t="shared" si="97"/>
        <v>4.8762427646941641E-3</v>
      </c>
      <c r="DO33" s="13">
        <f t="shared" si="97"/>
        <v>0.18334672795250065</v>
      </c>
      <c r="DP33" s="13">
        <f t="shared" si="97"/>
        <v>0</v>
      </c>
      <c r="DQ33" s="13">
        <f t="shared" si="97"/>
        <v>4.3410785169812116E-2</v>
      </c>
      <c r="DR33" s="13">
        <f t="shared" si="97"/>
        <v>2.0658410429729185E-2</v>
      </c>
      <c r="DS33" s="13">
        <f t="shared" si="97"/>
        <v>1.8854887438453951E-2</v>
      </c>
      <c r="DT33" s="13">
        <f t="shared" si="97"/>
        <v>7.83927156738559E-4</v>
      </c>
      <c r="DU33" s="13">
        <f t="shared" si="97"/>
        <v>2.9003359570649919E-2</v>
      </c>
      <c r="DV33" s="13">
        <f t="shared" si="97"/>
        <v>5.5559614531060786E-2</v>
      </c>
      <c r="DW33" s="13">
        <f t="shared" si="97"/>
        <v>7.1817842746371208E-2</v>
      </c>
      <c r="DX33" s="13">
        <f t="shared" si="97"/>
        <v>1.6544025346032432E-2</v>
      </c>
      <c r="DY33" s="13">
        <f t="shared" si="97"/>
        <v>0</v>
      </c>
      <c r="DZ33" s="13">
        <f t="shared" si="97"/>
        <v>0</v>
      </c>
      <c r="EA33" s="12">
        <f t="shared" si="45"/>
        <v>1</v>
      </c>
      <c r="EB33" s="26"/>
      <c r="EC33" s="30">
        <f t="shared" si="46"/>
        <v>1323</v>
      </c>
      <c r="ED33" s="14">
        <f t="shared" si="98"/>
        <v>100000</v>
      </c>
      <c r="EE33" s="29"/>
      <c r="EF33" s="184">
        <f t="shared" si="122"/>
        <v>-6.834236583522296</v>
      </c>
      <c r="EG33" s="13">
        <f t="shared" si="99"/>
        <v>3.4</v>
      </c>
      <c r="EH33" s="13">
        <f t="shared" si="100"/>
        <v>2.6492660619803505</v>
      </c>
      <c r="EI33" s="12">
        <f t="shared" si="47"/>
        <v>7.2414996220710535</v>
      </c>
      <c r="EJ33" s="29"/>
      <c r="EK33" s="28">
        <f t="shared" si="101"/>
        <v>-0.78481515966727355</v>
      </c>
      <c r="EL33" s="24">
        <f t="shared" si="102"/>
        <v>-0.34077948748036196</v>
      </c>
      <c r="EM33" s="24">
        <f t="shared" si="103"/>
        <v>0.45620401889544165</v>
      </c>
      <c r="EN33" s="24">
        <f t="shared" si="104"/>
        <v>2.4013164636813231E-2</v>
      </c>
      <c r="EO33" s="24">
        <f t="shared" si="105"/>
        <v>1.0954902213712094E-2</v>
      </c>
      <c r="EP33" s="24">
        <f t="shared" si="106"/>
        <v>0.47709903941046533</v>
      </c>
      <c r="EQ33" s="24">
        <f t="shared" si="107"/>
        <v>-0.78449754094050972</v>
      </c>
      <c r="ER33" s="24">
        <f t="shared" si="48"/>
        <v>-15.734384079580446</v>
      </c>
      <c r="ES33" s="25">
        <f t="shared" si="49"/>
        <v>-6.8321250888321519</v>
      </c>
      <c r="ET33" s="26"/>
      <c r="EU33" s="23">
        <f t="shared" si="123"/>
        <v>1.6032487283633969</v>
      </c>
      <c r="EV33" s="12">
        <f t="shared" si="50"/>
        <v>0.97567480327887324</v>
      </c>
      <c r="EW33" s="26"/>
      <c r="EX33" s="27">
        <f t="shared" si="108"/>
        <v>0.99998004777494953</v>
      </c>
      <c r="EY33" s="26"/>
      <c r="EZ33" s="23">
        <f t="shared" si="51"/>
        <v>-5.6825641269665619</v>
      </c>
      <c r="FA33" s="13">
        <f t="shared" si="52"/>
        <v>13.63581881093959</v>
      </c>
      <c r="FB33" s="13">
        <f t="shared" si="53"/>
        <v>-21.845149910644157</v>
      </c>
      <c r="FC33" s="13">
        <f t="shared" si="54"/>
        <v>9.6907102901243185</v>
      </c>
      <c r="FD33" s="12">
        <f t="shared" si="55"/>
        <v>0.99993814837236727</v>
      </c>
      <c r="FE33" s="13"/>
      <c r="FF33" s="23">
        <f t="shared" si="56"/>
        <v>-6.6398701268394591</v>
      </c>
      <c r="FG33" s="13">
        <f t="shared" si="57"/>
        <v>10.691372608261709</v>
      </c>
      <c r="FH33" s="13">
        <f t="shared" si="58"/>
        <v>11.208717374430421</v>
      </c>
      <c r="FI33" s="24">
        <f t="shared" si="109"/>
        <v>0.99978266181651021</v>
      </c>
      <c r="FJ33" s="25">
        <f t="shared" si="59"/>
        <v>0.99993395240918093</v>
      </c>
      <c r="FK33" s="13"/>
      <c r="FL33" s="23">
        <f t="shared" si="110"/>
        <v>9.9978507438584074</v>
      </c>
      <c r="FM33" s="13">
        <f t="shared" si="124"/>
        <v>-6.7535551035064501</v>
      </c>
      <c r="FN33" s="13">
        <f t="shared" si="111"/>
        <v>3.0829326803202655</v>
      </c>
      <c r="FO33" s="13">
        <f t="shared" si="60"/>
        <v>0.99917451598377172</v>
      </c>
      <c r="FP33" s="23">
        <f t="shared" si="112"/>
        <v>3.082850140637726</v>
      </c>
      <c r="FQ33" s="13">
        <f t="shared" si="113"/>
        <v>0.99917435921133724</v>
      </c>
      <c r="FR33" s="13">
        <f t="shared" si="114"/>
        <v>3.0828824913557913</v>
      </c>
      <c r="FS33" s="13">
        <f t="shared" si="115"/>
        <v>0.99917442066048801</v>
      </c>
      <c r="FT33" s="13">
        <f t="shared" si="116"/>
        <v>3.0828418262008395</v>
      </c>
      <c r="FU33" s="12">
        <f t="shared" si="117"/>
        <v>0.99917434341759293</v>
      </c>
      <c r="FV33" s="22"/>
      <c r="FW33" s="11">
        <f t="shared" si="61"/>
        <v>3.4</v>
      </c>
      <c r="FX33" s="10">
        <f t="shared" si="62"/>
        <v>2.6492660619803505</v>
      </c>
      <c r="FY33" s="10">
        <f t="shared" si="63"/>
        <v>7.2414996220710535</v>
      </c>
      <c r="FZ33" s="5">
        <f t="shared" si="64"/>
        <v>-6.834236583522296</v>
      </c>
      <c r="GA33" s="10">
        <f t="shared" si="65"/>
        <v>0.47709903941046533</v>
      </c>
      <c r="GB33" s="9">
        <f t="shared" si="118"/>
        <v>9.9978507438584074</v>
      </c>
      <c r="GC33" s="8">
        <f t="shared" si="119"/>
        <v>-6.7535551035064501</v>
      </c>
      <c r="GD33" s="8">
        <f t="shared" si="120"/>
        <v>0.99917451598377172</v>
      </c>
      <c r="GE33" s="7">
        <f t="shared" si="121"/>
        <v>0.99917435921133724</v>
      </c>
      <c r="GF33" s="6">
        <f t="shared" si="66"/>
        <v>0.99978266181651021</v>
      </c>
      <c r="GG33" s="5">
        <f t="shared" si="67"/>
        <v>0.99993395240918093</v>
      </c>
      <c r="GH33" s="4">
        <f t="shared" si="68"/>
        <v>0.99993814837236727</v>
      </c>
      <c r="GI33" s="4">
        <f t="shared" si="69"/>
        <v>0.99998004777494953</v>
      </c>
      <c r="GJ33" s="4">
        <f t="shared" si="70"/>
        <v>0.97567480327887324</v>
      </c>
      <c r="GK33" s="1"/>
    </row>
    <row r="34" spans="1:193" x14ac:dyDescent="0.4">
      <c r="A34" s="34"/>
      <c r="B34" s="21"/>
      <c r="C34" s="21"/>
      <c r="D34" s="34"/>
      <c r="E34" s="34"/>
      <c r="F34" s="20" t="s">
        <v>134</v>
      </c>
      <c r="G34" s="19">
        <v>1050</v>
      </c>
      <c r="H34" s="18">
        <v>1E-4</v>
      </c>
      <c r="I34" s="17">
        <v>3.8</v>
      </c>
      <c r="J34" s="16">
        <v>64.2</v>
      </c>
      <c r="K34" s="16">
        <v>0.7</v>
      </c>
      <c r="L34" s="16">
        <v>16.8</v>
      </c>
      <c r="M34" s="16">
        <v>0</v>
      </c>
      <c r="N34" s="16">
        <v>5.0999999999999996</v>
      </c>
      <c r="O34" s="16">
        <v>0.1</v>
      </c>
      <c r="P34" s="16">
        <v>2.1</v>
      </c>
      <c r="Q34" s="16">
        <v>5.6</v>
      </c>
      <c r="R34" s="16">
        <v>4</v>
      </c>
      <c r="S34" s="16">
        <v>1.4</v>
      </c>
      <c r="T34" s="16">
        <v>0</v>
      </c>
      <c r="U34" s="15">
        <v>0</v>
      </c>
      <c r="V34" s="16"/>
      <c r="W34" s="28">
        <f t="shared" si="71"/>
        <v>64.200000000000017</v>
      </c>
      <c r="X34" s="24">
        <f t="shared" si="125"/>
        <v>0.70000000000000007</v>
      </c>
      <c r="Y34" s="24">
        <f t="shared" si="125"/>
        <v>16.800000000000004</v>
      </c>
      <c r="Z34" s="24">
        <f t="shared" si="125"/>
        <v>0</v>
      </c>
      <c r="AA34" s="24">
        <f t="shared" si="125"/>
        <v>5.1000000000000005</v>
      </c>
      <c r="AB34" s="24">
        <f t="shared" si="125"/>
        <v>0.10000000000000002</v>
      </c>
      <c r="AC34" s="24">
        <f t="shared" si="125"/>
        <v>2.1000000000000005</v>
      </c>
      <c r="AD34" s="24">
        <f t="shared" si="125"/>
        <v>5.6000000000000005</v>
      </c>
      <c r="AE34" s="24">
        <f t="shared" si="125"/>
        <v>4.0000000000000009</v>
      </c>
      <c r="AF34" s="24">
        <f t="shared" si="125"/>
        <v>1.4000000000000001</v>
      </c>
      <c r="AG34" s="24">
        <f t="shared" si="125"/>
        <v>0</v>
      </c>
      <c r="AH34" s="24">
        <f t="shared" si="125"/>
        <v>0</v>
      </c>
      <c r="AI34" s="14">
        <f t="shared" si="72"/>
        <v>100</v>
      </c>
      <c r="AJ34" s="26"/>
      <c r="AK34" s="50">
        <f t="shared" si="73"/>
        <v>1.068397403894159</v>
      </c>
      <c r="AL34" s="47">
        <f t="shared" si="74"/>
        <v>8.7609511889862324E-3</v>
      </c>
      <c r="AM34" s="47">
        <f t="shared" si="75"/>
        <v>0.16477049823460185</v>
      </c>
      <c r="AN34" s="49">
        <f t="shared" si="76"/>
        <v>0</v>
      </c>
      <c r="AO34" s="49">
        <f t="shared" si="77"/>
        <v>7.0981210855949911E-2</v>
      </c>
      <c r="AP34" s="47">
        <f t="shared" si="78"/>
        <v>1.4084507042253524E-3</v>
      </c>
      <c r="AQ34" s="47">
        <f t="shared" si="79"/>
        <v>5.208333333333335E-2</v>
      </c>
      <c r="AR34" s="47">
        <f t="shared" si="80"/>
        <v>9.9857346647646228E-2</v>
      </c>
      <c r="AS34" s="47">
        <f t="shared" si="81"/>
        <v>6.4536947402387884E-2</v>
      </c>
      <c r="AT34" s="47">
        <f t="shared" si="82"/>
        <v>1.4861995753715499E-2</v>
      </c>
      <c r="AU34" s="47">
        <f t="shared" si="83"/>
        <v>0</v>
      </c>
      <c r="AV34" s="47">
        <f t="shared" si="84"/>
        <v>0</v>
      </c>
      <c r="AW34" s="47">
        <f t="shared" si="85"/>
        <v>1.5456581380150054</v>
      </c>
      <c r="AX34" s="47">
        <f t="shared" si="86"/>
        <v>3.3914888592126304E-2</v>
      </c>
      <c r="AY34" s="46">
        <f t="shared" si="87"/>
        <v>1.8539048545880399E-2</v>
      </c>
      <c r="AZ34" s="26"/>
      <c r="BA34" s="23">
        <f t="shared" si="88"/>
        <v>0.69122490777050916</v>
      </c>
      <c r="BB34" s="13">
        <f t="shared" si="6"/>
        <v>5.6681040739302085E-3</v>
      </c>
      <c r="BC34" s="13">
        <f t="shared" si="7"/>
        <v>0.10660216135904836</v>
      </c>
      <c r="BD34" s="13">
        <f t="shared" si="8"/>
        <v>0</v>
      </c>
      <c r="BE34" s="13">
        <f t="shared" si="9"/>
        <v>4.5922969064237422E-2</v>
      </c>
      <c r="BF34" s="13">
        <f t="shared" si="10"/>
        <v>2.1942037348362899E-2</v>
      </c>
      <c r="BG34" s="13">
        <f t="shared" si="11"/>
        <v>1.1994274859309427E-2</v>
      </c>
      <c r="BH34" s="13">
        <f t="shared" si="12"/>
        <v>9.1123041349501759E-4</v>
      </c>
      <c r="BI34" s="13">
        <f t="shared" si="13"/>
        <v>3.3696541332367845E-2</v>
      </c>
      <c r="BJ34" s="13">
        <f t="shared" si="14"/>
        <v>6.4605066406137474E-2</v>
      </c>
      <c r="BK34" s="13">
        <f t="shared" si="15"/>
        <v>4.1753700779700711E-2</v>
      </c>
      <c r="BL34" s="13">
        <f t="shared" si="16"/>
        <v>9.6153188005737508E-3</v>
      </c>
      <c r="BM34" s="13">
        <f t="shared" si="17"/>
        <v>0</v>
      </c>
      <c r="BN34" s="13">
        <f t="shared" si="18"/>
        <v>0</v>
      </c>
      <c r="BO34" s="12">
        <f t="shared" si="89"/>
        <v>1</v>
      </c>
      <c r="BP34" s="13"/>
      <c r="BQ34" s="23">
        <f t="shared" si="90"/>
        <v>2.1367948077883181</v>
      </c>
      <c r="BR34" s="13">
        <f t="shared" si="19"/>
        <v>1.7521902377972465E-2</v>
      </c>
      <c r="BS34" s="13">
        <f t="shared" si="20"/>
        <v>0.49411764705882366</v>
      </c>
      <c r="BT34" s="13">
        <f t="shared" si="21"/>
        <v>0</v>
      </c>
      <c r="BU34" s="13">
        <f t="shared" si="22"/>
        <v>7.0981210855949911E-2</v>
      </c>
      <c r="BV34" s="13">
        <f t="shared" si="91"/>
        <v>3.3914888592126304E-2</v>
      </c>
      <c r="BW34" s="24">
        <f t="shared" si="92"/>
        <v>5.5617145637641204E-2</v>
      </c>
      <c r="BX34" s="13">
        <f t="shared" si="23"/>
        <v>1.4084507042253524E-3</v>
      </c>
      <c r="BY34" s="13">
        <f t="shared" si="24"/>
        <v>5.2109181141439226E-2</v>
      </c>
      <c r="BZ34" s="13">
        <f t="shared" si="25"/>
        <v>9.9821746880570411E-2</v>
      </c>
      <c r="CA34" s="13">
        <f t="shared" si="26"/>
        <v>6.4516129032258077E-2</v>
      </c>
      <c r="CB34" s="13">
        <f t="shared" si="27"/>
        <v>1.4861995753715499E-2</v>
      </c>
      <c r="CC34" s="13">
        <f t="shared" si="28"/>
        <v>0</v>
      </c>
      <c r="CD34" s="13">
        <f t="shared" si="93"/>
        <v>0</v>
      </c>
      <c r="CE34" s="12">
        <f t="shared" si="94"/>
        <v>2.952133071593273</v>
      </c>
      <c r="CF34" s="13"/>
      <c r="CG34" s="23">
        <f t="shared" si="127"/>
        <v>0.72381385119441277</v>
      </c>
      <c r="CH34" s="13">
        <f t="shared" si="127"/>
        <v>5.9353362308006844E-3</v>
      </c>
      <c r="CI34" s="13">
        <f t="shared" si="127"/>
        <v>0.16737648170857936</v>
      </c>
      <c r="CJ34" s="13">
        <f t="shared" si="127"/>
        <v>0</v>
      </c>
      <c r="CK34" s="13">
        <f t="shared" si="126"/>
        <v>2.404404176050275E-2</v>
      </c>
      <c r="CL34" s="13">
        <f t="shared" si="126"/>
        <v>1.1488265525179175E-2</v>
      </c>
      <c r="CM34" s="13">
        <f t="shared" si="126"/>
        <v>1.8839647227563663E-2</v>
      </c>
      <c r="CN34" s="13">
        <f t="shared" si="126"/>
        <v>4.7709594048387808E-4</v>
      </c>
      <c r="CO34" s="13">
        <f t="shared" si="126"/>
        <v>1.7651365937008993E-2</v>
      </c>
      <c r="CP34" s="13">
        <f t="shared" si="126"/>
        <v>3.3813430648197841E-2</v>
      </c>
      <c r="CQ34" s="13">
        <f t="shared" si="126"/>
        <v>2.185407211248732E-2</v>
      </c>
      <c r="CR34" s="13">
        <f t="shared" si="126"/>
        <v>5.0343244675262709E-3</v>
      </c>
      <c r="CS34" s="13">
        <f t="shared" si="126"/>
        <v>0</v>
      </c>
      <c r="CT34" s="13">
        <f t="shared" si="126"/>
        <v>0</v>
      </c>
      <c r="CU34" s="12">
        <f t="shared" si="30"/>
        <v>0.99999999999999989</v>
      </c>
      <c r="CV34" s="26"/>
      <c r="CW34" s="23">
        <f t="shared" si="31"/>
        <v>1.068397403894159</v>
      </c>
      <c r="CX34" s="13">
        <f t="shared" si="32"/>
        <v>8.7609511889862324E-3</v>
      </c>
      <c r="CY34" s="13">
        <f t="shared" si="33"/>
        <v>0.32941176470588246</v>
      </c>
      <c r="CZ34" s="13">
        <f t="shared" si="34"/>
        <v>0</v>
      </c>
      <c r="DA34" s="13">
        <f t="shared" si="35"/>
        <v>7.7994428969359333E-2</v>
      </c>
      <c r="DB34" s="13">
        <f t="shared" si="36"/>
        <v>3.3914888592126304E-2</v>
      </c>
      <c r="DC34" s="24">
        <f t="shared" si="37"/>
        <v>3.7078097091760798E-2</v>
      </c>
      <c r="DD34" s="13">
        <f t="shared" si="38"/>
        <v>1.4084507042253524E-3</v>
      </c>
      <c r="DE34" s="13">
        <f t="shared" si="39"/>
        <v>5.2109181141439226E-2</v>
      </c>
      <c r="DF34" s="13">
        <f t="shared" si="40"/>
        <v>9.9821746880570411E-2</v>
      </c>
      <c r="DG34" s="13">
        <f t="shared" si="41"/>
        <v>0.12903225806451615</v>
      </c>
      <c r="DH34" s="13">
        <f t="shared" si="42"/>
        <v>2.9723991507430998E-2</v>
      </c>
      <c r="DI34" s="13">
        <f t="shared" si="43"/>
        <v>0</v>
      </c>
      <c r="DJ34" s="13">
        <f t="shared" si="95"/>
        <v>0</v>
      </c>
      <c r="DK34" s="12">
        <f t="shared" si="96"/>
        <v>1.7966601770565693</v>
      </c>
      <c r="DL34" s="26"/>
      <c r="DM34" s="23">
        <f t="shared" si="97"/>
        <v>0.59465747476214015</v>
      </c>
      <c r="DN34" s="13">
        <f t="shared" si="97"/>
        <v>4.8762427646941641E-3</v>
      </c>
      <c r="DO34" s="13">
        <f t="shared" si="97"/>
        <v>0.18334672795250065</v>
      </c>
      <c r="DP34" s="13">
        <f t="shared" si="97"/>
        <v>0</v>
      </c>
      <c r="DQ34" s="13">
        <f t="shared" si="97"/>
        <v>4.3410785169812116E-2</v>
      </c>
      <c r="DR34" s="13">
        <f t="shared" si="97"/>
        <v>1.8876629551442696E-2</v>
      </c>
      <c r="DS34" s="13">
        <f t="shared" si="97"/>
        <v>2.0637234333598393E-2</v>
      </c>
      <c r="DT34" s="13">
        <f t="shared" si="97"/>
        <v>7.83927156738559E-4</v>
      </c>
      <c r="DU34" s="13">
        <f t="shared" si="97"/>
        <v>2.9003359570649919E-2</v>
      </c>
      <c r="DV34" s="13">
        <f t="shared" si="97"/>
        <v>5.5559614531060786E-2</v>
      </c>
      <c r="DW34" s="13">
        <f t="shared" si="97"/>
        <v>7.1817842746371208E-2</v>
      </c>
      <c r="DX34" s="13">
        <f t="shared" si="97"/>
        <v>1.6544025346032432E-2</v>
      </c>
      <c r="DY34" s="13">
        <f t="shared" si="97"/>
        <v>0</v>
      </c>
      <c r="DZ34" s="13">
        <f t="shared" si="97"/>
        <v>0</v>
      </c>
      <c r="EA34" s="12">
        <f t="shared" si="45"/>
        <v>1</v>
      </c>
      <c r="EB34" s="26"/>
      <c r="EC34" s="30">
        <f t="shared" si="46"/>
        <v>1323</v>
      </c>
      <c r="ED34" s="14">
        <f t="shared" si="98"/>
        <v>100000</v>
      </c>
      <c r="EE34" s="29"/>
      <c r="EF34" s="184">
        <f t="shared" si="122"/>
        <v>-6.4342365835222965</v>
      </c>
      <c r="EG34" s="13">
        <f t="shared" si="99"/>
        <v>3.8</v>
      </c>
      <c r="EH34" s="13">
        <f t="shared" si="100"/>
        <v>3.04926606198035</v>
      </c>
      <c r="EI34" s="12">
        <f t="shared" si="47"/>
        <v>7.6414996220710529</v>
      </c>
      <c r="EJ34" s="29"/>
      <c r="EK34" s="28">
        <f t="shared" si="101"/>
        <v>-0.60429248837654048</v>
      </c>
      <c r="EL34" s="24">
        <f t="shared" si="102"/>
        <v>-0.26239361197418171</v>
      </c>
      <c r="EM34" s="24">
        <f t="shared" si="103"/>
        <v>0.54646091735104407</v>
      </c>
      <c r="EN34" s="24">
        <f t="shared" si="104"/>
        <v>2.1942037348362899E-2</v>
      </c>
      <c r="EO34" s="24">
        <f t="shared" si="105"/>
        <v>1.199046585793726E-2</v>
      </c>
      <c r="EP34" s="24">
        <f t="shared" si="106"/>
        <v>0.52219906954033835</v>
      </c>
      <c r="EQ34" s="24">
        <f t="shared" si="107"/>
        <v>-0.60397486964977665</v>
      </c>
      <c r="ER34" s="24">
        <f t="shared" si="48"/>
        <v>-14.813350042382829</v>
      </c>
      <c r="ES34" s="25">
        <f t="shared" si="49"/>
        <v>-6.4321971525761308</v>
      </c>
      <c r="ET34" s="26"/>
      <c r="EU34" s="23">
        <f t="shared" si="123"/>
        <v>2.2304487283633989</v>
      </c>
      <c r="EV34" s="12">
        <f t="shared" si="50"/>
        <v>0.99415204419979974</v>
      </c>
      <c r="EW34" s="26"/>
      <c r="EX34" s="27">
        <f t="shared" si="108"/>
        <v>0.99999683773233983</v>
      </c>
      <c r="EY34" s="26"/>
      <c r="EZ34" s="23">
        <f t="shared" si="51"/>
        <v>-5.6825641269665619</v>
      </c>
      <c r="FA34" s="13">
        <f t="shared" si="52"/>
        <v>13.613597053954155</v>
      </c>
      <c r="FB34" s="13">
        <f t="shared" si="53"/>
        <v>-21.845149910644157</v>
      </c>
      <c r="FC34" s="13">
        <f t="shared" si="54"/>
        <v>11.510556607534113</v>
      </c>
      <c r="FD34" s="12">
        <f t="shared" si="55"/>
        <v>0.99998997638381992</v>
      </c>
      <c r="FE34" s="13"/>
      <c r="FF34" s="23">
        <f t="shared" si="56"/>
        <v>-6.6605554442369819</v>
      </c>
      <c r="FG34" s="13">
        <f t="shared" si="57"/>
        <v>10.691372608261709</v>
      </c>
      <c r="FH34" s="13">
        <f t="shared" si="58"/>
        <v>11.208717374430421</v>
      </c>
      <c r="FI34" s="24">
        <f t="shared" si="109"/>
        <v>0.99996715034234518</v>
      </c>
      <c r="FJ34" s="25">
        <f t="shared" si="59"/>
        <v>0.99999001849534963</v>
      </c>
      <c r="FK34" s="13"/>
      <c r="FL34" s="23">
        <f t="shared" si="110"/>
        <v>9.9978507438584074</v>
      </c>
      <c r="FM34" s="13">
        <f t="shared" si="124"/>
        <v>-6.764577328270696</v>
      </c>
      <c r="FN34" s="13">
        <f t="shared" si="111"/>
        <v>3.8939549050845113</v>
      </c>
      <c r="FO34" s="13">
        <f t="shared" si="60"/>
        <v>0.99987235915880779</v>
      </c>
      <c r="FP34" s="23">
        <f t="shared" si="112"/>
        <v>3.8938723654019718</v>
      </c>
      <c r="FQ34" s="13">
        <f t="shared" si="113"/>
        <v>0.99987233490086525</v>
      </c>
      <c r="FR34" s="13">
        <f t="shared" si="114"/>
        <v>3.8939047161200371</v>
      </c>
      <c r="FS34" s="13">
        <f t="shared" si="115"/>
        <v>0.99987234440910622</v>
      </c>
      <c r="FT34" s="13">
        <f t="shared" si="116"/>
        <v>3.8938640509650853</v>
      </c>
      <c r="FU34" s="12">
        <f t="shared" si="117"/>
        <v>0.9998723324570441</v>
      </c>
      <c r="FV34" s="22"/>
      <c r="FW34" s="11">
        <f t="shared" si="61"/>
        <v>3.8</v>
      </c>
      <c r="FX34" s="10">
        <f t="shared" si="62"/>
        <v>3.04926606198035</v>
      </c>
      <c r="FY34" s="10">
        <f t="shared" si="63"/>
        <v>7.6414996220710529</v>
      </c>
      <c r="FZ34" s="5">
        <f t="shared" si="64"/>
        <v>-6.4342365835222965</v>
      </c>
      <c r="GA34" s="10">
        <f t="shared" si="65"/>
        <v>0.52219906954033835</v>
      </c>
      <c r="GB34" s="9">
        <f t="shared" si="118"/>
        <v>9.9978507438584074</v>
      </c>
      <c r="GC34" s="8">
        <f t="shared" si="119"/>
        <v>-6.764577328270696</v>
      </c>
      <c r="GD34" s="8">
        <f t="shared" si="120"/>
        <v>0.99987235915880779</v>
      </c>
      <c r="GE34" s="7">
        <f t="shared" si="121"/>
        <v>0.99987233490086525</v>
      </c>
      <c r="GF34" s="6">
        <f t="shared" si="66"/>
        <v>0.99996715034234518</v>
      </c>
      <c r="GG34" s="5">
        <f t="shared" si="67"/>
        <v>0.99999001849534963</v>
      </c>
      <c r="GH34" s="4">
        <f t="shared" si="68"/>
        <v>0.99998997638381992</v>
      </c>
      <c r="GI34" s="4">
        <f t="shared" si="69"/>
        <v>0.99999683773233983</v>
      </c>
      <c r="GJ34" s="4">
        <f t="shared" si="70"/>
        <v>0.99415204419979974</v>
      </c>
      <c r="GK34" s="1"/>
    </row>
    <row r="35" spans="1:193" x14ac:dyDescent="0.4">
      <c r="A35" s="34"/>
      <c r="B35" s="21"/>
      <c r="C35" s="21"/>
      <c r="D35" s="34"/>
      <c r="E35" s="34"/>
      <c r="F35" s="20" t="s">
        <v>83</v>
      </c>
      <c r="G35" s="19">
        <v>1050</v>
      </c>
      <c r="H35" s="18">
        <v>1E-4</v>
      </c>
      <c r="I35" s="17">
        <v>-1</v>
      </c>
      <c r="J35" s="16">
        <v>55.2</v>
      </c>
      <c r="K35" s="16">
        <v>0.34</v>
      </c>
      <c r="L35" s="16">
        <v>21.9</v>
      </c>
      <c r="M35" s="16">
        <v>0</v>
      </c>
      <c r="N35" s="16">
        <v>2.8</v>
      </c>
      <c r="O35" s="16">
        <v>0</v>
      </c>
      <c r="P35" s="16">
        <v>0.1</v>
      </c>
      <c r="Q35" s="16">
        <v>1.8</v>
      </c>
      <c r="R35" s="16">
        <v>8.1999999999999993</v>
      </c>
      <c r="S35" s="16">
        <v>8.6</v>
      </c>
      <c r="T35" s="16">
        <v>0</v>
      </c>
      <c r="U35" s="15">
        <v>0</v>
      </c>
      <c r="V35" s="16"/>
      <c r="W35" s="28">
        <f t="shared" si="71"/>
        <v>55.791388720436643</v>
      </c>
      <c r="X35" s="24">
        <f t="shared" si="125"/>
        <v>0.34364261168384885</v>
      </c>
      <c r="Y35" s="24">
        <f t="shared" si="125"/>
        <v>22.13462704669497</v>
      </c>
      <c r="Z35" s="24">
        <f t="shared" si="125"/>
        <v>0</v>
      </c>
      <c r="AA35" s="24">
        <f t="shared" si="125"/>
        <v>2.8299979785728726</v>
      </c>
      <c r="AB35" s="24">
        <f t="shared" si="125"/>
        <v>0</v>
      </c>
      <c r="AC35" s="24">
        <f t="shared" si="125"/>
        <v>0.10107135637760262</v>
      </c>
      <c r="AD35" s="24">
        <f t="shared" si="125"/>
        <v>1.819284414796847</v>
      </c>
      <c r="AE35" s="24">
        <f t="shared" si="125"/>
        <v>8.2878512229634129</v>
      </c>
      <c r="AF35" s="24">
        <f t="shared" si="125"/>
        <v>8.6921366484738236</v>
      </c>
      <c r="AG35" s="24">
        <f t="shared" si="125"/>
        <v>0</v>
      </c>
      <c r="AH35" s="24">
        <f t="shared" si="125"/>
        <v>0</v>
      </c>
      <c r="AI35" s="14">
        <f t="shared" si="72"/>
        <v>100.00000000000001</v>
      </c>
      <c r="AJ35" s="26"/>
      <c r="AK35" s="50">
        <f t="shared" si="73"/>
        <v>0.92846378299944488</v>
      </c>
      <c r="AL35" s="47">
        <f t="shared" si="74"/>
        <v>4.3009087820256421E-3</v>
      </c>
      <c r="AM35" s="47">
        <f t="shared" si="75"/>
        <v>0.21709128135244185</v>
      </c>
      <c r="AN35" s="49">
        <f t="shared" si="76"/>
        <v>0</v>
      </c>
      <c r="AO35" s="49">
        <f t="shared" si="77"/>
        <v>3.938758494882217E-2</v>
      </c>
      <c r="AP35" s="47">
        <f t="shared" si="78"/>
        <v>0</v>
      </c>
      <c r="AQ35" s="47">
        <f t="shared" si="79"/>
        <v>2.506730068888954E-3</v>
      </c>
      <c r="AR35" s="47">
        <f t="shared" si="80"/>
        <v>3.2440877581969459E-2</v>
      </c>
      <c r="AS35" s="47">
        <f t="shared" si="81"/>
        <v>0.13371815461380143</v>
      </c>
      <c r="AT35" s="47">
        <f t="shared" si="82"/>
        <v>9.2273212828809167E-2</v>
      </c>
      <c r="AU35" s="47">
        <f t="shared" si="83"/>
        <v>0</v>
      </c>
      <c r="AV35" s="47">
        <f t="shared" si="84"/>
        <v>0</v>
      </c>
      <c r="AW35" s="47">
        <f t="shared" si="85"/>
        <v>1.4501825331762037</v>
      </c>
      <c r="AX35" s="47">
        <f t="shared" si="86"/>
        <v>3.30095060165825E-2</v>
      </c>
      <c r="AY35" s="46">
        <f t="shared" si="87"/>
        <v>3.1900525256494837E-3</v>
      </c>
      <c r="AZ35" s="26"/>
      <c r="BA35" s="23">
        <f t="shared" si="88"/>
        <v>0.64023925385855707</v>
      </c>
      <c r="BB35" s="13">
        <f t="shared" si="6"/>
        <v>2.9657706417175983E-3</v>
      </c>
      <c r="BC35" s="13">
        <f t="shared" si="7"/>
        <v>0.14969928018438233</v>
      </c>
      <c r="BD35" s="13">
        <f t="shared" si="8"/>
        <v>0</v>
      </c>
      <c r="BE35" s="13">
        <f t="shared" si="9"/>
        <v>2.7160432599167433E-2</v>
      </c>
      <c r="BF35" s="13">
        <f t="shared" si="10"/>
        <v>2.2762311130782111E-2</v>
      </c>
      <c r="BG35" s="13">
        <f t="shared" si="11"/>
        <v>2.1997593079973181E-3</v>
      </c>
      <c r="BH35" s="13">
        <f t="shared" si="12"/>
        <v>0</v>
      </c>
      <c r="BI35" s="13">
        <f t="shared" si="13"/>
        <v>1.7285617579455256E-3</v>
      </c>
      <c r="BJ35" s="13">
        <f t="shared" si="14"/>
        <v>2.2370202950188028E-2</v>
      </c>
      <c r="BK35" s="13">
        <f t="shared" si="15"/>
        <v>9.2207809399642016E-2</v>
      </c>
      <c r="BL35" s="13">
        <f t="shared" si="16"/>
        <v>6.3628688608399861E-2</v>
      </c>
      <c r="BM35" s="13">
        <f t="shared" si="17"/>
        <v>0</v>
      </c>
      <c r="BN35" s="13">
        <f t="shared" si="18"/>
        <v>0</v>
      </c>
      <c r="BO35" s="12">
        <f t="shared" si="89"/>
        <v>0.99999999999999978</v>
      </c>
      <c r="BP35" s="13"/>
      <c r="BQ35" s="23">
        <f t="shared" si="90"/>
        <v>1.8569275659988898</v>
      </c>
      <c r="BR35" s="13">
        <f t="shared" si="19"/>
        <v>8.6018175640512843E-3</v>
      </c>
      <c r="BS35" s="13">
        <f t="shared" si="20"/>
        <v>0.65101844254985208</v>
      </c>
      <c r="BT35" s="13">
        <f t="shared" si="21"/>
        <v>0</v>
      </c>
      <c r="BU35" s="13">
        <f t="shared" si="22"/>
        <v>3.938758494882217E-2</v>
      </c>
      <c r="BV35" s="13">
        <f t="shared" si="91"/>
        <v>3.30095060165825E-2</v>
      </c>
      <c r="BW35" s="24">
        <f t="shared" si="92"/>
        <v>9.5701575769484518E-3</v>
      </c>
      <c r="BX35" s="13">
        <f t="shared" si="23"/>
        <v>0</v>
      </c>
      <c r="BY35" s="13">
        <f t="shared" si="24"/>
        <v>2.5079741036625959E-3</v>
      </c>
      <c r="BZ35" s="13">
        <f t="shared" si="25"/>
        <v>3.2429312206717416E-2</v>
      </c>
      <c r="CA35" s="13">
        <f t="shared" si="26"/>
        <v>0.13367501972521634</v>
      </c>
      <c r="CB35" s="13">
        <f t="shared" si="27"/>
        <v>9.2273212828809167E-2</v>
      </c>
      <c r="CC35" s="13">
        <f t="shared" si="28"/>
        <v>0</v>
      </c>
      <c r="CD35" s="13">
        <f t="shared" si="93"/>
        <v>0</v>
      </c>
      <c r="CE35" s="12">
        <f t="shared" si="94"/>
        <v>2.816820929926021</v>
      </c>
      <c r="CF35" s="13"/>
      <c r="CG35" s="23">
        <f t="shared" si="127"/>
        <v>0.65922811999542297</v>
      </c>
      <c r="CH35" s="13">
        <f t="shared" si="127"/>
        <v>3.0537324799972984E-3</v>
      </c>
      <c r="CI35" s="13">
        <f t="shared" si="127"/>
        <v>0.23111815012214851</v>
      </c>
      <c r="CJ35" s="13">
        <f t="shared" si="127"/>
        <v>0</v>
      </c>
      <c r="CK35" s="13">
        <f t="shared" si="126"/>
        <v>1.3982992149187353E-2</v>
      </c>
      <c r="CL35" s="13">
        <f t="shared" si="126"/>
        <v>1.1718709437965387E-2</v>
      </c>
      <c r="CM35" s="13">
        <f t="shared" si="126"/>
        <v>3.3975030060571852E-3</v>
      </c>
      <c r="CN35" s="13">
        <f t="shared" si="126"/>
        <v>0</v>
      </c>
      <c r="CO35" s="13">
        <f t="shared" si="126"/>
        <v>8.9035624416794706E-4</v>
      </c>
      <c r="CP35" s="13">
        <f t="shared" si="126"/>
        <v>1.1512734750791957E-2</v>
      </c>
      <c r="CQ35" s="13">
        <f t="shared" si="126"/>
        <v>4.7455987814151571E-2</v>
      </c>
      <c r="CR35" s="13">
        <f t="shared" si="126"/>
        <v>3.2757926444132383E-2</v>
      </c>
      <c r="CS35" s="13">
        <f t="shared" si="126"/>
        <v>0</v>
      </c>
      <c r="CT35" s="13">
        <f t="shared" si="126"/>
        <v>0</v>
      </c>
      <c r="CU35" s="12">
        <f t="shared" si="30"/>
        <v>1</v>
      </c>
      <c r="CV35" s="26"/>
      <c r="CW35" s="23">
        <f t="shared" si="31"/>
        <v>0.92846378299944488</v>
      </c>
      <c r="CX35" s="13">
        <f t="shared" si="32"/>
        <v>4.3009087820256421E-3</v>
      </c>
      <c r="CY35" s="13">
        <f t="shared" si="33"/>
        <v>0.43401229503323469</v>
      </c>
      <c r="CZ35" s="13">
        <f t="shared" si="34"/>
        <v>0</v>
      </c>
      <c r="DA35" s="13">
        <f t="shared" si="35"/>
        <v>2.506963788300836E-2</v>
      </c>
      <c r="DB35" s="13">
        <f t="shared" si="36"/>
        <v>3.30095060165825E-2</v>
      </c>
      <c r="DC35" s="24">
        <f t="shared" si="37"/>
        <v>6.3801050512989673E-3</v>
      </c>
      <c r="DD35" s="13">
        <f t="shared" si="38"/>
        <v>0</v>
      </c>
      <c r="DE35" s="13">
        <f t="shared" si="39"/>
        <v>2.5079741036625959E-3</v>
      </c>
      <c r="DF35" s="13">
        <f t="shared" si="40"/>
        <v>3.2429312206717416E-2</v>
      </c>
      <c r="DG35" s="13">
        <f t="shared" si="41"/>
        <v>0.26735003945043267</v>
      </c>
      <c r="DH35" s="13">
        <f t="shared" si="42"/>
        <v>0.18454642565761833</v>
      </c>
      <c r="DI35" s="13">
        <f t="shared" si="43"/>
        <v>0</v>
      </c>
      <c r="DJ35" s="13">
        <f t="shared" si="95"/>
        <v>0</v>
      </c>
      <c r="DK35" s="12">
        <f t="shared" si="96"/>
        <v>1.8786803761161448</v>
      </c>
      <c r="DL35" s="26"/>
      <c r="DM35" s="23">
        <f t="shared" si="97"/>
        <v>0.49421061443079922</v>
      </c>
      <c r="DN35" s="13">
        <f t="shared" si="97"/>
        <v>2.2893243772083502E-3</v>
      </c>
      <c r="DO35" s="13">
        <f t="shared" si="97"/>
        <v>0.23101976288828971</v>
      </c>
      <c r="DP35" s="13">
        <f t="shared" si="97"/>
        <v>0</v>
      </c>
      <c r="DQ35" s="13">
        <f t="shared" si="97"/>
        <v>1.3344280486303697E-2</v>
      </c>
      <c r="DR35" s="13">
        <f t="shared" si="97"/>
        <v>1.7570581156984295E-2</v>
      </c>
      <c r="DS35" s="13">
        <f t="shared" si="97"/>
        <v>3.3960566855383671E-3</v>
      </c>
      <c r="DT35" s="13">
        <f t="shared" si="97"/>
        <v>0</v>
      </c>
      <c r="DU35" s="13">
        <f t="shared" si="97"/>
        <v>1.3349658279006511E-3</v>
      </c>
      <c r="DV35" s="13">
        <f t="shared" si="97"/>
        <v>1.7261750651677937E-2</v>
      </c>
      <c r="DW35" s="13">
        <f t="shared" si="97"/>
        <v>0.1423073572542094</v>
      </c>
      <c r="DX35" s="13">
        <f t="shared" si="97"/>
        <v>9.8231944083610953E-2</v>
      </c>
      <c r="DY35" s="13">
        <f t="shared" si="97"/>
        <v>0</v>
      </c>
      <c r="DZ35" s="13">
        <f t="shared" si="97"/>
        <v>0</v>
      </c>
      <c r="EA35" s="12">
        <f t="shared" si="45"/>
        <v>1</v>
      </c>
      <c r="EB35" s="26"/>
      <c r="EC35" s="30">
        <f t="shared" si="46"/>
        <v>1323</v>
      </c>
      <c r="ED35" s="14">
        <f t="shared" si="98"/>
        <v>100000</v>
      </c>
      <c r="EE35" s="29"/>
      <c r="EF35" s="184">
        <f t="shared" si="122"/>
        <v>-11.234236583522296</v>
      </c>
      <c r="EG35" s="13">
        <f t="shared" si="99"/>
        <v>-1</v>
      </c>
      <c r="EH35" s="13">
        <f t="shared" si="100"/>
        <v>-1.7507339380196498</v>
      </c>
      <c r="EI35" s="12">
        <f t="shared" si="47"/>
        <v>2.8414996220710531</v>
      </c>
      <c r="EJ35" s="29"/>
      <c r="EK35" s="28">
        <f t="shared" si="101"/>
        <v>-2.3370758174381332</v>
      </c>
      <c r="EL35" s="24">
        <f t="shared" si="102"/>
        <v>-1.0147962733122593</v>
      </c>
      <c r="EM35" s="24">
        <f t="shared" si="103"/>
        <v>9.6609730073446198E-2</v>
      </c>
      <c r="EN35" s="24">
        <f t="shared" si="104"/>
        <v>2.2762311130782115E-2</v>
      </c>
      <c r="EO35" s="24">
        <f t="shared" si="105"/>
        <v>2.1990607341926599E-3</v>
      </c>
      <c r="EP35" s="24">
        <f t="shared" si="106"/>
        <v>0.16193120092351318</v>
      </c>
      <c r="EQ35" s="24">
        <f t="shared" si="107"/>
        <v>-2.3367581987113697</v>
      </c>
      <c r="ER35" s="24">
        <f t="shared" si="48"/>
        <v>-25.865758488754249</v>
      </c>
      <c r="ES35" s="25">
        <f t="shared" si="49"/>
        <v>-11.231332387648393</v>
      </c>
      <c r="ET35" s="26"/>
      <c r="EU35" s="23">
        <f t="shared" si="123"/>
        <v>-3.7898571767997744</v>
      </c>
      <c r="EV35" s="12">
        <f t="shared" si="50"/>
        <v>1.6220803805455652E-4</v>
      </c>
      <c r="EW35" s="26"/>
      <c r="EX35" s="27">
        <f t="shared" si="108"/>
        <v>7.9426514400130776E-5</v>
      </c>
      <c r="EY35" s="26"/>
      <c r="EZ35" s="23">
        <f t="shared" si="51"/>
        <v>-5.8653038904465546</v>
      </c>
      <c r="FA35" s="13">
        <f t="shared" si="52"/>
        <v>17.396596675262423</v>
      </c>
      <c r="FB35" s="13">
        <f t="shared" si="53"/>
        <v>-21.845149910644157</v>
      </c>
      <c r="FC35" s="13">
        <f t="shared" si="54"/>
        <v>-6.6285209004204617</v>
      </c>
      <c r="FD35" s="12">
        <f t="shared" si="55"/>
        <v>1.3203714976364189E-3</v>
      </c>
      <c r="FE35" s="13"/>
      <c r="FF35" s="23">
        <f t="shared" si="56"/>
        <v>-6.2789717252741211</v>
      </c>
      <c r="FG35" s="13">
        <f t="shared" si="57"/>
        <v>11.058766913814356</v>
      </c>
      <c r="FH35" s="13">
        <f t="shared" si="58"/>
        <v>11.533064572985609</v>
      </c>
      <c r="FI35" s="24">
        <f t="shared" si="109"/>
        <v>7.400520364408969E-6</v>
      </c>
      <c r="FJ35" s="25">
        <f t="shared" si="59"/>
        <v>2.2057361031890821E-5</v>
      </c>
      <c r="FK35" s="13"/>
      <c r="FL35" s="23">
        <f t="shared" si="110"/>
        <v>10.535368458090744</v>
      </c>
      <c r="FM35" s="13">
        <f t="shared" si="124"/>
        <v>-5.9792679599831606</v>
      </c>
      <c r="FN35" s="13">
        <f t="shared" si="111"/>
        <v>-5.9538367489706872</v>
      </c>
      <c r="FO35" s="13">
        <f t="shared" si="60"/>
        <v>1.1121484683185301E-6</v>
      </c>
      <c r="FP35" s="23">
        <f t="shared" si="112"/>
        <v>-5.9539192886532284</v>
      </c>
      <c r="FQ35" s="13">
        <f t="shared" si="113"/>
        <v>1.1119371196022243E-6</v>
      </c>
      <c r="FR35" s="13">
        <f t="shared" si="114"/>
        <v>-5.9538869379351631</v>
      </c>
      <c r="FS35" s="13">
        <f t="shared" si="115"/>
        <v>1.1120199510106232E-6</v>
      </c>
      <c r="FT35" s="13">
        <f t="shared" si="116"/>
        <v>-5.9539276030901114</v>
      </c>
      <c r="FU35" s="12">
        <f t="shared" si="117"/>
        <v>1.1119158320749278E-6</v>
      </c>
      <c r="FV35" s="22"/>
      <c r="FW35" s="11">
        <f t="shared" si="61"/>
        <v>-1</v>
      </c>
      <c r="FX35" s="10">
        <f t="shared" si="62"/>
        <v>-1.7507339380196498</v>
      </c>
      <c r="FY35" s="10">
        <f t="shared" si="63"/>
        <v>2.8414996220710531</v>
      </c>
      <c r="FZ35" s="5">
        <f t="shared" si="64"/>
        <v>-11.234236583522296</v>
      </c>
      <c r="GA35" s="10">
        <f t="shared" si="65"/>
        <v>0.16193120092351318</v>
      </c>
      <c r="GB35" s="9">
        <f t="shared" si="118"/>
        <v>10.535368458090744</v>
      </c>
      <c r="GC35" s="8">
        <f t="shared" si="119"/>
        <v>-5.9792679599831606</v>
      </c>
      <c r="GD35" s="8">
        <f t="shared" si="120"/>
        <v>1.1121484683185301E-6</v>
      </c>
      <c r="GE35" s="7">
        <f t="shared" si="121"/>
        <v>1.1119371196022243E-6</v>
      </c>
      <c r="GF35" s="6">
        <f t="shared" si="66"/>
        <v>7.400520364408969E-6</v>
      </c>
      <c r="GG35" s="5">
        <f t="shared" si="67"/>
        <v>2.2057361031890821E-5</v>
      </c>
      <c r="GH35" s="4">
        <f t="shared" si="68"/>
        <v>1.3203714976364189E-3</v>
      </c>
      <c r="GI35" s="4">
        <f t="shared" si="69"/>
        <v>7.9426514400130776E-5</v>
      </c>
      <c r="GJ35" s="4">
        <f t="shared" si="70"/>
        <v>1.6220803805455652E-4</v>
      </c>
      <c r="GK35" s="1"/>
    </row>
    <row r="36" spans="1:193" x14ac:dyDescent="0.4">
      <c r="A36" s="34"/>
      <c r="B36" s="21"/>
      <c r="C36" s="21"/>
      <c r="D36" s="34"/>
      <c r="E36" s="34"/>
      <c r="F36" s="20" t="s">
        <v>83</v>
      </c>
      <c r="G36" s="19">
        <v>1050</v>
      </c>
      <c r="H36" s="18">
        <v>1E-4</v>
      </c>
      <c r="I36" s="17">
        <v>-0.6</v>
      </c>
      <c r="J36" s="16">
        <v>55.2</v>
      </c>
      <c r="K36" s="16">
        <v>0.34</v>
      </c>
      <c r="L36" s="16">
        <v>21.9</v>
      </c>
      <c r="M36" s="16">
        <v>0</v>
      </c>
      <c r="N36" s="16">
        <v>2.8</v>
      </c>
      <c r="O36" s="16">
        <v>0</v>
      </c>
      <c r="P36" s="16">
        <v>0.1</v>
      </c>
      <c r="Q36" s="16">
        <v>1.8</v>
      </c>
      <c r="R36" s="16">
        <v>8.1999999999999993</v>
      </c>
      <c r="S36" s="16">
        <v>8.6</v>
      </c>
      <c r="T36" s="16">
        <v>0</v>
      </c>
      <c r="U36" s="15">
        <v>0</v>
      </c>
      <c r="V36" s="16"/>
      <c r="W36" s="28">
        <f t="shared" si="71"/>
        <v>55.791388720436643</v>
      </c>
      <c r="X36" s="24">
        <f t="shared" si="125"/>
        <v>0.34364261168384885</v>
      </c>
      <c r="Y36" s="24">
        <f t="shared" si="125"/>
        <v>22.13462704669497</v>
      </c>
      <c r="Z36" s="24">
        <f t="shared" si="125"/>
        <v>0</v>
      </c>
      <c r="AA36" s="24">
        <f t="shared" si="125"/>
        <v>2.8299979785728726</v>
      </c>
      <c r="AB36" s="24">
        <f t="shared" si="125"/>
        <v>0</v>
      </c>
      <c r="AC36" s="24">
        <f t="shared" si="125"/>
        <v>0.10107135637760262</v>
      </c>
      <c r="AD36" s="24">
        <f t="shared" si="125"/>
        <v>1.819284414796847</v>
      </c>
      <c r="AE36" s="24">
        <f t="shared" si="125"/>
        <v>8.2878512229634129</v>
      </c>
      <c r="AF36" s="24">
        <f t="shared" si="125"/>
        <v>8.6921366484738236</v>
      </c>
      <c r="AG36" s="24">
        <f t="shared" si="125"/>
        <v>0</v>
      </c>
      <c r="AH36" s="24">
        <f t="shared" si="125"/>
        <v>0</v>
      </c>
      <c r="AI36" s="14">
        <f t="shared" si="72"/>
        <v>100.00000000000001</v>
      </c>
      <c r="AJ36" s="26"/>
      <c r="AK36" s="50">
        <f t="shared" si="73"/>
        <v>0.92846378299944488</v>
      </c>
      <c r="AL36" s="47">
        <f t="shared" si="74"/>
        <v>4.3009087820256421E-3</v>
      </c>
      <c r="AM36" s="47">
        <f t="shared" si="75"/>
        <v>0.21709128135244185</v>
      </c>
      <c r="AN36" s="49">
        <f t="shared" si="76"/>
        <v>0</v>
      </c>
      <c r="AO36" s="49">
        <f t="shared" si="77"/>
        <v>3.938758494882217E-2</v>
      </c>
      <c r="AP36" s="47">
        <f t="shared" si="78"/>
        <v>0</v>
      </c>
      <c r="AQ36" s="47">
        <f t="shared" si="79"/>
        <v>2.506730068888954E-3</v>
      </c>
      <c r="AR36" s="47">
        <f t="shared" si="80"/>
        <v>3.2440877581969459E-2</v>
      </c>
      <c r="AS36" s="47">
        <f t="shared" si="81"/>
        <v>0.13371815461380143</v>
      </c>
      <c r="AT36" s="47">
        <f t="shared" si="82"/>
        <v>9.2273212828809167E-2</v>
      </c>
      <c r="AU36" s="47">
        <f t="shared" si="83"/>
        <v>0</v>
      </c>
      <c r="AV36" s="47">
        <f t="shared" si="84"/>
        <v>0</v>
      </c>
      <c r="AW36" s="47">
        <f t="shared" si="85"/>
        <v>1.4501825331762037</v>
      </c>
      <c r="AX36" s="47">
        <f t="shared" si="86"/>
        <v>3.1984808713486523E-2</v>
      </c>
      <c r="AY36" s="46">
        <f t="shared" si="87"/>
        <v>3.702563934569861E-3</v>
      </c>
      <c r="AZ36" s="26"/>
      <c r="BA36" s="23">
        <f t="shared" si="88"/>
        <v>0.64023925385855707</v>
      </c>
      <c r="BB36" s="13">
        <f t="shared" si="6"/>
        <v>2.9657706417175983E-3</v>
      </c>
      <c r="BC36" s="13">
        <f t="shared" si="7"/>
        <v>0.14969928018438233</v>
      </c>
      <c r="BD36" s="13">
        <f t="shared" si="8"/>
        <v>0</v>
      </c>
      <c r="BE36" s="13">
        <f t="shared" si="9"/>
        <v>2.7160432599167433E-2</v>
      </c>
      <c r="BF36" s="13">
        <f t="shared" si="10"/>
        <v>2.2055712285703157E-2</v>
      </c>
      <c r="BG36" s="13">
        <f t="shared" si="11"/>
        <v>2.5531709628721496E-3</v>
      </c>
      <c r="BH36" s="13">
        <f t="shared" si="12"/>
        <v>0</v>
      </c>
      <c r="BI36" s="13">
        <f t="shared" si="13"/>
        <v>1.7285617579455256E-3</v>
      </c>
      <c r="BJ36" s="13">
        <f t="shared" si="14"/>
        <v>2.2370202950188028E-2</v>
      </c>
      <c r="BK36" s="13">
        <f t="shared" si="15"/>
        <v>9.2207809399642016E-2</v>
      </c>
      <c r="BL36" s="13">
        <f t="shared" si="16"/>
        <v>6.3628688608399861E-2</v>
      </c>
      <c r="BM36" s="13">
        <f t="shared" si="17"/>
        <v>0</v>
      </c>
      <c r="BN36" s="13">
        <f t="shared" si="18"/>
        <v>0</v>
      </c>
      <c r="BO36" s="12">
        <f t="shared" si="89"/>
        <v>0.99999999999999978</v>
      </c>
      <c r="BP36" s="13"/>
      <c r="BQ36" s="23">
        <f t="shared" si="90"/>
        <v>1.8569275659988898</v>
      </c>
      <c r="BR36" s="13">
        <f t="shared" si="19"/>
        <v>8.6018175640512843E-3</v>
      </c>
      <c r="BS36" s="13">
        <f t="shared" si="20"/>
        <v>0.65101844254985208</v>
      </c>
      <c r="BT36" s="13">
        <f t="shared" si="21"/>
        <v>0</v>
      </c>
      <c r="BU36" s="13">
        <f t="shared" si="22"/>
        <v>3.938758494882217E-2</v>
      </c>
      <c r="BV36" s="13">
        <f t="shared" si="91"/>
        <v>3.1984808713486523E-2</v>
      </c>
      <c r="BW36" s="24">
        <f t="shared" si="92"/>
        <v>1.1107691803709584E-2</v>
      </c>
      <c r="BX36" s="13">
        <f t="shared" si="23"/>
        <v>0</v>
      </c>
      <c r="BY36" s="13">
        <f t="shared" si="24"/>
        <v>2.5079741036625959E-3</v>
      </c>
      <c r="BZ36" s="13">
        <f t="shared" si="25"/>
        <v>3.2429312206717416E-2</v>
      </c>
      <c r="CA36" s="13">
        <f t="shared" si="26"/>
        <v>0.13367501972521634</v>
      </c>
      <c r="CB36" s="13">
        <f t="shared" si="27"/>
        <v>9.2273212828809167E-2</v>
      </c>
      <c r="CC36" s="13">
        <f t="shared" si="28"/>
        <v>0</v>
      </c>
      <c r="CD36" s="13">
        <f t="shared" si="93"/>
        <v>0</v>
      </c>
      <c r="CE36" s="12">
        <f t="shared" si="94"/>
        <v>2.816820929926021</v>
      </c>
      <c r="CF36" s="13"/>
      <c r="CG36" s="23">
        <f t="shared" si="127"/>
        <v>0.65922811999542297</v>
      </c>
      <c r="CH36" s="13">
        <f t="shared" si="127"/>
        <v>3.0537324799972984E-3</v>
      </c>
      <c r="CI36" s="13">
        <f t="shared" si="127"/>
        <v>0.23111815012214851</v>
      </c>
      <c r="CJ36" s="13">
        <f t="shared" si="127"/>
        <v>0</v>
      </c>
      <c r="CK36" s="13">
        <f t="shared" si="126"/>
        <v>1.3982992149187353E-2</v>
      </c>
      <c r="CL36" s="13">
        <f t="shared" si="126"/>
        <v>1.1354931502275706E-2</v>
      </c>
      <c r="CM36" s="13">
        <f t="shared" si="126"/>
        <v>3.9433432511456487E-3</v>
      </c>
      <c r="CN36" s="13">
        <f t="shared" si="126"/>
        <v>0</v>
      </c>
      <c r="CO36" s="13">
        <f t="shared" si="126"/>
        <v>8.9035624416794706E-4</v>
      </c>
      <c r="CP36" s="13">
        <f t="shared" si="126"/>
        <v>1.1512734750791957E-2</v>
      </c>
      <c r="CQ36" s="13">
        <f t="shared" si="126"/>
        <v>4.7455987814151571E-2</v>
      </c>
      <c r="CR36" s="13">
        <f t="shared" si="126"/>
        <v>3.2757926444132383E-2</v>
      </c>
      <c r="CS36" s="13">
        <f t="shared" si="126"/>
        <v>0</v>
      </c>
      <c r="CT36" s="13">
        <f t="shared" si="126"/>
        <v>0</v>
      </c>
      <c r="CU36" s="12">
        <f t="shared" si="30"/>
        <v>1</v>
      </c>
      <c r="CV36" s="26"/>
      <c r="CW36" s="23">
        <f t="shared" si="31"/>
        <v>0.92846378299944488</v>
      </c>
      <c r="CX36" s="13">
        <f t="shared" si="32"/>
        <v>4.3009087820256421E-3</v>
      </c>
      <c r="CY36" s="13">
        <f t="shared" si="33"/>
        <v>0.43401229503323469</v>
      </c>
      <c r="CZ36" s="13">
        <f t="shared" si="34"/>
        <v>0</v>
      </c>
      <c r="DA36" s="13">
        <f t="shared" si="35"/>
        <v>2.506963788300836E-2</v>
      </c>
      <c r="DB36" s="13">
        <f t="shared" si="36"/>
        <v>3.1984808713486523E-2</v>
      </c>
      <c r="DC36" s="24">
        <f t="shared" si="37"/>
        <v>7.4051278691397221E-3</v>
      </c>
      <c r="DD36" s="13">
        <f t="shared" si="38"/>
        <v>0</v>
      </c>
      <c r="DE36" s="13">
        <f t="shared" si="39"/>
        <v>2.5079741036625959E-3</v>
      </c>
      <c r="DF36" s="13">
        <f t="shared" si="40"/>
        <v>3.2429312206717416E-2</v>
      </c>
      <c r="DG36" s="13">
        <f t="shared" si="41"/>
        <v>0.26735003945043267</v>
      </c>
      <c r="DH36" s="13">
        <f t="shared" si="42"/>
        <v>0.18454642565761833</v>
      </c>
      <c r="DI36" s="13">
        <f t="shared" si="43"/>
        <v>0</v>
      </c>
      <c r="DJ36" s="13">
        <f t="shared" si="95"/>
        <v>0</v>
      </c>
      <c r="DK36" s="12">
        <f t="shared" si="96"/>
        <v>1.8786803761161448</v>
      </c>
      <c r="DL36" s="26"/>
      <c r="DM36" s="23">
        <f t="shared" si="97"/>
        <v>0.49421061443079922</v>
      </c>
      <c r="DN36" s="13">
        <f t="shared" si="97"/>
        <v>2.2893243772083502E-3</v>
      </c>
      <c r="DO36" s="13">
        <f t="shared" si="97"/>
        <v>0.23101976288828971</v>
      </c>
      <c r="DP36" s="13">
        <f t="shared" si="97"/>
        <v>0</v>
      </c>
      <c r="DQ36" s="13">
        <f t="shared" si="97"/>
        <v>1.3344280486303697E-2</v>
      </c>
      <c r="DR36" s="13">
        <f t="shared" si="97"/>
        <v>1.702514654441099E-2</v>
      </c>
      <c r="DS36" s="13">
        <f t="shared" si="97"/>
        <v>3.9416645658739338E-3</v>
      </c>
      <c r="DT36" s="13">
        <f t="shared" si="97"/>
        <v>0</v>
      </c>
      <c r="DU36" s="13">
        <f t="shared" si="97"/>
        <v>1.3349658279006511E-3</v>
      </c>
      <c r="DV36" s="13">
        <f t="shared" si="97"/>
        <v>1.7261750651677937E-2</v>
      </c>
      <c r="DW36" s="13">
        <f t="shared" si="97"/>
        <v>0.1423073572542094</v>
      </c>
      <c r="DX36" s="13">
        <f t="shared" si="97"/>
        <v>9.8231944083610953E-2</v>
      </c>
      <c r="DY36" s="13">
        <f t="shared" si="97"/>
        <v>0</v>
      </c>
      <c r="DZ36" s="13">
        <f t="shared" si="97"/>
        <v>0</v>
      </c>
      <c r="EA36" s="12">
        <f t="shared" si="45"/>
        <v>1</v>
      </c>
      <c r="EB36" s="26"/>
      <c r="EC36" s="30">
        <f t="shared" si="46"/>
        <v>1323</v>
      </c>
      <c r="ED36" s="14">
        <f t="shared" si="98"/>
        <v>100000</v>
      </c>
      <c r="EE36" s="29"/>
      <c r="EF36" s="184">
        <f t="shared" si="122"/>
        <v>-10.834236583522296</v>
      </c>
      <c r="EG36" s="13">
        <f t="shared" si="99"/>
        <v>-0.6</v>
      </c>
      <c r="EH36" s="13">
        <f t="shared" si="100"/>
        <v>-1.3507339380196495</v>
      </c>
      <c r="EI36" s="12">
        <f t="shared" si="47"/>
        <v>3.2414996220710535</v>
      </c>
      <c r="EJ36" s="29"/>
      <c r="EK36" s="28">
        <f t="shared" si="101"/>
        <v>-2.1565531461474001</v>
      </c>
      <c r="EL36" s="24">
        <f t="shared" si="102"/>
        <v>-0.93641039780607915</v>
      </c>
      <c r="EM36" s="24">
        <f t="shared" si="103"/>
        <v>0.11572331574104788</v>
      </c>
      <c r="EN36" s="24">
        <f t="shared" si="104"/>
        <v>2.2055712285703161E-2</v>
      </c>
      <c r="EO36" s="24">
        <f t="shared" si="105"/>
        <v>2.5523601567321356E-3</v>
      </c>
      <c r="EP36" s="24">
        <f t="shared" si="106"/>
        <v>0.18794694432152564</v>
      </c>
      <c r="EQ36" s="24">
        <f t="shared" si="107"/>
        <v>-2.1562355274206366</v>
      </c>
      <c r="ER36" s="24">
        <f t="shared" si="48"/>
        <v>-24.944724451556631</v>
      </c>
      <c r="ES36" s="25">
        <f t="shared" si="49"/>
        <v>-10.831404451392372</v>
      </c>
      <c r="ET36" s="26"/>
      <c r="EU36" s="23">
        <f t="shared" si="123"/>
        <v>-3.1626571767997724</v>
      </c>
      <c r="EV36" s="12">
        <f t="shared" si="50"/>
        <v>6.8713852791879582E-4</v>
      </c>
      <c r="EW36" s="26"/>
      <c r="EX36" s="27">
        <f t="shared" si="108"/>
        <v>5.0093617081359819E-4</v>
      </c>
      <c r="EY36" s="26"/>
      <c r="EZ36" s="23">
        <f t="shared" si="51"/>
        <v>-5.8653038904465546</v>
      </c>
      <c r="FA36" s="13">
        <f t="shared" si="52"/>
        <v>17.389794202770009</v>
      </c>
      <c r="FB36" s="13">
        <f t="shared" si="53"/>
        <v>-21.845149910644157</v>
      </c>
      <c r="FC36" s="13">
        <f t="shared" si="54"/>
        <v>-4.7932552985176429</v>
      </c>
      <c r="FD36" s="12">
        <f t="shared" si="55"/>
        <v>8.2173574104379421E-3</v>
      </c>
      <c r="FE36" s="13"/>
      <c r="FF36" s="23">
        <f t="shared" si="56"/>
        <v>-6.2859110024948315</v>
      </c>
      <c r="FG36" s="13">
        <f t="shared" si="57"/>
        <v>11.058766913814356</v>
      </c>
      <c r="FH36" s="13">
        <f t="shared" si="58"/>
        <v>11.533064572985609</v>
      </c>
      <c r="FI36" s="24">
        <f t="shared" si="109"/>
        <v>4.7444310989797067E-5</v>
      </c>
      <c r="FJ36" s="25">
        <f t="shared" si="59"/>
        <v>1.4139726073969516E-4</v>
      </c>
      <c r="FK36" s="13"/>
      <c r="FL36" s="23">
        <f t="shared" si="110"/>
        <v>10.535368458090744</v>
      </c>
      <c r="FM36" s="13">
        <f t="shared" si="124"/>
        <v>-5.9754909373032117</v>
      </c>
      <c r="FN36" s="13">
        <f t="shared" si="111"/>
        <v>-5.1576137716506345</v>
      </c>
      <c r="FO36" s="13">
        <f t="shared" si="60"/>
        <v>6.9563785491943975E-6</v>
      </c>
      <c r="FP36" s="23">
        <f t="shared" si="112"/>
        <v>-5.1576963113331757</v>
      </c>
      <c r="FQ36" s="13">
        <f t="shared" si="113"/>
        <v>6.9550565918730101E-6</v>
      </c>
      <c r="FR36" s="13">
        <f t="shared" si="114"/>
        <v>-5.1576639606151105</v>
      </c>
      <c r="FS36" s="13">
        <f t="shared" si="115"/>
        <v>6.9555746917693284E-6</v>
      </c>
      <c r="FT36" s="13">
        <f t="shared" si="116"/>
        <v>-5.1577046257700587</v>
      </c>
      <c r="FU36" s="12">
        <f t="shared" si="117"/>
        <v>6.9549234416044214E-6</v>
      </c>
      <c r="FV36" s="22"/>
      <c r="FW36" s="11">
        <f t="shared" si="61"/>
        <v>-0.6</v>
      </c>
      <c r="FX36" s="10">
        <f t="shared" si="62"/>
        <v>-1.3507339380196495</v>
      </c>
      <c r="FY36" s="10">
        <f t="shared" si="63"/>
        <v>3.2414996220710535</v>
      </c>
      <c r="FZ36" s="5">
        <f t="shared" si="64"/>
        <v>-10.834236583522296</v>
      </c>
      <c r="GA36" s="10">
        <f t="shared" si="65"/>
        <v>0.18794694432152564</v>
      </c>
      <c r="GB36" s="9">
        <f t="shared" si="118"/>
        <v>10.535368458090744</v>
      </c>
      <c r="GC36" s="8">
        <f t="shared" si="119"/>
        <v>-5.9754909373032117</v>
      </c>
      <c r="GD36" s="8">
        <f t="shared" si="120"/>
        <v>6.9563785491943975E-6</v>
      </c>
      <c r="GE36" s="7">
        <f t="shared" si="121"/>
        <v>6.9550565918730101E-6</v>
      </c>
      <c r="GF36" s="6">
        <f t="shared" si="66"/>
        <v>4.7444310989797067E-5</v>
      </c>
      <c r="GG36" s="5">
        <f t="shared" si="67"/>
        <v>1.4139726073969516E-4</v>
      </c>
      <c r="GH36" s="4">
        <f t="shared" si="68"/>
        <v>8.2173574104379421E-3</v>
      </c>
      <c r="GI36" s="4">
        <f t="shared" si="69"/>
        <v>5.0093617081359819E-4</v>
      </c>
      <c r="GJ36" s="4">
        <f t="shared" si="70"/>
        <v>6.8713852791879582E-4</v>
      </c>
      <c r="GK36" s="1"/>
    </row>
    <row r="37" spans="1:193" x14ac:dyDescent="0.4">
      <c r="A37" s="34"/>
      <c r="B37" s="21"/>
      <c r="C37" s="21"/>
      <c r="D37" s="34"/>
      <c r="E37" s="34"/>
      <c r="F37" s="20" t="s">
        <v>83</v>
      </c>
      <c r="G37" s="19">
        <v>1050</v>
      </c>
      <c r="H37" s="18">
        <v>1E-4</v>
      </c>
      <c r="I37" s="17">
        <v>-0.2</v>
      </c>
      <c r="J37" s="16">
        <v>55.2</v>
      </c>
      <c r="K37" s="16">
        <v>0.34</v>
      </c>
      <c r="L37" s="16">
        <v>21.9</v>
      </c>
      <c r="M37" s="16">
        <v>0</v>
      </c>
      <c r="N37" s="16">
        <v>2.8</v>
      </c>
      <c r="O37" s="16">
        <v>0</v>
      </c>
      <c r="P37" s="16">
        <v>0.1</v>
      </c>
      <c r="Q37" s="16">
        <v>1.8</v>
      </c>
      <c r="R37" s="16">
        <v>8.1999999999999993</v>
      </c>
      <c r="S37" s="16">
        <v>8.6</v>
      </c>
      <c r="T37" s="16">
        <v>0</v>
      </c>
      <c r="U37" s="15">
        <v>0</v>
      </c>
      <c r="V37" s="16"/>
      <c r="W37" s="28">
        <f t="shared" si="71"/>
        <v>55.791388720436643</v>
      </c>
      <c r="X37" s="24">
        <f t="shared" si="125"/>
        <v>0.34364261168384885</v>
      </c>
      <c r="Y37" s="24">
        <f t="shared" si="125"/>
        <v>22.13462704669497</v>
      </c>
      <c r="Z37" s="24">
        <f t="shared" si="125"/>
        <v>0</v>
      </c>
      <c r="AA37" s="24">
        <f t="shared" si="125"/>
        <v>2.8299979785728726</v>
      </c>
      <c r="AB37" s="24">
        <f t="shared" si="125"/>
        <v>0</v>
      </c>
      <c r="AC37" s="24">
        <f t="shared" si="125"/>
        <v>0.10107135637760262</v>
      </c>
      <c r="AD37" s="24">
        <f t="shared" si="125"/>
        <v>1.819284414796847</v>
      </c>
      <c r="AE37" s="24">
        <f t="shared" si="125"/>
        <v>8.2878512229634129</v>
      </c>
      <c r="AF37" s="24">
        <f t="shared" si="125"/>
        <v>8.6921366484738236</v>
      </c>
      <c r="AG37" s="24">
        <f t="shared" si="125"/>
        <v>0</v>
      </c>
      <c r="AH37" s="24">
        <f t="shared" si="125"/>
        <v>0</v>
      </c>
      <c r="AI37" s="14">
        <f t="shared" si="72"/>
        <v>100.00000000000001</v>
      </c>
      <c r="AJ37" s="26"/>
      <c r="AK37" s="50">
        <f t="shared" si="73"/>
        <v>0.92846378299944488</v>
      </c>
      <c r="AL37" s="47">
        <f t="shared" si="74"/>
        <v>4.3009087820256421E-3</v>
      </c>
      <c r="AM37" s="47">
        <f t="shared" si="75"/>
        <v>0.21709128135244185</v>
      </c>
      <c r="AN37" s="49">
        <f t="shared" si="76"/>
        <v>0</v>
      </c>
      <c r="AO37" s="49">
        <f t="shared" si="77"/>
        <v>3.938758494882217E-2</v>
      </c>
      <c r="AP37" s="47">
        <f t="shared" si="78"/>
        <v>0</v>
      </c>
      <c r="AQ37" s="47">
        <f t="shared" si="79"/>
        <v>2.506730068888954E-3</v>
      </c>
      <c r="AR37" s="47">
        <f t="shared" si="80"/>
        <v>3.2440877581969459E-2</v>
      </c>
      <c r="AS37" s="47">
        <f t="shared" si="81"/>
        <v>0.13371815461380143</v>
      </c>
      <c r="AT37" s="47">
        <f t="shared" si="82"/>
        <v>9.2273212828809167E-2</v>
      </c>
      <c r="AU37" s="47">
        <f t="shared" si="83"/>
        <v>0</v>
      </c>
      <c r="AV37" s="47">
        <f t="shared" si="84"/>
        <v>0</v>
      </c>
      <c r="AW37" s="47">
        <f t="shared" si="85"/>
        <v>1.4501825331762037</v>
      </c>
      <c r="AX37" s="47">
        <f t="shared" si="86"/>
        <v>3.0838122738785577E-2</v>
      </c>
      <c r="AY37" s="46">
        <f t="shared" si="87"/>
        <v>4.2760890553129351E-3</v>
      </c>
      <c r="AZ37" s="26"/>
      <c r="BA37" s="23">
        <f t="shared" si="88"/>
        <v>0.64023925385855707</v>
      </c>
      <c r="BB37" s="13">
        <f t="shared" si="6"/>
        <v>2.9657706417175983E-3</v>
      </c>
      <c r="BC37" s="13">
        <f t="shared" si="7"/>
        <v>0.14969928018438233</v>
      </c>
      <c r="BD37" s="13">
        <f t="shared" si="8"/>
        <v>0</v>
      </c>
      <c r="BE37" s="13">
        <f t="shared" si="9"/>
        <v>2.7160432599167433E-2</v>
      </c>
      <c r="BF37" s="13">
        <f t="shared" si="10"/>
        <v>2.1264993911658571E-2</v>
      </c>
      <c r="BG37" s="13">
        <f t="shared" si="11"/>
        <v>2.9486557433203967E-3</v>
      </c>
      <c r="BH37" s="13">
        <f t="shared" si="12"/>
        <v>0</v>
      </c>
      <c r="BI37" s="13">
        <f t="shared" si="13"/>
        <v>1.7285617579455256E-3</v>
      </c>
      <c r="BJ37" s="13">
        <f t="shared" si="14"/>
        <v>2.2370202950188028E-2</v>
      </c>
      <c r="BK37" s="13">
        <f t="shared" si="15"/>
        <v>9.2207809399642016E-2</v>
      </c>
      <c r="BL37" s="13">
        <f t="shared" si="16"/>
        <v>6.3628688608399861E-2</v>
      </c>
      <c r="BM37" s="13">
        <f t="shared" si="17"/>
        <v>0</v>
      </c>
      <c r="BN37" s="13">
        <f t="shared" si="18"/>
        <v>0</v>
      </c>
      <c r="BO37" s="12">
        <f t="shared" si="89"/>
        <v>0.99999999999999978</v>
      </c>
      <c r="BP37" s="13"/>
      <c r="BQ37" s="23">
        <f t="shared" si="90"/>
        <v>1.8569275659988898</v>
      </c>
      <c r="BR37" s="13">
        <f t="shared" si="19"/>
        <v>8.6018175640512843E-3</v>
      </c>
      <c r="BS37" s="13">
        <f t="shared" si="20"/>
        <v>0.65101844254985208</v>
      </c>
      <c r="BT37" s="13">
        <f t="shared" si="21"/>
        <v>0</v>
      </c>
      <c r="BU37" s="13">
        <f t="shared" si="22"/>
        <v>3.938758494882217E-2</v>
      </c>
      <c r="BV37" s="13">
        <f t="shared" si="91"/>
        <v>3.0838122738785577E-2</v>
      </c>
      <c r="BW37" s="24">
        <f t="shared" si="92"/>
        <v>1.2828267165938807E-2</v>
      </c>
      <c r="BX37" s="13">
        <f t="shared" si="23"/>
        <v>0</v>
      </c>
      <c r="BY37" s="13">
        <f t="shared" si="24"/>
        <v>2.5079741036625959E-3</v>
      </c>
      <c r="BZ37" s="13">
        <f t="shared" si="25"/>
        <v>3.2429312206717416E-2</v>
      </c>
      <c r="CA37" s="13">
        <f t="shared" si="26"/>
        <v>0.13367501972521634</v>
      </c>
      <c r="CB37" s="13">
        <f t="shared" si="27"/>
        <v>9.2273212828809167E-2</v>
      </c>
      <c r="CC37" s="13">
        <f t="shared" si="28"/>
        <v>0</v>
      </c>
      <c r="CD37" s="13">
        <f t="shared" si="93"/>
        <v>0</v>
      </c>
      <c r="CE37" s="12">
        <f t="shared" si="94"/>
        <v>2.816820929926021</v>
      </c>
      <c r="CF37" s="13"/>
      <c r="CG37" s="23">
        <f t="shared" si="127"/>
        <v>0.65922811999542297</v>
      </c>
      <c r="CH37" s="13">
        <f t="shared" si="127"/>
        <v>3.0537324799972984E-3</v>
      </c>
      <c r="CI37" s="13">
        <f t="shared" si="127"/>
        <v>0.23111815012214851</v>
      </c>
      <c r="CJ37" s="13">
        <f t="shared" si="127"/>
        <v>0</v>
      </c>
      <c r="CK37" s="13">
        <f t="shared" si="126"/>
        <v>1.3982992149187353E-2</v>
      </c>
      <c r="CL37" s="13">
        <f t="shared" si="126"/>
        <v>1.0947846350884466E-2</v>
      </c>
      <c r="CM37" s="13">
        <f t="shared" si="126"/>
        <v>4.554164955837544E-3</v>
      </c>
      <c r="CN37" s="13">
        <f t="shared" si="126"/>
        <v>0</v>
      </c>
      <c r="CO37" s="13">
        <f t="shared" si="126"/>
        <v>8.9035624416794706E-4</v>
      </c>
      <c r="CP37" s="13">
        <f t="shared" si="126"/>
        <v>1.1512734750791957E-2</v>
      </c>
      <c r="CQ37" s="13">
        <f t="shared" si="126"/>
        <v>4.7455987814151571E-2</v>
      </c>
      <c r="CR37" s="13">
        <f t="shared" si="126"/>
        <v>3.2757926444132383E-2</v>
      </c>
      <c r="CS37" s="13">
        <f t="shared" si="126"/>
        <v>0</v>
      </c>
      <c r="CT37" s="13">
        <f t="shared" si="126"/>
        <v>0</v>
      </c>
      <c r="CU37" s="12">
        <f t="shared" si="30"/>
        <v>1</v>
      </c>
      <c r="CV37" s="26"/>
      <c r="CW37" s="23">
        <f t="shared" si="31"/>
        <v>0.92846378299944488</v>
      </c>
      <c r="CX37" s="13">
        <f t="shared" si="32"/>
        <v>4.3009087820256421E-3</v>
      </c>
      <c r="CY37" s="13">
        <f t="shared" si="33"/>
        <v>0.43401229503323469</v>
      </c>
      <c r="CZ37" s="13">
        <f t="shared" si="34"/>
        <v>0</v>
      </c>
      <c r="DA37" s="13">
        <f t="shared" si="35"/>
        <v>2.506963788300836E-2</v>
      </c>
      <c r="DB37" s="13">
        <f t="shared" si="36"/>
        <v>3.0838122738785577E-2</v>
      </c>
      <c r="DC37" s="24">
        <f t="shared" si="37"/>
        <v>8.5521781106258701E-3</v>
      </c>
      <c r="DD37" s="13">
        <f t="shared" si="38"/>
        <v>0</v>
      </c>
      <c r="DE37" s="13">
        <f t="shared" si="39"/>
        <v>2.5079741036625959E-3</v>
      </c>
      <c r="DF37" s="13">
        <f t="shared" si="40"/>
        <v>3.2429312206717416E-2</v>
      </c>
      <c r="DG37" s="13">
        <f t="shared" si="41"/>
        <v>0.26735003945043267</v>
      </c>
      <c r="DH37" s="13">
        <f t="shared" si="42"/>
        <v>0.18454642565761833</v>
      </c>
      <c r="DI37" s="13">
        <f t="shared" si="43"/>
        <v>0</v>
      </c>
      <c r="DJ37" s="13">
        <f t="shared" si="95"/>
        <v>0</v>
      </c>
      <c r="DK37" s="12">
        <f t="shared" si="96"/>
        <v>1.8786803761161448</v>
      </c>
      <c r="DL37" s="26"/>
      <c r="DM37" s="23">
        <f t="shared" si="97"/>
        <v>0.49421061443079922</v>
      </c>
      <c r="DN37" s="13">
        <f t="shared" si="97"/>
        <v>2.2893243772083502E-3</v>
      </c>
      <c r="DO37" s="13">
        <f t="shared" si="97"/>
        <v>0.23101976288828971</v>
      </c>
      <c r="DP37" s="13">
        <f t="shared" si="97"/>
        <v>0</v>
      </c>
      <c r="DQ37" s="13">
        <f t="shared" si="97"/>
        <v>1.3344280486303697E-2</v>
      </c>
      <c r="DR37" s="13">
        <f t="shared" si="97"/>
        <v>1.6414778762174651E-2</v>
      </c>
      <c r="DS37" s="13">
        <f t="shared" si="97"/>
        <v>4.5522262431388454E-3</v>
      </c>
      <c r="DT37" s="13">
        <f t="shared" si="97"/>
        <v>0</v>
      </c>
      <c r="DU37" s="13">
        <f t="shared" si="97"/>
        <v>1.3349658279006511E-3</v>
      </c>
      <c r="DV37" s="13">
        <f t="shared" si="97"/>
        <v>1.7261750651677937E-2</v>
      </c>
      <c r="DW37" s="13">
        <f t="shared" si="97"/>
        <v>0.1423073572542094</v>
      </c>
      <c r="DX37" s="13">
        <f t="shared" si="97"/>
        <v>9.8231944083610953E-2</v>
      </c>
      <c r="DY37" s="13">
        <f t="shared" si="97"/>
        <v>0</v>
      </c>
      <c r="DZ37" s="13">
        <f t="shared" si="97"/>
        <v>0</v>
      </c>
      <c r="EA37" s="12">
        <f t="shared" si="45"/>
        <v>1</v>
      </c>
      <c r="EB37" s="26"/>
      <c r="EC37" s="30">
        <f t="shared" si="46"/>
        <v>1323</v>
      </c>
      <c r="ED37" s="14">
        <f t="shared" si="98"/>
        <v>100000</v>
      </c>
      <c r="EE37" s="29"/>
      <c r="EF37" s="184">
        <f t="shared" si="122"/>
        <v>-10.434236583522296</v>
      </c>
      <c r="EG37" s="13">
        <f t="shared" si="99"/>
        <v>-0.2</v>
      </c>
      <c r="EH37" s="13">
        <f t="shared" si="100"/>
        <v>-0.95073393801964912</v>
      </c>
      <c r="EI37" s="12">
        <f t="shared" si="47"/>
        <v>3.6414996220710538</v>
      </c>
      <c r="EJ37" s="29"/>
      <c r="EK37" s="28">
        <f t="shared" si="101"/>
        <v>-1.9760304748566668</v>
      </c>
      <c r="EL37" s="24">
        <f t="shared" si="102"/>
        <v>-0.85802452229989878</v>
      </c>
      <c r="EM37" s="24">
        <f t="shared" si="103"/>
        <v>0.13861839584813318</v>
      </c>
      <c r="EN37" s="24">
        <f t="shared" si="104"/>
        <v>2.1264993911658571E-2</v>
      </c>
      <c r="EO37" s="24">
        <f t="shared" si="105"/>
        <v>2.94771934375443E-3</v>
      </c>
      <c r="EP37" s="24">
        <f t="shared" si="106"/>
        <v>0.21705982281333683</v>
      </c>
      <c r="EQ37" s="24">
        <f t="shared" si="107"/>
        <v>-1.9757128561299031</v>
      </c>
      <c r="ER37" s="24">
        <f t="shared" si="48"/>
        <v>-24.023690414359006</v>
      </c>
      <c r="ES37" s="25">
        <f t="shared" si="49"/>
        <v>-10.431476515136346</v>
      </c>
      <c r="ET37" s="26"/>
      <c r="EU37" s="23">
        <f t="shared" si="123"/>
        <v>-2.535457176799774</v>
      </c>
      <c r="EV37" s="12">
        <f t="shared" si="50"/>
        <v>2.9058886896290437E-3</v>
      </c>
      <c r="EW37" s="26"/>
      <c r="EX37" s="27">
        <f t="shared" si="108"/>
        <v>3.1523091832602089E-3</v>
      </c>
      <c r="EY37" s="26"/>
      <c r="EZ37" s="23">
        <f t="shared" si="51"/>
        <v>-5.8653038904465546</v>
      </c>
      <c r="FA37" s="13">
        <f t="shared" si="52"/>
        <v>17.382181906166153</v>
      </c>
      <c r="FB37" s="13">
        <f t="shared" si="53"/>
        <v>-21.845149910644157</v>
      </c>
      <c r="FC37" s="13">
        <f t="shared" si="54"/>
        <v>-2.9587995207262594</v>
      </c>
      <c r="FD37" s="12">
        <f t="shared" si="55"/>
        <v>4.9322265607832594E-2</v>
      </c>
      <c r="FE37" s="13"/>
      <c r="FF37" s="23">
        <f t="shared" si="56"/>
        <v>-6.2936763902239781</v>
      </c>
      <c r="FG37" s="13">
        <f t="shared" si="57"/>
        <v>11.058766913814356</v>
      </c>
      <c r="FH37" s="13">
        <f t="shared" si="58"/>
        <v>11.533064572985609</v>
      </c>
      <c r="FI37" s="24">
        <f t="shared" si="109"/>
        <v>3.0467568614889196E-4</v>
      </c>
      <c r="FJ37" s="25">
        <f t="shared" si="59"/>
        <v>9.0755608000225862E-4</v>
      </c>
      <c r="FK37" s="13"/>
      <c r="FL37" s="23">
        <f t="shared" si="110"/>
        <v>10.535368458090744</v>
      </c>
      <c r="FM37" s="13">
        <f t="shared" si="124"/>
        <v>-5.9712642812587013</v>
      </c>
      <c r="FN37" s="13">
        <f t="shared" si="111"/>
        <v>-4.3618404276951459</v>
      </c>
      <c r="FO37" s="13">
        <f t="shared" si="60"/>
        <v>4.3465101210893309E-5</v>
      </c>
      <c r="FP37" s="23">
        <f t="shared" si="112"/>
        <v>-4.3619229673776871</v>
      </c>
      <c r="FQ37" s="13">
        <f t="shared" si="113"/>
        <v>4.3456841610445274E-5</v>
      </c>
      <c r="FR37" s="13">
        <f t="shared" si="114"/>
        <v>-4.3618906166596219</v>
      </c>
      <c r="FS37" s="13">
        <f t="shared" si="115"/>
        <v>4.3460078702817206E-5</v>
      </c>
      <c r="FT37" s="13">
        <f t="shared" si="116"/>
        <v>-4.3619312818145701</v>
      </c>
      <c r="FU37" s="12">
        <f t="shared" si="117"/>
        <v>4.3456009686582142E-5</v>
      </c>
      <c r="FV37" s="22"/>
      <c r="FW37" s="11">
        <f t="shared" si="61"/>
        <v>-0.2</v>
      </c>
      <c r="FX37" s="10">
        <f t="shared" si="62"/>
        <v>-0.95073393801964912</v>
      </c>
      <c r="FY37" s="10">
        <f t="shared" si="63"/>
        <v>3.6414996220710538</v>
      </c>
      <c r="FZ37" s="5">
        <f t="shared" si="64"/>
        <v>-10.434236583522296</v>
      </c>
      <c r="GA37" s="10">
        <f t="shared" si="65"/>
        <v>0.21705982281333683</v>
      </c>
      <c r="GB37" s="9">
        <f t="shared" si="118"/>
        <v>10.535368458090744</v>
      </c>
      <c r="GC37" s="8">
        <f t="shared" si="119"/>
        <v>-5.9712642812587013</v>
      </c>
      <c r="GD37" s="8">
        <f t="shared" si="120"/>
        <v>4.3465101210893309E-5</v>
      </c>
      <c r="GE37" s="7">
        <f t="shared" si="121"/>
        <v>4.3456841610445274E-5</v>
      </c>
      <c r="GF37" s="6">
        <f t="shared" si="66"/>
        <v>3.0467568614889196E-4</v>
      </c>
      <c r="GG37" s="5">
        <f t="shared" si="67"/>
        <v>9.0755608000225862E-4</v>
      </c>
      <c r="GH37" s="4">
        <f t="shared" si="68"/>
        <v>4.9322265607832594E-2</v>
      </c>
      <c r="GI37" s="4">
        <f t="shared" si="69"/>
        <v>3.1523091832602089E-3</v>
      </c>
      <c r="GJ37" s="4">
        <f t="shared" si="70"/>
        <v>2.9058886896290437E-3</v>
      </c>
      <c r="GK37" s="1"/>
    </row>
    <row r="38" spans="1:193" x14ac:dyDescent="0.4">
      <c r="A38" s="34"/>
      <c r="B38" s="21"/>
      <c r="C38" s="21"/>
      <c r="D38" s="34"/>
      <c r="E38" s="34"/>
      <c r="F38" s="20" t="s">
        <v>83</v>
      </c>
      <c r="G38" s="19">
        <v>1050</v>
      </c>
      <c r="H38" s="18">
        <v>1E-4</v>
      </c>
      <c r="I38" s="17">
        <v>0.2</v>
      </c>
      <c r="J38" s="16">
        <v>55.2</v>
      </c>
      <c r="K38" s="16">
        <v>0.34</v>
      </c>
      <c r="L38" s="16">
        <v>21.9</v>
      </c>
      <c r="M38" s="16">
        <v>0</v>
      </c>
      <c r="N38" s="16">
        <v>2.8</v>
      </c>
      <c r="O38" s="16">
        <v>0</v>
      </c>
      <c r="P38" s="16">
        <v>0.1</v>
      </c>
      <c r="Q38" s="16">
        <v>1.8</v>
      </c>
      <c r="R38" s="16">
        <v>8.1999999999999993</v>
      </c>
      <c r="S38" s="16">
        <v>8.6</v>
      </c>
      <c r="T38" s="16">
        <v>0</v>
      </c>
      <c r="U38" s="15">
        <v>0</v>
      </c>
      <c r="V38" s="16"/>
      <c r="W38" s="28">
        <f t="shared" si="71"/>
        <v>55.791388720436643</v>
      </c>
      <c r="X38" s="24">
        <f t="shared" si="125"/>
        <v>0.34364261168384885</v>
      </c>
      <c r="Y38" s="24">
        <f t="shared" si="125"/>
        <v>22.13462704669497</v>
      </c>
      <c r="Z38" s="24">
        <f t="shared" si="125"/>
        <v>0</v>
      </c>
      <c r="AA38" s="24">
        <f t="shared" si="125"/>
        <v>2.8299979785728726</v>
      </c>
      <c r="AB38" s="24">
        <f t="shared" si="125"/>
        <v>0</v>
      </c>
      <c r="AC38" s="24">
        <f t="shared" si="125"/>
        <v>0.10107135637760262</v>
      </c>
      <c r="AD38" s="24">
        <f t="shared" si="125"/>
        <v>1.819284414796847</v>
      </c>
      <c r="AE38" s="24">
        <f t="shared" si="125"/>
        <v>8.2878512229634129</v>
      </c>
      <c r="AF38" s="24">
        <f t="shared" si="125"/>
        <v>8.6921366484738236</v>
      </c>
      <c r="AG38" s="24">
        <f t="shared" si="125"/>
        <v>0</v>
      </c>
      <c r="AH38" s="24">
        <f t="shared" si="125"/>
        <v>0</v>
      </c>
      <c r="AI38" s="14">
        <f t="shared" si="72"/>
        <v>100.00000000000001</v>
      </c>
      <c r="AJ38" s="26"/>
      <c r="AK38" s="50">
        <f t="shared" si="73"/>
        <v>0.92846378299944488</v>
      </c>
      <c r="AL38" s="47">
        <f t="shared" si="74"/>
        <v>4.3009087820256421E-3</v>
      </c>
      <c r="AM38" s="47">
        <f t="shared" si="75"/>
        <v>0.21709128135244185</v>
      </c>
      <c r="AN38" s="49">
        <f t="shared" si="76"/>
        <v>0</v>
      </c>
      <c r="AO38" s="49">
        <f t="shared" si="77"/>
        <v>3.938758494882217E-2</v>
      </c>
      <c r="AP38" s="47">
        <f t="shared" si="78"/>
        <v>0</v>
      </c>
      <c r="AQ38" s="47">
        <f t="shared" si="79"/>
        <v>2.506730068888954E-3</v>
      </c>
      <c r="AR38" s="47">
        <f t="shared" si="80"/>
        <v>3.2440877581969459E-2</v>
      </c>
      <c r="AS38" s="47">
        <f t="shared" si="81"/>
        <v>0.13371815461380143</v>
      </c>
      <c r="AT38" s="47">
        <f t="shared" si="82"/>
        <v>9.2273212828809167E-2</v>
      </c>
      <c r="AU38" s="47">
        <f t="shared" si="83"/>
        <v>0</v>
      </c>
      <c r="AV38" s="47">
        <f t="shared" si="84"/>
        <v>0</v>
      </c>
      <c r="AW38" s="47">
        <f t="shared" si="85"/>
        <v>1.4501825331762037</v>
      </c>
      <c r="AX38" s="47">
        <f t="shared" si="86"/>
        <v>2.9568344857581065E-2</v>
      </c>
      <c r="AY38" s="46">
        <f t="shared" si="87"/>
        <v>4.9111796805598558E-3</v>
      </c>
      <c r="AZ38" s="26"/>
      <c r="BA38" s="23">
        <f t="shared" si="88"/>
        <v>0.64023925385855707</v>
      </c>
      <c r="BB38" s="13">
        <f t="shared" si="6"/>
        <v>2.9657706417175983E-3</v>
      </c>
      <c r="BC38" s="13">
        <f t="shared" si="7"/>
        <v>0.14969928018438233</v>
      </c>
      <c r="BD38" s="13">
        <f t="shared" si="8"/>
        <v>0</v>
      </c>
      <c r="BE38" s="13">
        <f t="shared" si="9"/>
        <v>2.7160432599167433E-2</v>
      </c>
      <c r="BF38" s="13">
        <f t="shared" si="10"/>
        <v>2.0389395252761865E-2</v>
      </c>
      <c r="BG38" s="13">
        <f t="shared" si="11"/>
        <v>3.386594148119646E-3</v>
      </c>
      <c r="BH38" s="13">
        <f t="shared" si="12"/>
        <v>0</v>
      </c>
      <c r="BI38" s="13">
        <f t="shared" si="13"/>
        <v>1.7285617579455256E-3</v>
      </c>
      <c r="BJ38" s="13">
        <f t="shared" si="14"/>
        <v>2.2370202950188028E-2</v>
      </c>
      <c r="BK38" s="13">
        <f t="shared" si="15"/>
        <v>9.2207809399642016E-2</v>
      </c>
      <c r="BL38" s="13">
        <f t="shared" si="16"/>
        <v>6.3628688608399861E-2</v>
      </c>
      <c r="BM38" s="13">
        <f t="shared" si="17"/>
        <v>0</v>
      </c>
      <c r="BN38" s="13">
        <f t="shared" si="18"/>
        <v>0</v>
      </c>
      <c r="BO38" s="12">
        <f t="shared" si="89"/>
        <v>0.99999999999999978</v>
      </c>
      <c r="BP38" s="13"/>
      <c r="BQ38" s="23">
        <f t="shared" si="90"/>
        <v>1.8569275659988898</v>
      </c>
      <c r="BR38" s="13">
        <f t="shared" si="19"/>
        <v>8.6018175640512843E-3</v>
      </c>
      <c r="BS38" s="13">
        <f t="shared" si="20"/>
        <v>0.65101844254985208</v>
      </c>
      <c r="BT38" s="13">
        <f t="shared" si="21"/>
        <v>0</v>
      </c>
      <c r="BU38" s="13">
        <f t="shared" si="22"/>
        <v>3.938758494882217E-2</v>
      </c>
      <c r="BV38" s="13">
        <f t="shared" si="91"/>
        <v>2.9568344857581065E-2</v>
      </c>
      <c r="BW38" s="24">
        <f t="shared" si="92"/>
        <v>1.4733539041679566E-2</v>
      </c>
      <c r="BX38" s="13">
        <f t="shared" si="23"/>
        <v>0</v>
      </c>
      <c r="BY38" s="13">
        <f t="shared" si="24"/>
        <v>2.5079741036625959E-3</v>
      </c>
      <c r="BZ38" s="13">
        <f t="shared" si="25"/>
        <v>3.2429312206717416E-2</v>
      </c>
      <c r="CA38" s="13">
        <f t="shared" si="26"/>
        <v>0.13367501972521634</v>
      </c>
      <c r="CB38" s="13">
        <f t="shared" si="27"/>
        <v>9.2273212828809167E-2</v>
      </c>
      <c r="CC38" s="13">
        <f t="shared" si="28"/>
        <v>0</v>
      </c>
      <c r="CD38" s="13">
        <f t="shared" si="93"/>
        <v>0</v>
      </c>
      <c r="CE38" s="12">
        <f t="shared" si="94"/>
        <v>2.816820929926021</v>
      </c>
      <c r="CF38" s="13"/>
      <c r="CG38" s="23">
        <f t="shared" si="127"/>
        <v>0.65922811999542297</v>
      </c>
      <c r="CH38" s="13">
        <f t="shared" si="127"/>
        <v>3.0537324799972984E-3</v>
      </c>
      <c r="CI38" s="13">
        <f t="shared" si="127"/>
        <v>0.23111815012214851</v>
      </c>
      <c r="CJ38" s="13">
        <f t="shared" si="127"/>
        <v>0</v>
      </c>
      <c r="CK38" s="13">
        <f t="shared" si="126"/>
        <v>1.3982992149187353E-2</v>
      </c>
      <c r="CL38" s="13">
        <f t="shared" si="126"/>
        <v>1.0497062324213002E-2</v>
      </c>
      <c r="CM38" s="13">
        <f t="shared" si="126"/>
        <v>5.2305557961281257E-3</v>
      </c>
      <c r="CN38" s="13">
        <f t="shared" si="126"/>
        <v>0</v>
      </c>
      <c r="CO38" s="13">
        <f t="shared" si="126"/>
        <v>8.9035624416794706E-4</v>
      </c>
      <c r="CP38" s="13">
        <f t="shared" si="126"/>
        <v>1.1512734750791957E-2</v>
      </c>
      <c r="CQ38" s="13">
        <f t="shared" si="126"/>
        <v>4.7455987814151571E-2</v>
      </c>
      <c r="CR38" s="13">
        <f t="shared" si="126"/>
        <v>3.2757926444132383E-2</v>
      </c>
      <c r="CS38" s="13">
        <f t="shared" si="126"/>
        <v>0</v>
      </c>
      <c r="CT38" s="13">
        <f t="shared" si="126"/>
        <v>0</v>
      </c>
      <c r="CU38" s="12">
        <f t="shared" si="30"/>
        <v>1</v>
      </c>
      <c r="CV38" s="26"/>
      <c r="CW38" s="23">
        <f t="shared" si="31"/>
        <v>0.92846378299944488</v>
      </c>
      <c r="CX38" s="13">
        <f t="shared" si="32"/>
        <v>4.3009087820256421E-3</v>
      </c>
      <c r="CY38" s="13">
        <f t="shared" si="33"/>
        <v>0.43401229503323469</v>
      </c>
      <c r="CZ38" s="13">
        <f t="shared" si="34"/>
        <v>0</v>
      </c>
      <c r="DA38" s="13">
        <f t="shared" si="35"/>
        <v>2.506963788300836E-2</v>
      </c>
      <c r="DB38" s="13">
        <f t="shared" si="36"/>
        <v>2.9568344857581065E-2</v>
      </c>
      <c r="DC38" s="24">
        <f t="shared" si="37"/>
        <v>9.8223593611197115E-3</v>
      </c>
      <c r="DD38" s="13">
        <f t="shared" si="38"/>
        <v>0</v>
      </c>
      <c r="DE38" s="13">
        <f t="shared" si="39"/>
        <v>2.5079741036625959E-3</v>
      </c>
      <c r="DF38" s="13">
        <f t="shared" si="40"/>
        <v>3.2429312206717416E-2</v>
      </c>
      <c r="DG38" s="13">
        <f t="shared" si="41"/>
        <v>0.26735003945043267</v>
      </c>
      <c r="DH38" s="13">
        <f t="shared" si="42"/>
        <v>0.18454642565761833</v>
      </c>
      <c r="DI38" s="13">
        <f t="shared" si="43"/>
        <v>0</v>
      </c>
      <c r="DJ38" s="13">
        <f t="shared" si="95"/>
        <v>0</v>
      </c>
      <c r="DK38" s="12">
        <f t="shared" si="96"/>
        <v>1.8786803761161448</v>
      </c>
      <c r="DL38" s="26"/>
      <c r="DM38" s="23">
        <f t="shared" si="97"/>
        <v>0.49421061443079922</v>
      </c>
      <c r="DN38" s="13">
        <f t="shared" si="97"/>
        <v>2.2893243772083502E-3</v>
      </c>
      <c r="DO38" s="13">
        <f t="shared" si="97"/>
        <v>0.23101976288828971</v>
      </c>
      <c r="DP38" s="13">
        <f t="shared" si="97"/>
        <v>0</v>
      </c>
      <c r="DQ38" s="13">
        <f t="shared" si="97"/>
        <v>1.3344280486303697E-2</v>
      </c>
      <c r="DR38" s="13">
        <f t="shared" si="97"/>
        <v>1.5738890571002098E-2</v>
      </c>
      <c r="DS38" s="13">
        <f t="shared" si="97"/>
        <v>5.2283291431540818E-3</v>
      </c>
      <c r="DT38" s="13">
        <f t="shared" si="97"/>
        <v>0</v>
      </c>
      <c r="DU38" s="13">
        <f t="shared" si="97"/>
        <v>1.3349658279006511E-3</v>
      </c>
      <c r="DV38" s="13">
        <f t="shared" si="97"/>
        <v>1.7261750651677937E-2</v>
      </c>
      <c r="DW38" s="13">
        <f t="shared" si="97"/>
        <v>0.1423073572542094</v>
      </c>
      <c r="DX38" s="13">
        <f t="shared" si="97"/>
        <v>9.8231944083610953E-2</v>
      </c>
      <c r="DY38" s="13">
        <f t="shared" si="97"/>
        <v>0</v>
      </c>
      <c r="DZ38" s="13">
        <f t="shared" si="97"/>
        <v>0</v>
      </c>
      <c r="EA38" s="12">
        <f t="shared" si="45"/>
        <v>1</v>
      </c>
      <c r="EB38" s="26"/>
      <c r="EC38" s="30">
        <f t="shared" si="46"/>
        <v>1323</v>
      </c>
      <c r="ED38" s="14">
        <f t="shared" si="98"/>
        <v>100000</v>
      </c>
      <c r="EE38" s="29"/>
      <c r="EF38" s="184">
        <f t="shared" si="122"/>
        <v>-10.034236583522297</v>
      </c>
      <c r="EG38" s="13">
        <f t="shared" si="99"/>
        <v>0.2</v>
      </c>
      <c r="EH38" s="13">
        <f t="shared" si="100"/>
        <v>-0.55073393801965054</v>
      </c>
      <c r="EI38" s="12">
        <f t="shared" si="47"/>
        <v>4.0414996220710524</v>
      </c>
      <c r="EJ38" s="29"/>
      <c r="EK38" s="28">
        <f t="shared" si="101"/>
        <v>-1.7955078035659338</v>
      </c>
      <c r="EL38" s="24">
        <f t="shared" si="102"/>
        <v>-0.77963864679371853</v>
      </c>
      <c r="EM38" s="24">
        <f t="shared" si="103"/>
        <v>0.16604311364968974</v>
      </c>
      <c r="EN38" s="24">
        <f t="shared" si="104"/>
        <v>2.0389395252761868E-2</v>
      </c>
      <c r="EO38" s="24">
        <f t="shared" si="105"/>
        <v>3.3855186732027831E-3</v>
      </c>
      <c r="EP38" s="24">
        <f t="shared" si="106"/>
        <v>0.24929784611063679</v>
      </c>
      <c r="EQ38" s="24">
        <f t="shared" si="107"/>
        <v>-1.79519018483917</v>
      </c>
      <c r="ER38" s="24">
        <f t="shared" si="48"/>
        <v>-23.102656377161392</v>
      </c>
      <c r="ES38" s="25">
        <f t="shared" si="49"/>
        <v>-10.031548578880326</v>
      </c>
      <c r="ET38" s="26"/>
      <c r="EU38" s="23">
        <f t="shared" si="123"/>
        <v>-1.908257176799772</v>
      </c>
      <c r="EV38" s="12">
        <f t="shared" si="50"/>
        <v>1.2201443421261504E-2</v>
      </c>
      <c r="EW38" s="26"/>
      <c r="EX38" s="27">
        <f t="shared" si="108"/>
        <v>1.9562303872579508E-2</v>
      </c>
      <c r="EY38" s="26"/>
      <c r="EZ38" s="23">
        <f t="shared" si="51"/>
        <v>-5.8653038904465546</v>
      </c>
      <c r="FA38" s="13">
        <f t="shared" si="52"/>
        <v>17.373752461605044</v>
      </c>
      <c r="FB38" s="13">
        <f t="shared" si="53"/>
        <v>-21.845149910644157</v>
      </c>
      <c r="FC38" s="13">
        <f t="shared" si="54"/>
        <v>-1.1251608908921327</v>
      </c>
      <c r="FD38" s="12">
        <f t="shared" si="55"/>
        <v>0.24505524658595901</v>
      </c>
      <c r="FE38" s="13"/>
      <c r="FF38" s="23">
        <f t="shared" si="56"/>
        <v>-6.3022753595974539</v>
      </c>
      <c r="FG38" s="13">
        <f t="shared" si="57"/>
        <v>11.058766913814356</v>
      </c>
      <c r="FH38" s="13">
        <f t="shared" si="58"/>
        <v>11.533064572985609</v>
      </c>
      <c r="FI38" s="24">
        <f t="shared" si="109"/>
        <v>1.957573646276467E-3</v>
      </c>
      <c r="FJ38" s="25">
        <f t="shared" si="59"/>
        <v>5.8121287490316975E-3</v>
      </c>
      <c r="FK38" s="13"/>
      <c r="FL38" s="23">
        <f t="shared" si="110"/>
        <v>10.535368458090744</v>
      </c>
      <c r="FM38" s="13">
        <f t="shared" si="124"/>
        <v>-5.9665839299176593</v>
      </c>
      <c r="FN38" s="13">
        <f t="shared" si="111"/>
        <v>-3.566520779036189</v>
      </c>
      <c r="FO38" s="13">
        <f t="shared" si="60"/>
        <v>2.7124478984308364E-4</v>
      </c>
      <c r="FP38" s="23">
        <f t="shared" si="112"/>
        <v>-3.5666033187187303</v>
      </c>
      <c r="FQ38" s="13">
        <f t="shared" si="113"/>
        <v>2.7119325738900191E-4</v>
      </c>
      <c r="FR38" s="13">
        <f t="shared" si="114"/>
        <v>-3.566570968000665</v>
      </c>
      <c r="FS38" s="13">
        <f t="shared" si="115"/>
        <v>2.7121345392433494E-4</v>
      </c>
      <c r="FT38" s="13">
        <f t="shared" si="116"/>
        <v>-3.5666116331556132</v>
      </c>
      <c r="FU38" s="12">
        <f t="shared" si="117"/>
        <v>2.7118806693360309E-4</v>
      </c>
      <c r="FV38" s="22"/>
      <c r="FW38" s="11">
        <f t="shared" si="61"/>
        <v>0.2</v>
      </c>
      <c r="FX38" s="10">
        <f t="shared" si="62"/>
        <v>-0.55073393801965054</v>
      </c>
      <c r="FY38" s="10">
        <f t="shared" si="63"/>
        <v>4.0414996220710524</v>
      </c>
      <c r="FZ38" s="5">
        <f t="shared" si="64"/>
        <v>-10.034236583522297</v>
      </c>
      <c r="GA38" s="10">
        <f t="shared" si="65"/>
        <v>0.24929784611063679</v>
      </c>
      <c r="GB38" s="9">
        <f t="shared" si="118"/>
        <v>10.535368458090744</v>
      </c>
      <c r="GC38" s="8">
        <f t="shared" si="119"/>
        <v>-5.9665839299176593</v>
      </c>
      <c r="GD38" s="8">
        <f t="shared" si="120"/>
        <v>2.7124478984308364E-4</v>
      </c>
      <c r="GE38" s="7">
        <f t="shared" si="121"/>
        <v>2.7119325738900191E-4</v>
      </c>
      <c r="GF38" s="6">
        <f t="shared" si="66"/>
        <v>1.957573646276467E-3</v>
      </c>
      <c r="GG38" s="5">
        <f t="shared" si="67"/>
        <v>5.8121287490316975E-3</v>
      </c>
      <c r="GH38" s="4">
        <f t="shared" si="68"/>
        <v>0.24505524658595901</v>
      </c>
      <c r="GI38" s="4">
        <f t="shared" si="69"/>
        <v>1.9562303872579508E-2</v>
      </c>
      <c r="GJ38" s="4">
        <f t="shared" si="70"/>
        <v>1.2201443421261504E-2</v>
      </c>
      <c r="GK38" s="1"/>
    </row>
    <row r="39" spans="1:193" x14ac:dyDescent="0.4">
      <c r="A39" s="34"/>
      <c r="B39" s="21"/>
      <c r="C39" s="21"/>
      <c r="D39" s="34"/>
      <c r="E39" s="34"/>
      <c r="F39" s="20" t="s">
        <v>83</v>
      </c>
      <c r="G39" s="19">
        <v>1050</v>
      </c>
      <c r="H39" s="18">
        <v>1E-4</v>
      </c>
      <c r="I39" s="17">
        <v>0.6</v>
      </c>
      <c r="J39" s="16">
        <v>55.2</v>
      </c>
      <c r="K39" s="16">
        <v>0.34</v>
      </c>
      <c r="L39" s="16">
        <v>21.9</v>
      </c>
      <c r="M39" s="16">
        <v>0</v>
      </c>
      <c r="N39" s="16">
        <v>2.8</v>
      </c>
      <c r="O39" s="16">
        <v>0</v>
      </c>
      <c r="P39" s="16">
        <v>0.1</v>
      </c>
      <c r="Q39" s="16">
        <v>1.8</v>
      </c>
      <c r="R39" s="16">
        <v>8.1999999999999993</v>
      </c>
      <c r="S39" s="16">
        <v>8.6</v>
      </c>
      <c r="T39" s="16">
        <v>0</v>
      </c>
      <c r="U39" s="15">
        <v>0</v>
      </c>
      <c r="V39" s="16"/>
      <c r="W39" s="28">
        <f t="shared" si="71"/>
        <v>55.791388720436643</v>
      </c>
      <c r="X39" s="24">
        <f t="shared" si="125"/>
        <v>0.34364261168384885</v>
      </c>
      <c r="Y39" s="24">
        <f t="shared" si="125"/>
        <v>22.13462704669497</v>
      </c>
      <c r="Z39" s="24">
        <f t="shared" si="125"/>
        <v>0</v>
      </c>
      <c r="AA39" s="24">
        <f t="shared" si="125"/>
        <v>2.8299979785728726</v>
      </c>
      <c r="AB39" s="24">
        <f t="shared" si="125"/>
        <v>0</v>
      </c>
      <c r="AC39" s="24">
        <f t="shared" si="125"/>
        <v>0.10107135637760262</v>
      </c>
      <c r="AD39" s="24">
        <f t="shared" si="125"/>
        <v>1.819284414796847</v>
      </c>
      <c r="AE39" s="24">
        <f t="shared" si="125"/>
        <v>8.2878512229634129</v>
      </c>
      <c r="AF39" s="24">
        <f t="shared" si="125"/>
        <v>8.6921366484738236</v>
      </c>
      <c r="AG39" s="24">
        <f t="shared" si="125"/>
        <v>0</v>
      </c>
      <c r="AH39" s="24">
        <f t="shared" si="125"/>
        <v>0</v>
      </c>
      <c r="AI39" s="14">
        <f t="shared" si="72"/>
        <v>100.00000000000001</v>
      </c>
      <c r="AJ39" s="26"/>
      <c r="AK39" s="50">
        <f t="shared" si="73"/>
        <v>0.92846378299944488</v>
      </c>
      <c r="AL39" s="47">
        <f t="shared" si="74"/>
        <v>4.3009087820256421E-3</v>
      </c>
      <c r="AM39" s="47">
        <f t="shared" si="75"/>
        <v>0.21709128135244185</v>
      </c>
      <c r="AN39" s="49">
        <f t="shared" si="76"/>
        <v>0</v>
      </c>
      <c r="AO39" s="49">
        <f t="shared" si="77"/>
        <v>3.938758494882217E-2</v>
      </c>
      <c r="AP39" s="47">
        <f t="shared" si="78"/>
        <v>0</v>
      </c>
      <c r="AQ39" s="47">
        <f t="shared" si="79"/>
        <v>2.506730068888954E-3</v>
      </c>
      <c r="AR39" s="47">
        <f t="shared" si="80"/>
        <v>3.2440877581969459E-2</v>
      </c>
      <c r="AS39" s="47">
        <f t="shared" si="81"/>
        <v>0.13371815461380143</v>
      </c>
      <c r="AT39" s="47">
        <f t="shared" si="82"/>
        <v>9.2273212828809167E-2</v>
      </c>
      <c r="AU39" s="47">
        <f t="shared" si="83"/>
        <v>0</v>
      </c>
      <c r="AV39" s="47">
        <f t="shared" si="84"/>
        <v>0</v>
      </c>
      <c r="AW39" s="47">
        <f t="shared" si="85"/>
        <v>1.4501825331762037</v>
      </c>
      <c r="AX39" s="47">
        <f t="shared" si="86"/>
        <v>2.8178526315152212E-2</v>
      </c>
      <c r="AY39" s="46">
        <f t="shared" si="87"/>
        <v>5.6063097030277309E-3</v>
      </c>
      <c r="AZ39" s="26"/>
      <c r="BA39" s="23">
        <f t="shared" si="88"/>
        <v>0.64023925385855707</v>
      </c>
      <c r="BB39" s="13">
        <f t="shared" si="6"/>
        <v>2.9657706417175983E-3</v>
      </c>
      <c r="BC39" s="13">
        <f t="shared" si="7"/>
        <v>0.14969928018438233</v>
      </c>
      <c r="BD39" s="13">
        <f t="shared" si="8"/>
        <v>0</v>
      </c>
      <c r="BE39" s="13">
        <f t="shared" si="9"/>
        <v>2.7160432599167433E-2</v>
      </c>
      <c r="BF39" s="13">
        <f t="shared" si="10"/>
        <v>1.9431020351234913E-2</v>
      </c>
      <c r="BG39" s="13">
        <f t="shared" si="11"/>
        <v>3.8659338219642859E-3</v>
      </c>
      <c r="BH39" s="13">
        <f t="shared" si="12"/>
        <v>0</v>
      </c>
      <c r="BI39" s="13">
        <f t="shared" si="13"/>
        <v>1.7285617579455256E-3</v>
      </c>
      <c r="BJ39" s="13">
        <f t="shared" si="14"/>
        <v>2.2370202950188028E-2</v>
      </c>
      <c r="BK39" s="13">
        <f t="shared" si="15"/>
        <v>9.2207809399642016E-2</v>
      </c>
      <c r="BL39" s="13">
        <f t="shared" si="16"/>
        <v>6.3628688608399861E-2</v>
      </c>
      <c r="BM39" s="13">
        <f t="shared" si="17"/>
        <v>0</v>
      </c>
      <c r="BN39" s="13">
        <f t="shared" si="18"/>
        <v>0</v>
      </c>
      <c r="BO39" s="12">
        <f t="shared" si="89"/>
        <v>0.99999999999999978</v>
      </c>
      <c r="BP39" s="13"/>
      <c r="BQ39" s="23">
        <f t="shared" si="90"/>
        <v>1.8569275659988898</v>
      </c>
      <c r="BR39" s="13">
        <f t="shared" si="19"/>
        <v>8.6018175640512843E-3</v>
      </c>
      <c r="BS39" s="13">
        <f t="shared" si="20"/>
        <v>0.65101844254985208</v>
      </c>
      <c r="BT39" s="13">
        <f t="shared" si="21"/>
        <v>0</v>
      </c>
      <c r="BU39" s="13">
        <f t="shared" si="22"/>
        <v>3.938758494882217E-2</v>
      </c>
      <c r="BV39" s="13">
        <f t="shared" si="91"/>
        <v>2.8178526315152212E-2</v>
      </c>
      <c r="BW39" s="24">
        <f t="shared" si="92"/>
        <v>1.6818929109083194E-2</v>
      </c>
      <c r="BX39" s="13">
        <f t="shared" si="23"/>
        <v>0</v>
      </c>
      <c r="BY39" s="13">
        <f t="shared" si="24"/>
        <v>2.5079741036625959E-3</v>
      </c>
      <c r="BZ39" s="13">
        <f t="shared" si="25"/>
        <v>3.2429312206717416E-2</v>
      </c>
      <c r="CA39" s="13">
        <f t="shared" si="26"/>
        <v>0.13367501972521634</v>
      </c>
      <c r="CB39" s="13">
        <f t="shared" si="27"/>
        <v>9.2273212828809167E-2</v>
      </c>
      <c r="CC39" s="13">
        <f t="shared" si="28"/>
        <v>0</v>
      </c>
      <c r="CD39" s="13">
        <f t="shared" si="93"/>
        <v>0</v>
      </c>
      <c r="CE39" s="12">
        <f t="shared" si="94"/>
        <v>2.816820929926021</v>
      </c>
      <c r="CF39" s="13"/>
      <c r="CG39" s="23">
        <f t="shared" si="127"/>
        <v>0.65922811999542297</v>
      </c>
      <c r="CH39" s="13">
        <f t="shared" si="127"/>
        <v>3.0537324799972984E-3</v>
      </c>
      <c r="CI39" s="13">
        <f t="shared" si="127"/>
        <v>0.23111815012214851</v>
      </c>
      <c r="CJ39" s="13">
        <f t="shared" si="127"/>
        <v>0</v>
      </c>
      <c r="CK39" s="13">
        <f t="shared" si="126"/>
        <v>1.3982992149187353E-2</v>
      </c>
      <c r="CL39" s="13">
        <f t="shared" si="126"/>
        <v>1.0003662645282983E-2</v>
      </c>
      <c r="CM39" s="13">
        <f t="shared" si="126"/>
        <v>5.9708904213250482E-3</v>
      </c>
      <c r="CN39" s="13">
        <f t="shared" si="126"/>
        <v>0</v>
      </c>
      <c r="CO39" s="13">
        <f t="shared" si="126"/>
        <v>8.9035624416794706E-4</v>
      </c>
      <c r="CP39" s="13">
        <f t="shared" si="126"/>
        <v>1.1512734750791957E-2</v>
      </c>
      <c r="CQ39" s="13">
        <f t="shared" si="126"/>
        <v>4.7455987814151571E-2</v>
      </c>
      <c r="CR39" s="13">
        <f t="shared" si="126"/>
        <v>3.2757926444132383E-2</v>
      </c>
      <c r="CS39" s="13">
        <f t="shared" si="126"/>
        <v>0</v>
      </c>
      <c r="CT39" s="13">
        <f t="shared" si="126"/>
        <v>0</v>
      </c>
      <c r="CU39" s="12">
        <f t="shared" si="30"/>
        <v>1</v>
      </c>
      <c r="CV39" s="26"/>
      <c r="CW39" s="23">
        <f t="shared" si="31"/>
        <v>0.92846378299944488</v>
      </c>
      <c r="CX39" s="13">
        <f t="shared" si="32"/>
        <v>4.3009087820256421E-3</v>
      </c>
      <c r="CY39" s="13">
        <f t="shared" si="33"/>
        <v>0.43401229503323469</v>
      </c>
      <c r="CZ39" s="13">
        <f t="shared" si="34"/>
        <v>0</v>
      </c>
      <c r="DA39" s="13">
        <f t="shared" si="35"/>
        <v>2.506963788300836E-2</v>
      </c>
      <c r="DB39" s="13">
        <f t="shared" si="36"/>
        <v>2.8178526315152212E-2</v>
      </c>
      <c r="DC39" s="24">
        <f t="shared" si="37"/>
        <v>1.1212619406055462E-2</v>
      </c>
      <c r="DD39" s="13">
        <f t="shared" si="38"/>
        <v>0</v>
      </c>
      <c r="DE39" s="13">
        <f t="shared" si="39"/>
        <v>2.5079741036625959E-3</v>
      </c>
      <c r="DF39" s="13">
        <f t="shared" si="40"/>
        <v>3.2429312206717416E-2</v>
      </c>
      <c r="DG39" s="13">
        <f t="shared" si="41"/>
        <v>0.26735003945043267</v>
      </c>
      <c r="DH39" s="13">
        <f t="shared" si="42"/>
        <v>0.18454642565761833</v>
      </c>
      <c r="DI39" s="13">
        <f t="shared" si="43"/>
        <v>0</v>
      </c>
      <c r="DJ39" s="13">
        <f t="shared" si="95"/>
        <v>0</v>
      </c>
      <c r="DK39" s="12">
        <f t="shared" si="96"/>
        <v>1.8786803761161448</v>
      </c>
      <c r="DL39" s="26"/>
      <c r="DM39" s="23">
        <f t="shared" si="97"/>
        <v>0.49421061443079922</v>
      </c>
      <c r="DN39" s="13">
        <f t="shared" si="97"/>
        <v>2.2893243772083502E-3</v>
      </c>
      <c r="DO39" s="13">
        <f t="shared" si="97"/>
        <v>0.23101976288828971</v>
      </c>
      <c r="DP39" s="13">
        <f t="shared" si="97"/>
        <v>0</v>
      </c>
      <c r="DQ39" s="13">
        <f t="shared" si="97"/>
        <v>1.3344280486303697E-2</v>
      </c>
      <c r="DR39" s="13">
        <f t="shared" si="97"/>
        <v>1.4999106113732112E-2</v>
      </c>
      <c r="DS39" s="13">
        <f t="shared" si="97"/>
        <v>5.9683486071407544E-3</v>
      </c>
      <c r="DT39" s="13">
        <f t="shared" si="97"/>
        <v>0</v>
      </c>
      <c r="DU39" s="13">
        <f t="shared" si="97"/>
        <v>1.3349658279006511E-3</v>
      </c>
      <c r="DV39" s="13">
        <f t="shared" si="97"/>
        <v>1.7261750651677937E-2</v>
      </c>
      <c r="DW39" s="13">
        <f t="shared" si="97"/>
        <v>0.1423073572542094</v>
      </c>
      <c r="DX39" s="13">
        <f t="shared" si="97"/>
        <v>9.8231944083610953E-2</v>
      </c>
      <c r="DY39" s="13">
        <f t="shared" si="97"/>
        <v>0</v>
      </c>
      <c r="DZ39" s="13">
        <f t="shared" si="97"/>
        <v>0</v>
      </c>
      <c r="EA39" s="12">
        <f t="shared" si="45"/>
        <v>1</v>
      </c>
      <c r="EB39" s="26"/>
      <c r="EC39" s="30">
        <f t="shared" si="46"/>
        <v>1323</v>
      </c>
      <c r="ED39" s="14">
        <f t="shared" si="98"/>
        <v>100000</v>
      </c>
      <c r="EE39" s="29"/>
      <c r="EF39" s="184">
        <f t="shared" si="122"/>
        <v>-9.6342365835222967</v>
      </c>
      <c r="EG39" s="13">
        <f t="shared" si="99"/>
        <v>0.6</v>
      </c>
      <c r="EH39" s="13">
        <f t="shared" si="100"/>
        <v>-0.15073393801965018</v>
      </c>
      <c r="EI39" s="12">
        <f t="shared" si="47"/>
        <v>4.4414996220710528</v>
      </c>
      <c r="EJ39" s="29"/>
      <c r="EK39" s="28">
        <f t="shared" si="101"/>
        <v>-1.6149851322752007</v>
      </c>
      <c r="EL39" s="24">
        <f t="shared" si="102"/>
        <v>-0.70125277128753827</v>
      </c>
      <c r="EM39" s="24">
        <f t="shared" si="103"/>
        <v>0.19889362751455533</v>
      </c>
      <c r="EN39" s="24">
        <f t="shared" si="104"/>
        <v>1.9431020351234913E-2</v>
      </c>
      <c r="EO39" s="24">
        <f t="shared" si="105"/>
        <v>3.8647061239662607E-3</v>
      </c>
      <c r="EP39" s="24">
        <f t="shared" si="106"/>
        <v>0.28458354702971317</v>
      </c>
      <c r="EQ39" s="24">
        <f t="shared" si="107"/>
        <v>-1.6146675135484372</v>
      </c>
      <c r="ER39" s="24">
        <f t="shared" si="48"/>
        <v>-22.181622339963777</v>
      </c>
      <c r="ES39" s="25">
        <f t="shared" si="49"/>
        <v>-9.6316206426243056</v>
      </c>
      <c r="ET39" s="26"/>
      <c r="EU39" s="23">
        <f t="shared" si="123"/>
        <v>-1.2810571767997736</v>
      </c>
      <c r="EV39" s="12">
        <f t="shared" si="50"/>
        <v>4.9748652005204286E-2</v>
      </c>
      <c r="EW39" s="26"/>
      <c r="EX39" s="27">
        <f t="shared" si="108"/>
        <v>0.11181576977811693</v>
      </c>
      <c r="EY39" s="26"/>
      <c r="EZ39" s="23">
        <f t="shared" si="51"/>
        <v>-5.8653038904465546</v>
      </c>
      <c r="FA39" s="13">
        <f t="shared" si="52"/>
        <v>17.364526124836374</v>
      </c>
      <c r="FB39" s="13">
        <f t="shared" si="53"/>
        <v>-21.845149910644157</v>
      </c>
      <c r="FC39" s="13">
        <f t="shared" si="54"/>
        <v>0.70768084673442644</v>
      </c>
      <c r="FD39" s="12">
        <f t="shared" si="55"/>
        <v>0.6698885093517184</v>
      </c>
      <c r="FE39" s="13"/>
      <c r="FF39" s="23">
        <f t="shared" si="56"/>
        <v>-6.3116872475015784</v>
      </c>
      <c r="FG39" s="13">
        <f t="shared" si="57"/>
        <v>11.058766913814356</v>
      </c>
      <c r="FH39" s="13">
        <f t="shared" si="58"/>
        <v>11.533064572985609</v>
      </c>
      <c r="FI39" s="24">
        <f t="shared" si="109"/>
        <v>1.2488865697310669E-2</v>
      </c>
      <c r="FJ39" s="25">
        <f t="shared" si="59"/>
        <v>3.6325292024693145E-2</v>
      </c>
      <c r="FK39" s="13"/>
      <c r="FL39" s="23">
        <f t="shared" si="110"/>
        <v>10.535368458090744</v>
      </c>
      <c r="FM39" s="13">
        <f t="shared" si="124"/>
        <v>-5.9614611346907624</v>
      </c>
      <c r="FN39" s="13">
        <f t="shared" si="111"/>
        <v>-2.7716435742630878</v>
      </c>
      <c r="FO39" s="13">
        <f t="shared" si="60"/>
        <v>1.6889713964340913E-3</v>
      </c>
      <c r="FP39" s="23">
        <f t="shared" si="112"/>
        <v>-2.7717261139456291</v>
      </c>
      <c r="FQ39" s="13">
        <f t="shared" si="113"/>
        <v>1.6886509720808185E-3</v>
      </c>
      <c r="FR39" s="13">
        <f t="shared" si="114"/>
        <v>-2.7716937632275638</v>
      </c>
      <c r="FS39" s="13">
        <f t="shared" si="115"/>
        <v>1.6887765524157272E-3</v>
      </c>
      <c r="FT39" s="13">
        <f t="shared" si="116"/>
        <v>-2.771734428382512</v>
      </c>
      <c r="FU39" s="12">
        <f t="shared" si="117"/>
        <v>1.6886186982668638E-3</v>
      </c>
      <c r="FV39" s="22"/>
      <c r="FW39" s="11">
        <f t="shared" si="61"/>
        <v>0.6</v>
      </c>
      <c r="FX39" s="10">
        <f t="shared" si="62"/>
        <v>-0.15073393801965018</v>
      </c>
      <c r="FY39" s="10">
        <f t="shared" si="63"/>
        <v>4.4414996220710528</v>
      </c>
      <c r="FZ39" s="5">
        <f t="shared" si="64"/>
        <v>-9.6342365835222967</v>
      </c>
      <c r="GA39" s="10">
        <f t="shared" si="65"/>
        <v>0.28458354702971317</v>
      </c>
      <c r="GB39" s="9">
        <f t="shared" si="118"/>
        <v>10.535368458090744</v>
      </c>
      <c r="GC39" s="8">
        <f t="shared" si="119"/>
        <v>-5.9614611346907624</v>
      </c>
      <c r="GD39" s="8">
        <f t="shared" si="120"/>
        <v>1.6889713964340913E-3</v>
      </c>
      <c r="GE39" s="7">
        <f t="shared" si="121"/>
        <v>1.6886509720808185E-3</v>
      </c>
      <c r="GF39" s="6">
        <f t="shared" si="66"/>
        <v>1.2488865697310669E-2</v>
      </c>
      <c r="GG39" s="5">
        <f t="shared" si="67"/>
        <v>3.6325292024693145E-2</v>
      </c>
      <c r="GH39" s="4">
        <f t="shared" si="68"/>
        <v>0.6698885093517184</v>
      </c>
      <c r="GI39" s="4">
        <f t="shared" si="69"/>
        <v>0.11181576977811693</v>
      </c>
      <c r="GJ39" s="4">
        <f t="shared" si="70"/>
        <v>4.9748652005204286E-2</v>
      </c>
      <c r="GK39" s="1"/>
    </row>
    <row r="40" spans="1:193" x14ac:dyDescent="0.4">
      <c r="A40" s="34"/>
      <c r="B40" s="21"/>
      <c r="C40" s="21"/>
      <c r="D40" s="34"/>
      <c r="E40" s="34"/>
      <c r="F40" s="20" t="s">
        <v>83</v>
      </c>
      <c r="G40" s="19">
        <v>1050</v>
      </c>
      <c r="H40" s="18">
        <v>1E-4</v>
      </c>
      <c r="I40" s="17">
        <v>1</v>
      </c>
      <c r="J40" s="16">
        <v>55.2</v>
      </c>
      <c r="K40" s="16">
        <v>0.34</v>
      </c>
      <c r="L40" s="16">
        <v>21.9</v>
      </c>
      <c r="M40" s="16">
        <v>0</v>
      </c>
      <c r="N40" s="16">
        <v>2.8</v>
      </c>
      <c r="O40" s="16">
        <v>0</v>
      </c>
      <c r="P40" s="16">
        <v>0.1</v>
      </c>
      <c r="Q40" s="16">
        <v>1.8</v>
      </c>
      <c r="R40" s="16">
        <v>8.1999999999999993</v>
      </c>
      <c r="S40" s="16">
        <v>8.6</v>
      </c>
      <c r="T40" s="16">
        <v>0</v>
      </c>
      <c r="U40" s="15">
        <v>0</v>
      </c>
      <c r="V40" s="16"/>
      <c r="W40" s="28">
        <f t="shared" si="71"/>
        <v>55.791388720436643</v>
      </c>
      <c r="X40" s="24">
        <f t="shared" si="125"/>
        <v>0.34364261168384885</v>
      </c>
      <c r="Y40" s="24">
        <f t="shared" si="125"/>
        <v>22.13462704669497</v>
      </c>
      <c r="Z40" s="24">
        <f t="shared" si="125"/>
        <v>0</v>
      </c>
      <c r="AA40" s="24">
        <f t="shared" si="125"/>
        <v>2.8299979785728726</v>
      </c>
      <c r="AB40" s="24">
        <f t="shared" si="125"/>
        <v>0</v>
      </c>
      <c r="AC40" s="24">
        <f t="shared" si="125"/>
        <v>0.10107135637760262</v>
      </c>
      <c r="AD40" s="24">
        <f t="shared" si="125"/>
        <v>1.819284414796847</v>
      </c>
      <c r="AE40" s="24">
        <f t="shared" si="125"/>
        <v>8.2878512229634129</v>
      </c>
      <c r="AF40" s="24">
        <f t="shared" si="125"/>
        <v>8.6921366484738236</v>
      </c>
      <c r="AG40" s="24">
        <f t="shared" si="125"/>
        <v>0</v>
      </c>
      <c r="AH40" s="24">
        <f t="shared" si="125"/>
        <v>0</v>
      </c>
      <c r="AI40" s="14">
        <f t="shared" si="72"/>
        <v>100.00000000000001</v>
      </c>
      <c r="AJ40" s="26"/>
      <c r="AK40" s="50">
        <f t="shared" si="73"/>
        <v>0.92846378299944488</v>
      </c>
      <c r="AL40" s="47">
        <f t="shared" si="74"/>
        <v>4.3009087820256421E-3</v>
      </c>
      <c r="AM40" s="47">
        <f t="shared" si="75"/>
        <v>0.21709128135244185</v>
      </c>
      <c r="AN40" s="49">
        <f t="shared" si="76"/>
        <v>0</v>
      </c>
      <c r="AO40" s="49">
        <f t="shared" si="77"/>
        <v>3.938758494882217E-2</v>
      </c>
      <c r="AP40" s="47">
        <f t="shared" si="78"/>
        <v>0</v>
      </c>
      <c r="AQ40" s="47">
        <f t="shared" si="79"/>
        <v>2.506730068888954E-3</v>
      </c>
      <c r="AR40" s="47">
        <f t="shared" si="80"/>
        <v>3.2440877581969459E-2</v>
      </c>
      <c r="AS40" s="47">
        <f t="shared" si="81"/>
        <v>0.13371815461380143</v>
      </c>
      <c r="AT40" s="47">
        <f t="shared" si="82"/>
        <v>9.2273212828809167E-2</v>
      </c>
      <c r="AU40" s="47">
        <f t="shared" si="83"/>
        <v>0</v>
      </c>
      <c r="AV40" s="47">
        <f t="shared" si="84"/>
        <v>0</v>
      </c>
      <c r="AW40" s="47">
        <f t="shared" si="85"/>
        <v>1.4501825331762037</v>
      </c>
      <c r="AX40" s="47">
        <f t="shared" si="86"/>
        <v>2.6676557643785744E-2</v>
      </c>
      <c r="AY40" s="46">
        <f t="shared" si="87"/>
        <v>6.357532603283771E-3</v>
      </c>
      <c r="AZ40" s="26"/>
      <c r="BA40" s="23">
        <f t="shared" si="88"/>
        <v>0.64023925385855707</v>
      </c>
      <c r="BB40" s="13">
        <f t="shared" si="6"/>
        <v>2.9657706417175983E-3</v>
      </c>
      <c r="BC40" s="13">
        <f t="shared" si="7"/>
        <v>0.14969928018438233</v>
      </c>
      <c r="BD40" s="13">
        <f t="shared" si="8"/>
        <v>0</v>
      </c>
      <c r="BE40" s="13">
        <f t="shared" si="9"/>
        <v>2.7160432599167433E-2</v>
      </c>
      <c r="BF40" s="13">
        <f t="shared" si="10"/>
        <v>1.8395310268534602E-2</v>
      </c>
      <c r="BG40" s="13">
        <f t="shared" si="11"/>
        <v>4.3839533698971271E-3</v>
      </c>
      <c r="BH40" s="13">
        <f t="shared" si="12"/>
        <v>0</v>
      </c>
      <c r="BI40" s="13">
        <f t="shared" si="13"/>
        <v>1.7285617579455256E-3</v>
      </c>
      <c r="BJ40" s="13">
        <f t="shared" si="14"/>
        <v>2.2370202950188028E-2</v>
      </c>
      <c r="BK40" s="13">
        <f t="shared" si="15"/>
        <v>9.2207809399642016E-2</v>
      </c>
      <c r="BL40" s="13">
        <f t="shared" si="16"/>
        <v>6.3628688608399861E-2</v>
      </c>
      <c r="BM40" s="13">
        <f t="shared" si="17"/>
        <v>0</v>
      </c>
      <c r="BN40" s="13">
        <f t="shared" si="18"/>
        <v>0</v>
      </c>
      <c r="BO40" s="12">
        <f t="shared" si="89"/>
        <v>0.99999999999999978</v>
      </c>
      <c r="BP40" s="13"/>
      <c r="BQ40" s="23">
        <f t="shared" si="90"/>
        <v>1.8569275659988898</v>
      </c>
      <c r="BR40" s="13">
        <f t="shared" si="19"/>
        <v>8.6018175640512843E-3</v>
      </c>
      <c r="BS40" s="13">
        <f t="shared" si="20"/>
        <v>0.65101844254985208</v>
      </c>
      <c r="BT40" s="13">
        <f t="shared" si="21"/>
        <v>0</v>
      </c>
      <c r="BU40" s="13">
        <f t="shared" si="22"/>
        <v>3.938758494882217E-2</v>
      </c>
      <c r="BV40" s="13">
        <f t="shared" si="91"/>
        <v>2.6676557643785744E-2</v>
      </c>
      <c r="BW40" s="24">
        <f t="shared" si="92"/>
        <v>1.9072597809851311E-2</v>
      </c>
      <c r="BX40" s="13">
        <f t="shared" si="23"/>
        <v>0</v>
      </c>
      <c r="BY40" s="13">
        <f t="shared" si="24"/>
        <v>2.5079741036625959E-3</v>
      </c>
      <c r="BZ40" s="13">
        <f t="shared" si="25"/>
        <v>3.2429312206717416E-2</v>
      </c>
      <c r="CA40" s="13">
        <f t="shared" si="26"/>
        <v>0.13367501972521634</v>
      </c>
      <c r="CB40" s="13">
        <f t="shared" si="27"/>
        <v>9.2273212828809167E-2</v>
      </c>
      <c r="CC40" s="13">
        <f t="shared" si="28"/>
        <v>0</v>
      </c>
      <c r="CD40" s="13">
        <f t="shared" si="93"/>
        <v>0</v>
      </c>
      <c r="CE40" s="12">
        <f t="shared" si="94"/>
        <v>2.816820929926021</v>
      </c>
      <c r="CF40" s="13"/>
      <c r="CG40" s="23">
        <f t="shared" si="127"/>
        <v>0.65922811999542297</v>
      </c>
      <c r="CH40" s="13">
        <f t="shared" si="127"/>
        <v>3.0537324799972984E-3</v>
      </c>
      <c r="CI40" s="13">
        <f t="shared" si="127"/>
        <v>0.23111815012214851</v>
      </c>
      <c r="CJ40" s="13">
        <f t="shared" si="127"/>
        <v>0</v>
      </c>
      <c r="CK40" s="13">
        <f t="shared" si="126"/>
        <v>1.3982992149187353E-2</v>
      </c>
      <c r="CL40" s="13">
        <f t="shared" si="126"/>
        <v>9.4704485330866801E-3</v>
      </c>
      <c r="CM40" s="13">
        <f t="shared" si="126"/>
        <v>6.7709656681485325E-3</v>
      </c>
      <c r="CN40" s="13">
        <f t="shared" si="126"/>
        <v>0</v>
      </c>
      <c r="CO40" s="13">
        <f t="shared" si="126"/>
        <v>8.9035624416794706E-4</v>
      </c>
      <c r="CP40" s="13">
        <f t="shared" si="126"/>
        <v>1.1512734750791957E-2</v>
      </c>
      <c r="CQ40" s="13">
        <f t="shared" si="126"/>
        <v>4.7455987814151571E-2</v>
      </c>
      <c r="CR40" s="13">
        <f t="shared" si="126"/>
        <v>3.2757926444132383E-2</v>
      </c>
      <c r="CS40" s="13">
        <f t="shared" si="126"/>
        <v>0</v>
      </c>
      <c r="CT40" s="13">
        <f t="shared" si="126"/>
        <v>0</v>
      </c>
      <c r="CU40" s="12">
        <f t="shared" si="30"/>
        <v>1</v>
      </c>
      <c r="CV40" s="26"/>
      <c r="CW40" s="23">
        <f t="shared" si="31"/>
        <v>0.92846378299944488</v>
      </c>
      <c r="CX40" s="13">
        <f t="shared" si="32"/>
        <v>4.3009087820256421E-3</v>
      </c>
      <c r="CY40" s="13">
        <f t="shared" si="33"/>
        <v>0.43401229503323469</v>
      </c>
      <c r="CZ40" s="13">
        <f t="shared" si="34"/>
        <v>0</v>
      </c>
      <c r="DA40" s="13">
        <f t="shared" si="35"/>
        <v>2.506963788300836E-2</v>
      </c>
      <c r="DB40" s="13">
        <f t="shared" si="36"/>
        <v>2.6676557643785744E-2</v>
      </c>
      <c r="DC40" s="24">
        <f t="shared" si="37"/>
        <v>1.2715065206567542E-2</v>
      </c>
      <c r="DD40" s="13">
        <f t="shared" si="38"/>
        <v>0</v>
      </c>
      <c r="DE40" s="13">
        <f t="shared" si="39"/>
        <v>2.5079741036625959E-3</v>
      </c>
      <c r="DF40" s="13">
        <f t="shared" si="40"/>
        <v>3.2429312206717416E-2</v>
      </c>
      <c r="DG40" s="13">
        <f t="shared" si="41"/>
        <v>0.26735003945043267</v>
      </c>
      <c r="DH40" s="13">
        <f t="shared" si="42"/>
        <v>0.18454642565761833</v>
      </c>
      <c r="DI40" s="13">
        <f t="shared" si="43"/>
        <v>0</v>
      </c>
      <c r="DJ40" s="13">
        <f t="shared" si="95"/>
        <v>0</v>
      </c>
      <c r="DK40" s="12">
        <f t="shared" si="96"/>
        <v>1.8786803761161448</v>
      </c>
      <c r="DL40" s="26"/>
      <c r="DM40" s="23">
        <f t="shared" si="97"/>
        <v>0.49421061443079922</v>
      </c>
      <c r="DN40" s="13">
        <f t="shared" si="97"/>
        <v>2.2893243772083502E-3</v>
      </c>
      <c r="DO40" s="13">
        <f t="shared" si="97"/>
        <v>0.23101976288828971</v>
      </c>
      <c r="DP40" s="13">
        <f t="shared" si="97"/>
        <v>0</v>
      </c>
      <c r="DQ40" s="13">
        <f t="shared" si="97"/>
        <v>1.3344280486303697E-2</v>
      </c>
      <c r="DR40" s="13">
        <f t="shared" si="97"/>
        <v>1.4199625430130394E-2</v>
      </c>
      <c r="DS40" s="13">
        <f t="shared" si="97"/>
        <v>6.7680832611100123E-3</v>
      </c>
      <c r="DT40" s="13">
        <f t="shared" si="97"/>
        <v>0</v>
      </c>
      <c r="DU40" s="13">
        <f t="shared" si="97"/>
        <v>1.3349658279006511E-3</v>
      </c>
      <c r="DV40" s="13">
        <f t="shared" si="97"/>
        <v>1.7261750651677937E-2</v>
      </c>
      <c r="DW40" s="13">
        <f t="shared" si="97"/>
        <v>0.1423073572542094</v>
      </c>
      <c r="DX40" s="13">
        <f t="shared" si="97"/>
        <v>9.8231944083610953E-2</v>
      </c>
      <c r="DY40" s="13">
        <f t="shared" si="97"/>
        <v>0</v>
      </c>
      <c r="DZ40" s="13">
        <f t="shared" si="97"/>
        <v>0</v>
      </c>
      <c r="EA40" s="12">
        <f t="shared" si="45"/>
        <v>1</v>
      </c>
      <c r="EB40" s="26"/>
      <c r="EC40" s="30">
        <f t="shared" si="46"/>
        <v>1323</v>
      </c>
      <c r="ED40" s="14">
        <f t="shared" si="98"/>
        <v>100000</v>
      </c>
      <c r="EE40" s="29"/>
      <c r="EF40" s="184">
        <f t="shared" si="122"/>
        <v>-9.2342365835222964</v>
      </c>
      <c r="EG40" s="13">
        <f t="shared" si="99"/>
        <v>1</v>
      </c>
      <c r="EH40" s="13">
        <f t="shared" si="100"/>
        <v>0.24926606198035017</v>
      </c>
      <c r="EI40" s="12">
        <f t="shared" si="47"/>
        <v>4.8414996220710531</v>
      </c>
      <c r="EJ40" s="29"/>
      <c r="EK40" s="28">
        <f t="shared" si="101"/>
        <v>-1.4344624609844667</v>
      </c>
      <c r="EL40" s="24">
        <f t="shared" si="102"/>
        <v>-0.62286689578135768</v>
      </c>
      <c r="EM40" s="24">
        <f t="shared" si="103"/>
        <v>0.23824339472070982</v>
      </c>
      <c r="EN40" s="24">
        <f t="shared" si="104"/>
        <v>1.8395310268534599E-2</v>
      </c>
      <c r="EO40" s="24">
        <f t="shared" si="105"/>
        <v>4.3825611653164152E-3</v>
      </c>
      <c r="EP40" s="24">
        <f t="shared" si="106"/>
        <v>0.32271659512895662</v>
      </c>
      <c r="EQ40" s="24">
        <f t="shared" si="107"/>
        <v>-1.434144842257703</v>
      </c>
      <c r="ER40" s="24">
        <f t="shared" si="48"/>
        <v>-21.260588302766156</v>
      </c>
      <c r="ES40" s="25">
        <f t="shared" si="49"/>
        <v>-9.2316927063682837</v>
      </c>
      <c r="ET40" s="26"/>
      <c r="EU40" s="23">
        <f t="shared" si="123"/>
        <v>-0.65385717679977162</v>
      </c>
      <c r="EV40" s="12">
        <f t="shared" si="50"/>
        <v>0.18159746753767825</v>
      </c>
      <c r="EW40" s="26"/>
      <c r="EX40" s="27">
        <f t="shared" si="108"/>
        <v>0.44268836623770724</v>
      </c>
      <c r="EY40" s="26"/>
      <c r="EZ40" s="23">
        <f t="shared" si="51"/>
        <v>-5.8653038904465546</v>
      </c>
      <c r="FA40" s="13">
        <f t="shared" si="52"/>
        <v>17.35455527730846</v>
      </c>
      <c r="FB40" s="13">
        <f t="shared" si="53"/>
        <v>-21.845149910644157</v>
      </c>
      <c r="FC40" s="13">
        <f t="shared" si="54"/>
        <v>2.5397780736017594</v>
      </c>
      <c r="FD40" s="12">
        <f t="shared" si="55"/>
        <v>0.92688378799899562</v>
      </c>
      <c r="FE40" s="13"/>
      <c r="FF40" s="23">
        <f t="shared" si="56"/>
        <v>-6.3218586190431489</v>
      </c>
      <c r="FG40" s="13">
        <f t="shared" si="57"/>
        <v>11.058766913814356</v>
      </c>
      <c r="FH40" s="13">
        <f t="shared" si="58"/>
        <v>11.533064572985609</v>
      </c>
      <c r="FI40" s="24">
        <f t="shared" si="109"/>
        <v>7.551805559303848E-2</v>
      </c>
      <c r="FJ40" s="25">
        <f t="shared" si="59"/>
        <v>0.19580050987754838</v>
      </c>
      <c r="FK40" s="13"/>
      <c r="FL40" s="23">
        <f t="shared" si="110"/>
        <v>10.535368458090744</v>
      </c>
      <c r="FM40" s="13">
        <f t="shared" si="124"/>
        <v>-5.955924984035625</v>
      </c>
      <c r="FN40" s="13">
        <f t="shared" si="111"/>
        <v>-1.9771797249182228</v>
      </c>
      <c r="FO40" s="13">
        <f t="shared" si="60"/>
        <v>1.0429583811001564E-2</v>
      </c>
      <c r="FP40" s="23">
        <f t="shared" si="112"/>
        <v>-1.977262264600764</v>
      </c>
      <c r="FQ40" s="13">
        <f t="shared" si="113"/>
        <v>1.0427622476101739E-2</v>
      </c>
      <c r="FR40" s="13">
        <f t="shared" si="114"/>
        <v>-1.9772299138826988</v>
      </c>
      <c r="FS40" s="13">
        <f t="shared" si="115"/>
        <v>1.0428391160940298E-2</v>
      </c>
      <c r="FT40" s="13">
        <f t="shared" si="116"/>
        <v>-1.977270579037647</v>
      </c>
      <c r="FU40" s="12">
        <f t="shared" si="117"/>
        <v>1.0427424925970374E-2</v>
      </c>
      <c r="FV40" s="22"/>
      <c r="FW40" s="11">
        <f t="shared" si="61"/>
        <v>1</v>
      </c>
      <c r="FX40" s="10">
        <f t="shared" si="62"/>
        <v>0.24926606198035017</v>
      </c>
      <c r="FY40" s="10">
        <f t="shared" si="63"/>
        <v>4.8414996220710531</v>
      </c>
      <c r="FZ40" s="5">
        <f t="shared" si="64"/>
        <v>-9.2342365835222964</v>
      </c>
      <c r="GA40" s="10">
        <f t="shared" si="65"/>
        <v>0.32271659512895662</v>
      </c>
      <c r="GB40" s="9">
        <f t="shared" si="118"/>
        <v>10.535368458090744</v>
      </c>
      <c r="GC40" s="8">
        <f t="shared" si="119"/>
        <v>-5.955924984035625</v>
      </c>
      <c r="GD40" s="8">
        <f t="shared" si="120"/>
        <v>1.0429583811001564E-2</v>
      </c>
      <c r="GE40" s="7">
        <f t="shared" si="121"/>
        <v>1.0427622476101739E-2</v>
      </c>
      <c r="GF40" s="6">
        <f t="shared" si="66"/>
        <v>7.551805559303848E-2</v>
      </c>
      <c r="GG40" s="5">
        <f t="shared" si="67"/>
        <v>0.19580050987754838</v>
      </c>
      <c r="GH40" s="4">
        <f t="shared" si="68"/>
        <v>0.92688378799899562</v>
      </c>
      <c r="GI40" s="4">
        <f t="shared" si="69"/>
        <v>0.44268836623770724</v>
      </c>
      <c r="GJ40" s="4">
        <f t="shared" si="70"/>
        <v>0.18159746753767825</v>
      </c>
      <c r="GK40" s="1"/>
    </row>
    <row r="41" spans="1:193" x14ac:dyDescent="0.4">
      <c r="A41" s="34"/>
      <c r="B41" s="21"/>
      <c r="C41" s="21"/>
      <c r="D41" s="34"/>
      <c r="E41" s="34"/>
      <c r="F41" s="20" t="s">
        <v>83</v>
      </c>
      <c r="G41" s="19">
        <v>1050</v>
      </c>
      <c r="H41" s="18">
        <v>1E-4</v>
      </c>
      <c r="I41" s="17">
        <v>1.4</v>
      </c>
      <c r="J41" s="16">
        <v>55.2</v>
      </c>
      <c r="K41" s="16">
        <v>0.34</v>
      </c>
      <c r="L41" s="16">
        <v>21.9</v>
      </c>
      <c r="M41" s="16">
        <v>0</v>
      </c>
      <c r="N41" s="16">
        <v>2.8</v>
      </c>
      <c r="O41" s="16">
        <v>0</v>
      </c>
      <c r="P41" s="16">
        <v>0.1</v>
      </c>
      <c r="Q41" s="16">
        <v>1.8</v>
      </c>
      <c r="R41" s="16">
        <v>8.1999999999999993</v>
      </c>
      <c r="S41" s="16">
        <v>8.6</v>
      </c>
      <c r="T41" s="16">
        <v>0</v>
      </c>
      <c r="U41" s="15">
        <v>0</v>
      </c>
      <c r="V41" s="16"/>
      <c r="W41" s="28">
        <f t="shared" si="71"/>
        <v>55.791388720436643</v>
      </c>
      <c r="X41" s="24">
        <f t="shared" si="125"/>
        <v>0.34364261168384885</v>
      </c>
      <c r="Y41" s="24">
        <f t="shared" si="125"/>
        <v>22.13462704669497</v>
      </c>
      <c r="Z41" s="24">
        <f t="shared" si="125"/>
        <v>0</v>
      </c>
      <c r="AA41" s="24">
        <f t="shared" si="125"/>
        <v>2.8299979785728726</v>
      </c>
      <c r="AB41" s="24">
        <f t="shared" si="125"/>
        <v>0</v>
      </c>
      <c r="AC41" s="24">
        <f t="shared" si="125"/>
        <v>0.10107135637760262</v>
      </c>
      <c r="AD41" s="24">
        <f t="shared" si="125"/>
        <v>1.819284414796847</v>
      </c>
      <c r="AE41" s="24">
        <f t="shared" si="125"/>
        <v>8.2878512229634129</v>
      </c>
      <c r="AF41" s="24">
        <f t="shared" si="125"/>
        <v>8.6921366484738236</v>
      </c>
      <c r="AG41" s="24">
        <f t="shared" si="125"/>
        <v>0</v>
      </c>
      <c r="AH41" s="24">
        <f t="shared" si="125"/>
        <v>0</v>
      </c>
      <c r="AI41" s="14">
        <f t="shared" si="72"/>
        <v>100.00000000000001</v>
      </c>
      <c r="AJ41" s="26"/>
      <c r="AK41" s="50">
        <f t="shared" si="73"/>
        <v>0.92846378299944488</v>
      </c>
      <c r="AL41" s="47">
        <f t="shared" si="74"/>
        <v>4.3009087820256421E-3</v>
      </c>
      <c r="AM41" s="47">
        <f t="shared" si="75"/>
        <v>0.21709128135244185</v>
      </c>
      <c r="AN41" s="49">
        <f t="shared" si="76"/>
        <v>0</v>
      </c>
      <c r="AO41" s="49">
        <f t="shared" si="77"/>
        <v>3.938758494882217E-2</v>
      </c>
      <c r="AP41" s="47">
        <f t="shared" si="78"/>
        <v>0</v>
      </c>
      <c r="AQ41" s="47">
        <f t="shared" si="79"/>
        <v>2.506730068888954E-3</v>
      </c>
      <c r="AR41" s="47">
        <f t="shared" si="80"/>
        <v>3.2440877581969459E-2</v>
      </c>
      <c r="AS41" s="47">
        <f t="shared" si="81"/>
        <v>0.13371815461380143</v>
      </c>
      <c r="AT41" s="47">
        <f t="shared" si="82"/>
        <v>9.2273212828809167E-2</v>
      </c>
      <c r="AU41" s="47">
        <f t="shared" si="83"/>
        <v>0</v>
      </c>
      <c r="AV41" s="47">
        <f t="shared" si="84"/>
        <v>0</v>
      </c>
      <c r="AW41" s="47">
        <f t="shared" si="85"/>
        <v>1.4501825331762037</v>
      </c>
      <c r="AX41" s="47">
        <f t="shared" si="86"/>
        <v>2.5075551179552555E-2</v>
      </c>
      <c r="AY41" s="46">
        <f t="shared" si="87"/>
        <v>7.1582901306000389E-3</v>
      </c>
      <c r="AZ41" s="26"/>
      <c r="BA41" s="23">
        <f t="shared" si="88"/>
        <v>0.64023925385855707</v>
      </c>
      <c r="BB41" s="13">
        <f t="shared" si="6"/>
        <v>2.9657706417175983E-3</v>
      </c>
      <c r="BC41" s="13">
        <f t="shared" si="7"/>
        <v>0.14969928018438233</v>
      </c>
      <c r="BD41" s="13">
        <f t="shared" si="8"/>
        <v>0</v>
      </c>
      <c r="BE41" s="13">
        <f t="shared" si="9"/>
        <v>2.7160432599167433E-2</v>
      </c>
      <c r="BF41" s="13">
        <f t="shared" si="10"/>
        <v>1.7291306856821564E-2</v>
      </c>
      <c r="BG41" s="13">
        <f t="shared" si="11"/>
        <v>4.9361304296790028E-3</v>
      </c>
      <c r="BH41" s="13">
        <f t="shared" si="12"/>
        <v>0</v>
      </c>
      <c r="BI41" s="13">
        <f t="shared" si="13"/>
        <v>1.7285617579455256E-3</v>
      </c>
      <c r="BJ41" s="13">
        <f t="shared" si="14"/>
        <v>2.2370202950188028E-2</v>
      </c>
      <c r="BK41" s="13">
        <f t="shared" si="15"/>
        <v>9.2207809399642016E-2</v>
      </c>
      <c r="BL41" s="13">
        <f t="shared" si="16"/>
        <v>6.3628688608399861E-2</v>
      </c>
      <c r="BM41" s="13">
        <f t="shared" si="17"/>
        <v>0</v>
      </c>
      <c r="BN41" s="13">
        <f t="shared" si="18"/>
        <v>0</v>
      </c>
      <c r="BO41" s="12">
        <f t="shared" si="89"/>
        <v>0.99999999999999978</v>
      </c>
      <c r="BP41" s="13"/>
      <c r="BQ41" s="23">
        <f t="shared" si="90"/>
        <v>1.8569275659988898</v>
      </c>
      <c r="BR41" s="13">
        <f t="shared" si="19"/>
        <v>8.6018175640512843E-3</v>
      </c>
      <c r="BS41" s="13">
        <f t="shared" si="20"/>
        <v>0.65101844254985208</v>
      </c>
      <c r="BT41" s="13">
        <f t="shared" si="21"/>
        <v>0</v>
      </c>
      <c r="BU41" s="13">
        <f t="shared" si="22"/>
        <v>3.938758494882217E-2</v>
      </c>
      <c r="BV41" s="13">
        <f t="shared" si="91"/>
        <v>2.5075551179552555E-2</v>
      </c>
      <c r="BW41" s="24">
        <f t="shared" si="92"/>
        <v>2.1474870391800117E-2</v>
      </c>
      <c r="BX41" s="13">
        <f t="shared" si="23"/>
        <v>0</v>
      </c>
      <c r="BY41" s="13">
        <f t="shared" si="24"/>
        <v>2.5079741036625959E-3</v>
      </c>
      <c r="BZ41" s="13">
        <f t="shared" si="25"/>
        <v>3.2429312206717416E-2</v>
      </c>
      <c r="CA41" s="13">
        <f t="shared" si="26"/>
        <v>0.13367501972521634</v>
      </c>
      <c r="CB41" s="13">
        <f t="shared" si="27"/>
        <v>9.2273212828809167E-2</v>
      </c>
      <c r="CC41" s="13">
        <f t="shared" si="28"/>
        <v>0</v>
      </c>
      <c r="CD41" s="13">
        <f t="shared" si="93"/>
        <v>0</v>
      </c>
      <c r="CE41" s="12">
        <f t="shared" si="94"/>
        <v>2.816820929926021</v>
      </c>
      <c r="CF41" s="13"/>
      <c r="CG41" s="23">
        <f t="shared" si="127"/>
        <v>0.65922811999542297</v>
      </c>
      <c r="CH41" s="13">
        <f t="shared" si="127"/>
        <v>3.0537324799972984E-3</v>
      </c>
      <c r="CI41" s="13">
        <f t="shared" si="127"/>
        <v>0.23111815012214851</v>
      </c>
      <c r="CJ41" s="13">
        <f t="shared" si="127"/>
        <v>0</v>
      </c>
      <c r="CK41" s="13">
        <f t="shared" si="126"/>
        <v>1.3982992149187353E-2</v>
      </c>
      <c r="CL41" s="13">
        <f t="shared" si="126"/>
        <v>8.9020749999223856E-3</v>
      </c>
      <c r="CM41" s="13">
        <f t="shared" si="126"/>
        <v>7.6237968000202692E-3</v>
      </c>
      <c r="CN41" s="13">
        <f t="shared" si="126"/>
        <v>0</v>
      </c>
      <c r="CO41" s="13">
        <f t="shared" si="126"/>
        <v>8.9035624416794706E-4</v>
      </c>
      <c r="CP41" s="13">
        <f t="shared" si="126"/>
        <v>1.1512734750791957E-2</v>
      </c>
      <c r="CQ41" s="13">
        <f t="shared" si="126"/>
        <v>4.7455987814151571E-2</v>
      </c>
      <c r="CR41" s="13">
        <f t="shared" si="126"/>
        <v>3.2757926444132383E-2</v>
      </c>
      <c r="CS41" s="13">
        <f t="shared" si="126"/>
        <v>0</v>
      </c>
      <c r="CT41" s="13">
        <f t="shared" si="126"/>
        <v>0</v>
      </c>
      <c r="CU41" s="12">
        <f t="shared" si="30"/>
        <v>1</v>
      </c>
      <c r="CV41" s="26"/>
      <c r="CW41" s="23">
        <f t="shared" si="31"/>
        <v>0.92846378299944488</v>
      </c>
      <c r="CX41" s="13">
        <f t="shared" si="32"/>
        <v>4.3009087820256421E-3</v>
      </c>
      <c r="CY41" s="13">
        <f t="shared" si="33"/>
        <v>0.43401229503323469</v>
      </c>
      <c r="CZ41" s="13">
        <f t="shared" si="34"/>
        <v>0</v>
      </c>
      <c r="DA41" s="13">
        <f t="shared" si="35"/>
        <v>2.506963788300836E-2</v>
      </c>
      <c r="DB41" s="13">
        <f t="shared" si="36"/>
        <v>2.5075551179552555E-2</v>
      </c>
      <c r="DC41" s="24">
        <f t="shared" si="37"/>
        <v>1.4316580261200078E-2</v>
      </c>
      <c r="DD41" s="13">
        <f t="shared" si="38"/>
        <v>0</v>
      </c>
      <c r="DE41" s="13">
        <f t="shared" si="39"/>
        <v>2.5079741036625959E-3</v>
      </c>
      <c r="DF41" s="13">
        <f t="shared" si="40"/>
        <v>3.2429312206717416E-2</v>
      </c>
      <c r="DG41" s="13">
        <f t="shared" si="41"/>
        <v>0.26735003945043267</v>
      </c>
      <c r="DH41" s="13">
        <f t="shared" si="42"/>
        <v>0.18454642565761833</v>
      </c>
      <c r="DI41" s="13">
        <f t="shared" si="43"/>
        <v>0</v>
      </c>
      <c r="DJ41" s="13">
        <f t="shared" si="95"/>
        <v>0</v>
      </c>
      <c r="DK41" s="12">
        <f t="shared" si="96"/>
        <v>1.8786803761161448</v>
      </c>
      <c r="DL41" s="26"/>
      <c r="DM41" s="23">
        <f t="shared" si="97"/>
        <v>0.49421061443079922</v>
      </c>
      <c r="DN41" s="13">
        <f t="shared" si="97"/>
        <v>2.2893243772083502E-3</v>
      </c>
      <c r="DO41" s="13">
        <f t="shared" si="97"/>
        <v>0.23101976288828971</v>
      </c>
      <c r="DP41" s="13">
        <f t="shared" si="97"/>
        <v>0</v>
      </c>
      <c r="DQ41" s="13">
        <f t="shared" si="97"/>
        <v>1.3344280486303697E-2</v>
      </c>
      <c r="DR41" s="13">
        <f t="shared" si="97"/>
        <v>1.3347428066179109E-2</v>
      </c>
      <c r="DS41" s="13">
        <f t="shared" si="97"/>
        <v>7.6205513418930769E-3</v>
      </c>
      <c r="DT41" s="13">
        <f t="shared" si="97"/>
        <v>0</v>
      </c>
      <c r="DU41" s="13">
        <f t="shared" si="97"/>
        <v>1.3349658279006511E-3</v>
      </c>
      <c r="DV41" s="13">
        <f t="shared" si="97"/>
        <v>1.7261750651677937E-2</v>
      </c>
      <c r="DW41" s="13">
        <f t="shared" si="97"/>
        <v>0.1423073572542094</v>
      </c>
      <c r="DX41" s="13">
        <f t="shared" si="97"/>
        <v>9.8231944083610953E-2</v>
      </c>
      <c r="DY41" s="13">
        <f t="shared" si="97"/>
        <v>0</v>
      </c>
      <c r="DZ41" s="13">
        <f t="shared" si="97"/>
        <v>0</v>
      </c>
      <c r="EA41" s="12">
        <f t="shared" si="45"/>
        <v>1</v>
      </c>
      <c r="EB41" s="26"/>
      <c r="EC41" s="30">
        <f t="shared" si="46"/>
        <v>1323</v>
      </c>
      <c r="ED41" s="14">
        <f t="shared" si="98"/>
        <v>100000</v>
      </c>
      <c r="EE41" s="29"/>
      <c r="EF41" s="184">
        <f t="shared" si="122"/>
        <v>-8.834236583522296</v>
      </c>
      <c r="EG41" s="13">
        <f t="shared" si="99"/>
        <v>1.4</v>
      </c>
      <c r="EH41" s="13">
        <f t="shared" si="100"/>
        <v>0.64926606198035053</v>
      </c>
      <c r="EI41" s="12">
        <f t="shared" si="47"/>
        <v>5.2414996220710535</v>
      </c>
      <c r="EJ41" s="29"/>
      <c r="EK41" s="28">
        <f t="shared" si="101"/>
        <v>-1.2539397896937337</v>
      </c>
      <c r="EL41" s="24">
        <f t="shared" si="102"/>
        <v>-0.54448102027517742</v>
      </c>
      <c r="EM41" s="24">
        <f t="shared" si="103"/>
        <v>0.28537824885261404</v>
      </c>
      <c r="EN41" s="24">
        <f t="shared" si="104"/>
        <v>1.7291306856821564E-2</v>
      </c>
      <c r="EO41" s="24">
        <f t="shared" si="105"/>
        <v>4.9345628711729358E-3</v>
      </c>
      <c r="EP41" s="24">
        <f t="shared" si="106"/>
        <v>0.36336408510107443</v>
      </c>
      <c r="EQ41" s="24">
        <f t="shared" si="107"/>
        <v>-1.2536221709669699</v>
      </c>
      <c r="ER41" s="24">
        <f t="shared" si="48"/>
        <v>-20.339554265568534</v>
      </c>
      <c r="ES41" s="25">
        <f t="shared" si="49"/>
        <v>-8.8317647701122599</v>
      </c>
      <c r="ET41" s="26"/>
      <c r="EU41" s="23">
        <f t="shared" si="123"/>
        <v>-2.6657176799769644E-2</v>
      </c>
      <c r="EV41" s="12">
        <f t="shared" si="50"/>
        <v>0.48465971150010612</v>
      </c>
      <c r="EW41" s="26"/>
      <c r="EX41" s="27">
        <f t="shared" si="108"/>
        <v>0.83366246918343812</v>
      </c>
      <c r="EY41" s="26"/>
      <c r="EZ41" s="23">
        <f t="shared" ref="EZ41:EZ59" si="128">IF(EA41="","",-23590/(EC41)+8.77+(1673/(EC41))*(6.7*(DW41+DX41)+1.8*DO41+4.9*DU41+8.1*DV41+5*DN41+8.9*(DQ41+DT41)-22.2*(DQ41+DT41)*DN41+7.2*(DQ41+DT41)*DM41)-2.06*ERF(-7.2*DQ41+DT41))</f>
        <v>-5.8653038904465546</v>
      </c>
      <c r="FA41" s="13">
        <f t="shared" si="52"/>
        <v>17.343926965513152</v>
      </c>
      <c r="FB41" s="13">
        <f t="shared" ref="FB41:FB59" si="129">IF(G41="","",-55921/(EC41)+25.07-0.6465*LN(EC41))</f>
        <v>-21.845149910644157</v>
      </c>
      <c r="FC41" s="13">
        <f t="shared" ref="FC41:FC59" si="130">IF(EZ41="","",(FA41-FB41-EZ41)+2*LN(10)*EF41)</f>
        <v>4.3712178362016871</v>
      </c>
      <c r="FD41" s="12">
        <f t="shared" si="55"/>
        <v>0.98752182939515953</v>
      </c>
      <c r="FE41" s="13"/>
      <c r="FF41" s="23">
        <f t="shared" ref="FF41:FF59" si="131">IF(CU41="","",0.225+(25237*CL41+5214*CP41+12705*CN41+19829*CR41-1109*CG41-8879)/(EC41))</f>
        <v>-6.3327006771357164</v>
      </c>
      <c r="FG41" s="13">
        <f t="shared" ref="FG41:FG59" si="132">IF(CU41="","",-12.948+(28649*CQ41+15602*CP41+9496*CO41+16016*CN41+4194*CI41+29244)/(EC41))</f>
        <v>11.058766913814356</v>
      </c>
      <c r="FH41" s="13">
        <f t="shared" ref="FH41:FH59" si="133">IF(CU41="","",-213.65+(25696*CQ41+15076*CP41+9543*CO41+16158*CN41+4316*CI41+68254)/(EC41)+55.03*LOG(EC41))</f>
        <v>11.533064572985609</v>
      </c>
      <c r="FI41" s="24">
        <f t="shared" ref="FI41:FI59" si="134">IF(FF41="","",1-1/(1+10^(FG41-$FF41+2*$EF41)))</f>
        <v>0.34573748196738174</v>
      </c>
      <c r="FJ41" s="25">
        <f t="shared" ref="FJ41:FJ59" si="135">IF(FH41="","",1-1/(1+10^(FH41-$FF41+2*$EF41)))</f>
        <v>0.61165678890536768</v>
      </c>
      <c r="FK41" s="13"/>
      <c r="FL41" s="23">
        <f t="shared" si="110"/>
        <v>10.535368458090744</v>
      </c>
      <c r="FM41" s="13">
        <f t="shared" si="124"/>
        <v>-5.9500238128527956</v>
      </c>
      <c r="FN41" s="13">
        <f t="shared" ref="FN41:FN59" si="136">IF($FL41="","",$FL41-$FM41+2*$EF41)</f>
        <v>-1.1830808961010533</v>
      </c>
      <c r="FO41" s="13">
        <f t="shared" si="60"/>
        <v>6.1563592145949197E-2</v>
      </c>
      <c r="FP41" s="23">
        <f t="shared" ref="FP41:FP59" si="137">IF($FL41="","",$FL41-$FM41+2*($EF41-(0.0546*($H41*10000)/($G41+273))))</f>
        <v>-1.1831634357835945</v>
      </c>
      <c r="FQ41" s="13">
        <f t="shared" ref="FQ41:FQ61" si="138">IF($FP41="","",1-1/(1+10^FP41))</f>
        <v>6.1552612935859452E-2</v>
      </c>
      <c r="FR41" s="13">
        <f t="shared" ref="FR41:FR59" si="139">IF($FL41="","",$FL41-$FM41+2*($EF41-(0.0332*($H41*10000)/($G41+273))))</f>
        <v>-1.1831310850655292</v>
      </c>
      <c r="FS41" s="13">
        <f t="shared" si="115"/>
        <v>6.1556915924709465E-2</v>
      </c>
      <c r="FT41" s="13">
        <f t="shared" ref="FT41:FT59" si="140">IF($FL41="","",$FL41-$FM41+2*($EF41-(0.0601*($H41*10000)/($G41+273))))</f>
        <v>-1.1831717502204775</v>
      </c>
      <c r="FU41" s="12">
        <f t="shared" si="117"/>
        <v>6.1551507072911682E-2</v>
      </c>
      <c r="FV41" s="22"/>
      <c r="FW41" s="11">
        <f t="shared" ref="FW41:FW72" si="141">EG41</f>
        <v>1.4</v>
      </c>
      <c r="FX41" s="10">
        <f t="shared" ref="FX41:FX72" si="142">EH41</f>
        <v>0.64926606198035053</v>
      </c>
      <c r="FY41" s="10">
        <f t="shared" ref="FY41:FY72" si="143">EI41</f>
        <v>5.2414996220710535</v>
      </c>
      <c r="FZ41" s="5">
        <f t="shared" ref="FZ41:FZ72" si="144">EF41</f>
        <v>-8.834236583522296</v>
      </c>
      <c r="GA41" s="10">
        <f t="shared" ref="GA41:GA72" si="145">EP41</f>
        <v>0.36336408510107443</v>
      </c>
      <c r="GB41" s="9">
        <f t="shared" si="118"/>
        <v>10.535368458090744</v>
      </c>
      <c r="GC41" s="8">
        <f t="shared" si="119"/>
        <v>-5.9500238128527956</v>
      </c>
      <c r="GD41" s="8">
        <f t="shared" si="120"/>
        <v>6.1563592145949197E-2</v>
      </c>
      <c r="GE41" s="7">
        <f t="shared" si="121"/>
        <v>6.1552612935859452E-2</v>
      </c>
      <c r="GF41" s="6">
        <f t="shared" ref="GF41:GF59" si="146">FI41</f>
        <v>0.34573748196738174</v>
      </c>
      <c r="GG41" s="5">
        <f t="shared" ref="GG41:GG59" si="147">FJ41</f>
        <v>0.61165678890536768</v>
      </c>
      <c r="GH41" s="4">
        <f t="shared" ref="GH41:GH59" si="148">FD41</f>
        <v>0.98752182939515953</v>
      </c>
      <c r="GI41" s="4">
        <f t="shared" ref="GI41:GI72" si="149">EX41</f>
        <v>0.83366246918343812</v>
      </c>
      <c r="GJ41" s="4">
        <f t="shared" ref="GJ41:GJ72" si="150">EV41</f>
        <v>0.48465971150010612</v>
      </c>
      <c r="GK41" s="1"/>
    </row>
    <row r="42" spans="1:193" x14ac:dyDescent="0.4">
      <c r="A42" s="34"/>
      <c r="B42" s="21"/>
      <c r="C42" s="21"/>
      <c r="D42" s="34"/>
      <c r="E42" s="34"/>
      <c r="F42" s="20" t="s">
        <v>83</v>
      </c>
      <c r="G42" s="19">
        <v>1050</v>
      </c>
      <c r="H42" s="18">
        <v>1E-4</v>
      </c>
      <c r="I42" s="17">
        <v>1.8</v>
      </c>
      <c r="J42" s="16">
        <v>55.2</v>
      </c>
      <c r="K42" s="16">
        <v>0.34</v>
      </c>
      <c r="L42" s="16">
        <v>21.9</v>
      </c>
      <c r="M42" s="16">
        <v>0</v>
      </c>
      <c r="N42" s="16">
        <v>2.8</v>
      </c>
      <c r="O42" s="16">
        <v>0</v>
      </c>
      <c r="P42" s="16">
        <v>0.1</v>
      </c>
      <c r="Q42" s="16">
        <v>1.8</v>
      </c>
      <c r="R42" s="16">
        <v>8.1999999999999993</v>
      </c>
      <c r="S42" s="16">
        <v>8.6</v>
      </c>
      <c r="T42" s="16">
        <v>0</v>
      </c>
      <c r="U42" s="15">
        <v>0</v>
      </c>
      <c r="V42" s="16"/>
      <c r="W42" s="28">
        <f t="shared" si="71"/>
        <v>55.791388720436643</v>
      </c>
      <c r="X42" s="24">
        <f t="shared" si="125"/>
        <v>0.34364261168384885</v>
      </c>
      <c r="Y42" s="24">
        <f t="shared" si="125"/>
        <v>22.13462704669497</v>
      </c>
      <c r="Z42" s="24">
        <f t="shared" si="125"/>
        <v>0</v>
      </c>
      <c r="AA42" s="24">
        <f t="shared" si="125"/>
        <v>2.8299979785728726</v>
      </c>
      <c r="AB42" s="24">
        <f t="shared" si="125"/>
        <v>0</v>
      </c>
      <c r="AC42" s="24">
        <f t="shared" si="125"/>
        <v>0.10107135637760262</v>
      </c>
      <c r="AD42" s="24">
        <f t="shared" si="125"/>
        <v>1.819284414796847</v>
      </c>
      <c r="AE42" s="24">
        <f t="shared" si="125"/>
        <v>8.2878512229634129</v>
      </c>
      <c r="AF42" s="24">
        <f t="shared" si="125"/>
        <v>8.6921366484738236</v>
      </c>
      <c r="AG42" s="24">
        <f t="shared" si="125"/>
        <v>0</v>
      </c>
      <c r="AH42" s="24">
        <f t="shared" si="125"/>
        <v>0</v>
      </c>
      <c r="AI42" s="14">
        <f t="shared" si="72"/>
        <v>100.00000000000001</v>
      </c>
      <c r="AJ42" s="26"/>
      <c r="AK42" s="50">
        <f t="shared" si="73"/>
        <v>0.92846378299944488</v>
      </c>
      <c r="AL42" s="47">
        <f t="shared" si="74"/>
        <v>4.3009087820256421E-3</v>
      </c>
      <c r="AM42" s="47">
        <f t="shared" si="75"/>
        <v>0.21709128135244185</v>
      </c>
      <c r="AN42" s="49">
        <f t="shared" si="76"/>
        <v>0</v>
      </c>
      <c r="AO42" s="49">
        <f t="shared" si="77"/>
        <v>3.938758494882217E-2</v>
      </c>
      <c r="AP42" s="47">
        <f t="shared" si="78"/>
        <v>0</v>
      </c>
      <c r="AQ42" s="47">
        <f t="shared" si="79"/>
        <v>2.506730068888954E-3</v>
      </c>
      <c r="AR42" s="47">
        <f t="shared" si="80"/>
        <v>3.2440877581969459E-2</v>
      </c>
      <c r="AS42" s="47">
        <f t="shared" si="81"/>
        <v>0.13371815461380143</v>
      </c>
      <c r="AT42" s="47">
        <f t="shared" si="82"/>
        <v>9.2273212828809167E-2</v>
      </c>
      <c r="AU42" s="47">
        <f t="shared" si="83"/>
        <v>0</v>
      </c>
      <c r="AV42" s="47">
        <f t="shared" si="84"/>
        <v>0</v>
      </c>
      <c r="AW42" s="47">
        <f t="shared" si="85"/>
        <v>1.4501825331762037</v>
      </c>
      <c r="AX42" s="47">
        <f t="shared" si="86"/>
        <v>2.3393791582936405E-2</v>
      </c>
      <c r="AY42" s="46">
        <f t="shared" si="87"/>
        <v>7.9994370504981767E-3</v>
      </c>
      <c r="AZ42" s="26"/>
      <c r="BA42" s="23">
        <f t="shared" si="88"/>
        <v>0.64023925385855707</v>
      </c>
      <c r="BB42" s="13">
        <f t="shared" si="6"/>
        <v>2.9657706417175983E-3</v>
      </c>
      <c r="BC42" s="13">
        <f t="shared" si="7"/>
        <v>0.14969928018438233</v>
      </c>
      <c r="BD42" s="13">
        <f t="shared" si="8"/>
        <v>0</v>
      </c>
      <c r="BE42" s="13">
        <f t="shared" si="9"/>
        <v>2.7160432599167433E-2</v>
      </c>
      <c r="BF42" s="13">
        <f t="shared" si="10"/>
        <v>1.6131618639550909E-2</v>
      </c>
      <c r="BG42" s="13">
        <f t="shared" si="11"/>
        <v>5.516158736912748E-3</v>
      </c>
      <c r="BH42" s="13">
        <f t="shared" si="12"/>
        <v>0</v>
      </c>
      <c r="BI42" s="13">
        <f t="shared" si="13"/>
        <v>1.7285617579455256E-3</v>
      </c>
      <c r="BJ42" s="13">
        <f t="shared" si="14"/>
        <v>2.2370202950188028E-2</v>
      </c>
      <c r="BK42" s="13">
        <f t="shared" si="15"/>
        <v>9.2207809399642016E-2</v>
      </c>
      <c r="BL42" s="13">
        <f t="shared" si="16"/>
        <v>6.3628688608399861E-2</v>
      </c>
      <c r="BM42" s="13">
        <f t="shared" si="17"/>
        <v>0</v>
      </c>
      <c r="BN42" s="13">
        <f t="shared" si="18"/>
        <v>0</v>
      </c>
      <c r="BO42" s="12">
        <f t="shared" si="89"/>
        <v>0.99999999999999978</v>
      </c>
      <c r="BP42" s="13"/>
      <c r="BQ42" s="23">
        <f t="shared" si="90"/>
        <v>1.8569275659988898</v>
      </c>
      <c r="BR42" s="13">
        <f t="shared" si="19"/>
        <v>8.6018175640512843E-3</v>
      </c>
      <c r="BS42" s="13">
        <f t="shared" si="20"/>
        <v>0.65101844254985208</v>
      </c>
      <c r="BT42" s="13">
        <f t="shared" si="21"/>
        <v>0</v>
      </c>
      <c r="BU42" s="13">
        <f t="shared" si="22"/>
        <v>3.938758494882217E-2</v>
      </c>
      <c r="BV42" s="13">
        <f t="shared" si="91"/>
        <v>2.3393791582936405E-2</v>
      </c>
      <c r="BW42" s="24">
        <f t="shared" si="92"/>
        <v>2.399831115149453E-2</v>
      </c>
      <c r="BX42" s="13">
        <f t="shared" si="23"/>
        <v>0</v>
      </c>
      <c r="BY42" s="13">
        <f t="shared" si="24"/>
        <v>2.5079741036625959E-3</v>
      </c>
      <c r="BZ42" s="13">
        <f t="shared" si="25"/>
        <v>3.2429312206717416E-2</v>
      </c>
      <c r="CA42" s="13">
        <f t="shared" si="26"/>
        <v>0.13367501972521634</v>
      </c>
      <c r="CB42" s="13">
        <f t="shared" si="27"/>
        <v>9.2273212828809167E-2</v>
      </c>
      <c r="CC42" s="13">
        <f t="shared" si="28"/>
        <v>0</v>
      </c>
      <c r="CD42" s="13">
        <f t="shared" si="93"/>
        <v>0</v>
      </c>
      <c r="CE42" s="12">
        <f t="shared" si="94"/>
        <v>2.816820929926021</v>
      </c>
      <c r="CF42" s="13"/>
      <c r="CG42" s="23">
        <f t="shared" si="127"/>
        <v>0.65922811999542297</v>
      </c>
      <c r="CH42" s="13">
        <f t="shared" si="127"/>
        <v>3.0537324799972984E-3</v>
      </c>
      <c r="CI42" s="13">
        <f t="shared" si="127"/>
        <v>0.23111815012214851</v>
      </c>
      <c r="CJ42" s="13">
        <f t="shared" si="127"/>
        <v>0</v>
      </c>
      <c r="CK42" s="13">
        <f t="shared" si="126"/>
        <v>1.3982992149187353E-2</v>
      </c>
      <c r="CL42" s="13">
        <f t="shared" si="126"/>
        <v>8.305033285715753E-3</v>
      </c>
      <c r="CM42" s="13">
        <f t="shared" si="126"/>
        <v>8.519643863951553E-3</v>
      </c>
      <c r="CN42" s="13">
        <f t="shared" si="126"/>
        <v>0</v>
      </c>
      <c r="CO42" s="13">
        <f t="shared" si="126"/>
        <v>8.9035624416794706E-4</v>
      </c>
      <c r="CP42" s="13">
        <f t="shared" si="126"/>
        <v>1.1512734750791957E-2</v>
      </c>
      <c r="CQ42" s="13">
        <f t="shared" si="126"/>
        <v>4.7455987814151571E-2</v>
      </c>
      <c r="CR42" s="13">
        <f t="shared" si="126"/>
        <v>3.2757926444132383E-2</v>
      </c>
      <c r="CS42" s="13">
        <f t="shared" si="126"/>
        <v>0</v>
      </c>
      <c r="CT42" s="13">
        <f t="shared" si="126"/>
        <v>0</v>
      </c>
      <c r="CU42" s="12">
        <f t="shared" si="30"/>
        <v>1</v>
      </c>
      <c r="CV42" s="26"/>
      <c r="CW42" s="23">
        <f t="shared" si="31"/>
        <v>0.92846378299944488</v>
      </c>
      <c r="CX42" s="13">
        <f t="shared" si="32"/>
        <v>4.3009087820256421E-3</v>
      </c>
      <c r="CY42" s="13">
        <f t="shared" si="33"/>
        <v>0.43401229503323469</v>
      </c>
      <c r="CZ42" s="13">
        <f t="shared" si="34"/>
        <v>0</v>
      </c>
      <c r="DA42" s="13">
        <f t="shared" si="35"/>
        <v>2.506963788300836E-2</v>
      </c>
      <c r="DB42" s="13">
        <f t="shared" si="36"/>
        <v>2.3393791582936405E-2</v>
      </c>
      <c r="DC42" s="24">
        <f t="shared" si="37"/>
        <v>1.5998874100996353E-2</v>
      </c>
      <c r="DD42" s="13">
        <f t="shared" si="38"/>
        <v>0</v>
      </c>
      <c r="DE42" s="13">
        <f t="shared" si="39"/>
        <v>2.5079741036625959E-3</v>
      </c>
      <c r="DF42" s="13">
        <f t="shared" si="40"/>
        <v>3.2429312206717416E-2</v>
      </c>
      <c r="DG42" s="13">
        <f t="shared" si="41"/>
        <v>0.26735003945043267</v>
      </c>
      <c r="DH42" s="13">
        <f t="shared" si="42"/>
        <v>0.18454642565761833</v>
      </c>
      <c r="DI42" s="13">
        <f t="shared" si="43"/>
        <v>0</v>
      </c>
      <c r="DJ42" s="13">
        <f t="shared" si="95"/>
        <v>0</v>
      </c>
      <c r="DK42" s="12">
        <f t="shared" si="96"/>
        <v>1.8786803761161448</v>
      </c>
      <c r="DL42" s="26"/>
      <c r="DM42" s="23">
        <f t="shared" si="97"/>
        <v>0.49421061443079922</v>
      </c>
      <c r="DN42" s="13">
        <f t="shared" si="97"/>
        <v>2.2893243772083502E-3</v>
      </c>
      <c r="DO42" s="13">
        <f t="shared" ref="DO42:DZ63" si="151">IF(OR($DK42="",CY42=""),"",CY42/$DK42)</f>
        <v>0.23101976288828971</v>
      </c>
      <c r="DP42" s="13">
        <f t="shared" si="151"/>
        <v>0</v>
      </c>
      <c r="DQ42" s="13">
        <f t="shared" si="151"/>
        <v>1.3344280486303697E-2</v>
      </c>
      <c r="DR42" s="13">
        <f t="shared" si="151"/>
        <v>1.2452246736775485E-2</v>
      </c>
      <c r="DS42" s="13">
        <f t="shared" si="151"/>
        <v>8.516017042809236E-3</v>
      </c>
      <c r="DT42" s="13">
        <f t="shared" si="151"/>
        <v>0</v>
      </c>
      <c r="DU42" s="13">
        <f t="shared" si="151"/>
        <v>1.3349658279006511E-3</v>
      </c>
      <c r="DV42" s="13">
        <f t="shared" si="151"/>
        <v>1.7261750651677937E-2</v>
      </c>
      <c r="DW42" s="13">
        <f t="shared" si="151"/>
        <v>0.1423073572542094</v>
      </c>
      <c r="DX42" s="13">
        <f t="shared" si="151"/>
        <v>9.8231944083610953E-2</v>
      </c>
      <c r="DY42" s="13">
        <f t="shared" si="151"/>
        <v>0</v>
      </c>
      <c r="DZ42" s="13">
        <f t="shared" si="151"/>
        <v>0</v>
      </c>
      <c r="EA42" s="12">
        <f t="shared" si="45"/>
        <v>1</v>
      </c>
      <c r="EB42" s="26"/>
      <c r="EC42" s="30">
        <f t="shared" si="46"/>
        <v>1323</v>
      </c>
      <c r="ED42" s="14">
        <f t="shared" si="98"/>
        <v>100000</v>
      </c>
      <c r="EE42" s="29"/>
      <c r="EF42" s="184">
        <f t="shared" si="122"/>
        <v>-8.4342365835222957</v>
      </c>
      <c r="EG42" s="13">
        <f t="shared" si="99"/>
        <v>1.8</v>
      </c>
      <c r="EH42" s="13">
        <f t="shared" si="100"/>
        <v>1.0492660619803509</v>
      </c>
      <c r="EI42" s="12">
        <f t="shared" si="47"/>
        <v>5.6414996220710538</v>
      </c>
      <c r="EJ42" s="29"/>
      <c r="EK42" s="28">
        <f t="shared" si="101"/>
        <v>-1.0734171184030006</v>
      </c>
      <c r="EL42" s="24">
        <f t="shared" si="102"/>
        <v>-0.46609514476899722</v>
      </c>
      <c r="EM42" s="24">
        <f t="shared" si="103"/>
        <v>0.34183841702581774</v>
      </c>
      <c r="EN42" s="24">
        <f t="shared" si="104"/>
        <v>1.6131618639550913E-2</v>
      </c>
      <c r="EO42" s="24">
        <f t="shared" si="105"/>
        <v>5.5144069798082592E-3</v>
      </c>
      <c r="EP42" s="24">
        <f t="shared" si="106"/>
        <v>0.40606179299053557</v>
      </c>
      <c r="EQ42" s="24">
        <f t="shared" si="107"/>
        <v>-1.0730994996762366</v>
      </c>
      <c r="ER42" s="24">
        <f t="shared" si="48"/>
        <v>-19.418520228370916</v>
      </c>
      <c r="ES42" s="25">
        <f t="shared" si="49"/>
        <v>-8.4318368338562379</v>
      </c>
      <c r="ET42" s="26"/>
      <c r="EU42" s="23">
        <f t="shared" si="123"/>
        <v>0.60054282320022878</v>
      </c>
      <c r="EV42" s="12">
        <f t="shared" si="50"/>
        <v>0.79944046877334207</v>
      </c>
      <c r="EW42" s="26"/>
      <c r="EX42" s="27">
        <f t="shared" si="108"/>
        <v>0.96934656996828439</v>
      </c>
      <c r="EY42" s="26"/>
      <c r="EZ42" s="23">
        <f t="shared" si="128"/>
        <v>-5.8653038904465546</v>
      </c>
      <c r="FA42" s="13">
        <f t="shared" si="52"/>
        <v>17.332762572516053</v>
      </c>
      <c r="FB42" s="13">
        <f t="shared" si="129"/>
        <v>-21.845149910644157</v>
      </c>
      <c r="FC42" s="13">
        <f t="shared" si="130"/>
        <v>6.2021215175998279</v>
      </c>
      <c r="FD42" s="12">
        <f t="shared" si="55"/>
        <v>0.99797896313451295</v>
      </c>
      <c r="FE42" s="13"/>
      <c r="FF42" s="23">
        <f t="shared" si="131"/>
        <v>-6.3440895975751967</v>
      </c>
      <c r="FG42" s="13">
        <f t="shared" si="132"/>
        <v>11.058766913814356</v>
      </c>
      <c r="FH42" s="13">
        <f t="shared" si="133"/>
        <v>11.533064572985609</v>
      </c>
      <c r="FI42" s="24">
        <f t="shared" si="134"/>
        <v>0.77389962128277234</v>
      </c>
      <c r="FJ42" s="25">
        <f t="shared" si="135"/>
        <v>0.91072941883933578</v>
      </c>
      <c r="FK42" s="13"/>
      <c r="FL42" s="23">
        <f t="shared" si="110"/>
        <v>10.535368458090744</v>
      </c>
      <c r="FM42" s="13">
        <f t="shared" si="124"/>
        <v>-5.9438250195685374</v>
      </c>
      <c r="FN42" s="13">
        <f t="shared" si="136"/>
        <v>-0.38927968938531166</v>
      </c>
      <c r="FO42" s="13">
        <f t="shared" si="60"/>
        <v>0.28980123095355148</v>
      </c>
      <c r="FP42" s="23">
        <f t="shared" si="137"/>
        <v>-0.38936222906785289</v>
      </c>
      <c r="FQ42" s="13">
        <f t="shared" si="138"/>
        <v>0.28976211613920599</v>
      </c>
      <c r="FR42" s="13">
        <f t="shared" si="139"/>
        <v>-0.38932987834978761</v>
      </c>
      <c r="FS42" s="13">
        <f t="shared" si="115"/>
        <v>0.28977744648154402</v>
      </c>
      <c r="FT42" s="13">
        <f t="shared" si="140"/>
        <v>-0.38937054350473588</v>
      </c>
      <c r="FU42" s="12">
        <f t="shared" si="117"/>
        <v>0.28975817617551247</v>
      </c>
      <c r="FV42" s="22"/>
      <c r="FW42" s="11">
        <f t="shared" si="141"/>
        <v>1.8</v>
      </c>
      <c r="FX42" s="10">
        <f t="shared" si="142"/>
        <v>1.0492660619803509</v>
      </c>
      <c r="FY42" s="10">
        <f t="shared" si="143"/>
        <v>5.6414996220710538</v>
      </c>
      <c r="FZ42" s="5">
        <f t="shared" si="144"/>
        <v>-8.4342365835222957</v>
      </c>
      <c r="GA42" s="10">
        <f t="shared" si="145"/>
        <v>0.40606179299053557</v>
      </c>
      <c r="GB42" s="9">
        <f t="shared" si="118"/>
        <v>10.535368458090744</v>
      </c>
      <c r="GC42" s="8">
        <f t="shared" si="119"/>
        <v>-5.9438250195685374</v>
      </c>
      <c r="GD42" s="8">
        <f t="shared" si="120"/>
        <v>0.28980123095355148</v>
      </c>
      <c r="GE42" s="7">
        <f t="shared" si="121"/>
        <v>0.28976211613920599</v>
      </c>
      <c r="GF42" s="6">
        <f t="shared" si="146"/>
        <v>0.77389962128277234</v>
      </c>
      <c r="GG42" s="5">
        <f t="shared" si="147"/>
        <v>0.91072941883933578</v>
      </c>
      <c r="GH42" s="4">
        <f t="shared" si="148"/>
        <v>0.99797896313451295</v>
      </c>
      <c r="GI42" s="4">
        <f t="shared" si="149"/>
        <v>0.96934656996828439</v>
      </c>
      <c r="GJ42" s="4">
        <f t="shared" si="150"/>
        <v>0.79944046877334207</v>
      </c>
      <c r="GK42" s="1"/>
    </row>
    <row r="43" spans="1:193" x14ac:dyDescent="0.4">
      <c r="A43" s="34"/>
      <c r="B43" s="21"/>
      <c r="C43" s="21"/>
      <c r="D43" s="34"/>
      <c r="E43" s="34"/>
      <c r="F43" s="20" t="s">
        <v>83</v>
      </c>
      <c r="G43" s="19">
        <v>1050</v>
      </c>
      <c r="H43" s="18">
        <v>1E-4</v>
      </c>
      <c r="I43" s="17">
        <v>2.2000000000000002</v>
      </c>
      <c r="J43" s="16">
        <v>55.2</v>
      </c>
      <c r="K43" s="16">
        <v>0.34</v>
      </c>
      <c r="L43" s="16">
        <v>21.9</v>
      </c>
      <c r="M43" s="16">
        <v>0</v>
      </c>
      <c r="N43" s="16">
        <v>2.8</v>
      </c>
      <c r="O43" s="16">
        <v>0</v>
      </c>
      <c r="P43" s="16">
        <v>0.1</v>
      </c>
      <c r="Q43" s="16">
        <v>1.8</v>
      </c>
      <c r="R43" s="16">
        <v>8.1999999999999993</v>
      </c>
      <c r="S43" s="16">
        <v>8.6</v>
      </c>
      <c r="T43" s="16">
        <v>0</v>
      </c>
      <c r="U43" s="15">
        <v>0</v>
      </c>
      <c r="V43" s="16"/>
      <c r="W43" s="28">
        <f t="shared" si="71"/>
        <v>55.791388720436643</v>
      </c>
      <c r="X43" s="24">
        <f t="shared" si="125"/>
        <v>0.34364261168384885</v>
      </c>
      <c r="Y43" s="24">
        <f t="shared" si="125"/>
        <v>22.13462704669497</v>
      </c>
      <c r="Z43" s="24">
        <f t="shared" si="125"/>
        <v>0</v>
      </c>
      <c r="AA43" s="24">
        <f t="shared" si="125"/>
        <v>2.8299979785728726</v>
      </c>
      <c r="AB43" s="24">
        <f t="shared" si="125"/>
        <v>0</v>
      </c>
      <c r="AC43" s="24">
        <f t="shared" si="125"/>
        <v>0.10107135637760262</v>
      </c>
      <c r="AD43" s="24">
        <f t="shared" si="125"/>
        <v>1.819284414796847</v>
      </c>
      <c r="AE43" s="24">
        <f t="shared" si="125"/>
        <v>8.2878512229634129</v>
      </c>
      <c r="AF43" s="24">
        <f t="shared" si="125"/>
        <v>8.6921366484738236</v>
      </c>
      <c r="AG43" s="24">
        <f t="shared" si="125"/>
        <v>0</v>
      </c>
      <c r="AH43" s="24">
        <f t="shared" si="125"/>
        <v>0</v>
      </c>
      <c r="AI43" s="14">
        <f t="shared" si="72"/>
        <v>100.00000000000001</v>
      </c>
      <c r="AJ43" s="26"/>
      <c r="AK43" s="50">
        <f t="shared" si="73"/>
        <v>0.92846378299944488</v>
      </c>
      <c r="AL43" s="47">
        <f t="shared" si="74"/>
        <v>4.3009087820256421E-3</v>
      </c>
      <c r="AM43" s="47">
        <f t="shared" si="75"/>
        <v>0.21709128135244185</v>
      </c>
      <c r="AN43" s="49">
        <f t="shared" si="76"/>
        <v>0</v>
      </c>
      <c r="AO43" s="49">
        <f t="shared" si="77"/>
        <v>3.938758494882217E-2</v>
      </c>
      <c r="AP43" s="47">
        <f t="shared" si="78"/>
        <v>0</v>
      </c>
      <c r="AQ43" s="47">
        <f t="shared" si="79"/>
        <v>2.506730068888954E-3</v>
      </c>
      <c r="AR43" s="47">
        <f t="shared" si="80"/>
        <v>3.2440877581969459E-2</v>
      </c>
      <c r="AS43" s="47">
        <f t="shared" si="81"/>
        <v>0.13371815461380143</v>
      </c>
      <c r="AT43" s="47">
        <f t="shared" si="82"/>
        <v>9.2273212828809167E-2</v>
      </c>
      <c r="AU43" s="47">
        <f t="shared" si="83"/>
        <v>0</v>
      </c>
      <c r="AV43" s="47">
        <f t="shared" si="84"/>
        <v>0</v>
      </c>
      <c r="AW43" s="47">
        <f t="shared" si="85"/>
        <v>1.4501825331762037</v>
      </c>
      <c r="AX43" s="47">
        <f t="shared" si="86"/>
        <v>2.1654169327267391E-2</v>
      </c>
      <c r="AY43" s="46">
        <f t="shared" si="87"/>
        <v>8.8695244905142717E-3</v>
      </c>
      <c r="AZ43" s="26"/>
      <c r="BA43" s="23">
        <f t="shared" si="88"/>
        <v>0.64023925385855707</v>
      </c>
      <c r="BB43" s="13">
        <f t="shared" si="6"/>
        <v>2.9657706417175983E-3</v>
      </c>
      <c r="BC43" s="13">
        <f t="shared" si="7"/>
        <v>0.14969928018438233</v>
      </c>
      <c r="BD43" s="13">
        <f t="shared" si="8"/>
        <v>0</v>
      </c>
      <c r="BE43" s="13">
        <f t="shared" si="9"/>
        <v>2.7160432599167433E-2</v>
      </c>
      <c r="BF43" s="13">
        <f t="shared" si="10"/>
        <v>1.4932030163016943E-2</v>
      </c>
      <c r="BG43" s="13">
        <f t="shared" si="11"/>
        <v>6.1161435113193333E-3</v>
      </c>
      <c r="BH43" s="13">
        <f t="shared" si="12"/>
        <v>0</v>
      </c>
      <c r="BI43" s="13">
        <f t="shared" si="13"/>
        <v>1.7285617579455256E-3</v>
      </c>
      <c r="BJ43" s="13">
        <f t="shared" si="14"/>
        <v>2.2370202950188028E-2</v>
      </c>
      <c r="BK43" s="13">
        <f t="shared" si="15"/>
        <v>9.2207809399642016E-2</v>
      </c>
      <c r="BL43" s="13">
        <f t="shared" si="16"/>
        <v>6.3628688608399861E-2</v>
      </c>
      <c r="BM43" s="13">
        <f t="shared" si="17"/>
        <v>0</v>
      </c>
      <c r="BN43" s="13">
        <f t="shared" si="18"/>
        <v>0</v>
      </c>
      <c r="BO43" s="12">
        <f t="shared" si="89"/>
        <v>0.99999999999999978</v>
      </c>
      <c r="BP43" s="13"/>
      <c r="BQ43" s="23">
        <f t="shared" si="90"/>
        <v>1.8569275659988898</v>
      </c>
      <c r="BR43" s="13">
        <f t="shared" si="19"/>
        <v>8.6018175640512843E-3</v>
      </c>
      <c r="BS43" s="13">
        <f t="shared" si="20"/>
        <v>0.65101844254985208</v>
      </c>
      <c r="BT43" s="13">
        <f t="shared" si="21"/>
        <v>0</v>
      </c>
      <c r="BU43" s="13">
        <f t="shared" si="22"/>
        <v>3.938758494882217E-2</v>
      </c>
      <c r="BV43" s="13">
        <f t="shared" si="91"/>
        <v>2.1654169327267391E-2</v>
      </c>
      <c r="BW43" s="24">
        <f t="shared" si="92"/>
        <v>2.6608573471542815E-2</v>
      </c>
      <c r="BX43" s="13">
        <f t="shared" si="23"/>
        <v>0</v>
      </c>
      <c r="BY43" s="13">
        <f t="shared" si="24"/>
        <v>2.5079741036625959E-3</v>
      </c>
      <c r="BZ43" s="13">
        <f t="shared" si="25"/>
        <v>3.2429312206717416E-2</v>
      </c>
      <c r="CA43" s="13">
        <f t="shared" si="26"/>
        <v>0.13367501972521634</v>
      </c>
      <c r="CB43" s="13">
        <f t="shared" si="27"/>
        <v>9.2273212828809167E-2</v>
      </c>
      <c r="CC43" s="13">
        <f t="shared" si="28"/>
        <v>0</v>
      </c>
      <c r="CD43" s="13">
        <f t="shared" si="93"/>
        <v>0</v>
      </c>
      <c r="CE43" s="12">
        <f t="shared" si="94"/>
        <v>2.816820929926021</v>
      </c>
      <c r="CF43" s="13"/>
      <c r="CG43" s="23">
        <f t="shared" si="127"/>
        <v>0.65922811999542297</v>
      </c>
      <c r="CH43" s="13">
        <f t="shared" si="127"/>
        <v>3.0537324799972984E-3</v>
      </c>
      <c r="CI43" s="13">
        <f t="shared" si="127"/>
        <v>0.23111815012214851</v>
      </c>
      <c r="CJ43" s="13">
        <f t="shared" si="127"/>
        <v>0</v>
      </c>
      <c r="CK43" s="13">
        <f t="shared" si="126"/>
        <v>1.3982992149187353E-2</v>
      </c>
      <c r="CL43" s="13">
        <f t="shared" si="126"/>
        <v>7.6874497406677891E-3</v>
      </c>
      <c r="CM43" s="13">
        <f t="shared" si="126"/>
        <v>9.4463134624044581E-3</v>
      </c>
      <c r="CN43" s="13">
        <f t="shared" si="126"/>
        <v>0</v>
      </c>
      <c r="CO43" s="13">
        <f t="shared" si="126"/>
        <v>8.9035624416794706E-4</v>
      </c>
      <c r="CP43" s="13">
        <f t="shared" si="126"/>
        <v>1.1512734750791957E-2</v>
      </c>
      <c r="CQ43" s="13">
        <f t="shared" si="126"/>
        <v>4.7455987814151571E-2</v>
      </c>
      <c r="CR43" s="13">
        <f t="shared" si="126"/>
        <v>3.2757926444132383E-2</v>
      </c>
      <c r="CS43" s="13">
        <f t="shared" si="126"/>
        <v>0</v>
      </c>
      <c r="CT43" s="13">
        <f t="shared" si="126"/>
        <v>0</v>
      </c>
      <c r="CU43" s="12">
        <f t="shared" si="30"/>
        <v>1</v>
      </c>
      <c r="CV43" s="26"/>
      <c r="CW43" s="23">
        <f t="shared" si="31"/>
        <v>0.92846378299944488</v>
      </c>
      <c r="CX43" s="13">
        <f t="shared" si="32"/>
        <v>4.3009087820256421E-3</v>
      </c>
      <c r="CY43" s="13">
        <f t="shared" si="33"/>
        <v>0.43401229503323469</v>
      </c>
      <c r="CZ43" s="13">
        <f t="shared" si="34"/>
        <v>0</v>
      </c>
      <c r="DA43" s="13">
        <f t="shared" si="35"/>
        <v>2.506963788300836E-2</v>
      </c>
      <c r="DB43" s="13">
        <f t="shared" si="36"/>
        <v>2.1654169327267391E-2</v>
      </c>
      <c r="DC43" s="24">
        <f t="shared" si="37"/>
        <v>1.7739048981028543E-2</v>
      </c>
      <c r="DD43" s="13">
        <f t="shared" si="38"/>
        <v>0</v>
      </c>
      <c r="DE43" s="13">
        <f t="shared" si="39"/>
        <v>2.5079741036625959E-3</v>
      </c>
      <c r="DF43" s="13">
        <f t="shared" si="40"/>
        <v>3.2429312206717416E-2</v>
      </c>
      <c r="DG43" s="13">
        <f t="shared" si="41"/>
        <v>0.26735003945043267</v>
      </c>
      <c r="DH43" s="13">
        <f t="shared" si="42"/>
        <v>0.18454642565761833</v>
      </c>
      <c r="DI43" s="13">
        <f t="shared" si="43"/>
        <v>0</v>
      </c>
      <c r="DJ43" s="13">
        <f t="shared" si="95"/>
        <v>0</v>
      </c>
      <c r="DK43" s="12">
        <f t="shared" si="96"/>
        <v>1.8786803761161448</v>
      </c>
      <c r="DL43" s="26"/>
      <c r="DM43" s="23">
        <f t="shared" ref="DM43:DT95" si="152">IF(OR($DK43="",CW43=""),"",CW43/$DK43)</f>
        <v>0.49421061443079922</v>
      </c>
      <c r="DN43" s="13">
        <f t="shared" si="152"/>
        <v>2.2893243772083502E-3</v>
      </c>
      <c r="DO43" s="13">
        <f t="shared" si="151"/>
        <v>0.23101976288828971</v>
      </c>
      <c r="DP43" s="13">
        <f t="shared" si="151"/>
        <v>0</v>
      </c>
      <c r="DQ43" s="13">
        <f t="shared" si="151"/>
        <v>1.3344280486303697E-2</v>
      </c>
      <c r="DR43" s="13">
        <f t="shared" si="151"/>
        <v>1.1526265778127591E-2</v>
      </c>
      <c r="DS43" s="13">
        <f t="shared" si="151"/>
        <v>9.4422921570624166E-3</v>
      </c>
      <c r="DT43" s="13">
        <f t="shared" si="151"/>
        <v>0</v>
      </c>
      <c r="DU43" s="13">
        <f t="shared" si="151"/>
        <v>1.3349658279006511E-3</v>
      </c>
      <c r="DV43" s="13">
        <f t="shared" si="151"/>
        <v>1.7261750651677937E-2</v>
      </c>
      <c r="DW43" s="13">
        <f t="shared" si="151"/>
        <v>0.1423073572542094</v>
      </c>
      <c r="DX43" s="13">
        <f t="shared" si="151"/>
        <v>9.8231944083610953E-2</v>
      </c>
      <c r="DY43" s="13">
        <f t="shared" si="151"/>
        <v>0</v>
      </c>
      <c r="DZ43" s="13">
        <f t="shared" si="151"/>
        <v>0</v>
      </c>
      <c r="EA43" s="12">
        <f t="shared" si="45"/>
        <v>1</v>
      </c>
      <c r="EB43" s="26"/>
      <c r="EC43" s="30">
        <f t="shared" si="46"/>
        <v>1323</v>
      </c>
      <c r="ED43" s="14">
        <f t="shared" si="98"/>
        <v>100000</v>
      </c>
      <c r="EE43" s="29"/>
      <c r="EF43" s="184">
        <f t="shared" si="122"/>
        <v>-8.0342365835222971</v>
      </c>
      <c r="EG43" s="13">
        <f t="shared" si="99"/>
        <v>2.2000000000000002</v>
      </c>
      <c r="EH43" s="13">
        <f t="shared" si="100"/>
        <v>1.4492660619803495</v>
      </c>
      <c r="EI43" s="12">
        <f t="shared" si="47"/>
        <v>6.0414996220710524</v>
      </c>
      <c r="EJ43" s="29"/>
      <c r="EK43" s="28">
        <f t="shared" si="101"/>
        <v>-0.89289444711226829</v>
      </c>
      <c r="EL43" s="24">
        <f t="shared" si="102"/>
        <v>-0.38770926926281735</v>
      </c>
      <c r="EM43" s="24">
        <f t="shared" si="103"/>
        <v>0.40946884993700677</v>
      </c>
      <c r="EN43" s="24">
        <f t="shared" si="104"/>
        <v>1.4932030163016946E-2</v>
      </c>
      <c r="EO43" s="24">
        <f t="shared" si="105"/>
        <v>6.114201218075245E-3</v>
      </c>
      <c r="EP43" s="24">
        <f t="shared" si="106"/>
        <v>0.45022855919184934</v>
      </c>
      <c r="EQ43" s="24">
        <f t="shared" si="107"/>
        <v>-0.89257682838550412</v>
      </c>
      <c r="ER43" s="24">
        <f t="shared" si="48"/>
        <v>-18.497486191173302</v>
      </c>
      <c r="ES43" s="25">
        <f t="shared" si="49"/>
        <v>-8.0319088976002178</v>
      </c>
      <c r="ET43" s="26"/>
      <c r="EU43" s="23">
        <f t="shared" si="123"/>
        <v>1.2277428232002272</v>
      </c>
      <c r="EV43" s="12">
        <f t="shared" si="50"/>
        <v>0.94411660129100317</v>
      </c>
      <c r="EW43" s="26"/>
      <c r="EX43" s="27">
        <f t="shared" si="108"/>
        <v>0.99501312126331209</v>
      </c>
      <c r="EY43" s="26"/>
      <c r="EZ43" s="23">
        <f t="shared" si="128"/>
        <v>-5.8653038904465546</v>
      </c>
      <c r="FA43" s="13">
        <f t="shared" si="52"/>
        <v>17.321214057158766</v>
      </c>
      <c r="FB43" s="13">
        <f t="shared" si="129"/>
        <v>-21.845149910644157</v>
      </c>
      <c r="FC43" s="13">
        <f t="shared" si="130"/>
        <v>8.0326410766377663</v>
      </c>
      <c r="FD43" s="12">
        <f t="shared" si="55"/>
        <v>0.99967541584353381</v>
      </c>
      <c r="FE43" s="13"/>
      <c r="FF43" s="23">
        <f t="shared" si="131"/>
        <v>-6.3558703654711728</v>
      </c>
      <c r="FG43" s="13">
        <f t="shared" si="132"/>
        <v>11.058766913814356</v>
      </c>
      <c r="FH43" s="13">
        <f t="shared" si="133"/>
        <v>11.533064572985609</v>
      </c>
      <c r="FI43" s="24">
        <f t="shared" si="134"/>
        <v>0.956878611657485</v>
      </c>
      <c r="FJ43" s="25">
        <f t="shared" si="135"/>
        <v>0.98510566745035333</v>
      </c>
      <c r="FK43" s="13"/>
      <c r="FL43" s="23">
        <f t="shared" si="110"/>
        <v>10.535368458090744</v>
      </c>
      <c r="FM43" s="13">
        <f t="shared" si="124"/>
        <v>-5.9374129775753621</v>
      </c>
      <c r="FN43" s="13">
        <f t="shared" si="136"/>
        <v>0.40430826862151292</v>
      </c>
      <c r="FO43" s="13">
        <f t="shared" si="60"/>
        <v>0.71726883032066546</v>
      </c>
      <c r="FP43" s="23">
        <f t="shared" si="137"/>
        <v>0.40422572893897168</v>
      </c>
      <c r="FQ43" s="13">
        <f t="shared" si="138"/>
        <v>0.71723028673947753</v>
      </c>
      <c r="FR43" s="13">
        <f t="shared" si="139"/>
        <v>0.40425807965703697</v>
      </c>
      <c r="FS43" s="13">
        <f t="shared" si="115"/>
        <v>0.71724539394361386</v>
      </c>
      <c r="FT43" s="13">
        <f t="shared" si="140"/>
        <v>0.4042174145020887</v>
      </c>
      <c r="FU43" s="12">
        <f t="shared" si="117"/>
        <v>0.71722640396784954</v>
      </c>
      <c r="FV43" s="22"/>
      <c r="FW43" s="11">
        <f t="shared" si="141"/>
        <v>2.2000000000000002</v>
      </c>
      <c r="FX43" s="10">
        <f t="shared" si="142"/>
        <v>1.4492660619803495</v>
      </c>
      <c r="FY43" s="10">
        <f t="shared" si="143"/>
        <v>6.0414996220710524</v>
      </c>
      <c r="FZ43" s="5">
        <f t="shared" si="144"/>
        <v>-8.0342365835222971</v>
      </c>
      <c r="GA43" s="10">
        <f t="shared" si="145"/>
        <v>0.45022855919184934</v>
      </c>
      <c r="GB43" s="9">
        <f t="shared" si="118"/>
        <v>10.535368458090744</v>
      </c>
      <c r="GC43" s="8">
        <f t="shared" si="119"/>
        <v>-5.9374129775753621</v>
      </c>
      <c r="GD43" s="8">
        <f t="shared" si="120"/>
        <v>0.71726883032066546</v>
      </c>
      <c r="GE43" s="7">
        <f t="shared" si="121"/>
        <v>0.71723028673947753</v>
      </c>
      <c r="GF43" s="6">
        <f t="shared" si="146"/>
        <v>0.956878611657485</v>
      </c>
      <c r="GG43" s="5">
        <f t="shared" si="147"/>
        <v>0.98510566745035333</v>
      </c>
      <c r="GH43" s="4">
        <f t="shared" si="148"/>
        <v>0.99967541584353381</v>
      </c>
      <c r="GI43" s="4">
        <f t="shared" si="149"/>
        <v>0.99501312126331209</v>
      </c>
      <c r="GJ43" s="4">
        <f t="shared" si="150"/>
        <v>0.94411660129100317</v>
      </c>
      <c r="GK43" s="1"/>
    </row>
    <row r="44" spans="1:193" x14ac:dyDescent="0.4">
      <c r="A44" s="34"/>
      <c r="B44" s="21"/>
      <c r="C44" s="21"/>
      <c r="D44" s="34"/>
      <c r="E44" s="34"/>
      <c r="F44" s="20" t="s">
        <v>83</v>
      </c>
      <c r="G44" s="19">
        <v>1050</v>
      </c>
      <c r="H44" s="18">
        <v>1E-4</v>
      </c>
      <c r="I44" s="17">
        <v>2.6</v>
      </c>
      <c r="J44" s="16">
        <v>55.2</v>
      </c>
      <c r="K44" s="16">
        <v>0.34</v>
      </c>
      <c r="L44" s="16">
        <v>21.9</v>
      </c>
      <c r="M44" s="16">
        <v>0</v>
      </c>
      <c r="N44" s="16">
        <v>2.8</v>
      </c>
      <c r="O44" s="16">
        <v>0</v>
      </c>
      <c r="P44" s="16">
        <v>0.1</v>
      </c>
      <c r="Q44" s="16">
        <v>1.8</v>
      </c>
      <c r="R44" s="16">
        <v>8.1999999999999993</v>
      </c>
      <c r="S44" s="16">
        <v>8.6</v>
      </c>
      <c r="T44" s="16">
        <v>0</v>
      </c>
      <c r="U44" s="15">
        <v>0</v>
      </c>
      <c r="V44" s="16"/>
      <c r="W44" s="28">
        <f t="shared" si="71"/>
        <v>55.791388720436643</v>
      </c>
      <c r="X44" s="24">
        <f t="shared" si="125"/>
        <v>0.34364261168384885</v>
      </c>
      <c r="Y44" s="24">
        <f t="shared" si="125"/>
        <v>22.13462704669497</v>
      </c>
      <c r="Z44" s="24">
        <f t="shared" si="125"/>
        <v>0</v>
      </c>
      <c r="AA44" s="24">
        <f t="shared" si="125"/>
        <v>2.8299979785728726</v>
      </c>
      <c r="AB44" s="24">
        <f t="shared" si="125"/>
        <v>0</v>
      </c>
      <c r="AC44" s="24">
        <f t="shared" si="125"/>
        <v>0.10107135637760262</v>
      </c>
      <c r="AD44" s="24">
        <f t="shared" si="125"/>
        <v>1.819284414796847</v>
      </c>
      <c r="AE44" s="24">
        <f t="shared" si="125"/>
        <v>8.2878512229634129</v>
      </c>
      <c r="AF44" s="24">
        <f t="shared" si="125"/>
        <v>8.6921366484738236</v>
      </c>
      <c r="AG44" s="24">
        <f t="shared" si="125"/>
        <v>0</v>
      </c>
      <c r="AH44" s="24">
        <f t="shared" si="125"/>
        <v>0</v>
      </c>
      <c r="AI44" s="14">
        <f t="shared" si="72"/>
        <v>100.00000000000001</v>
      </c>
      <c r="AJ44" s="26"/>
      <c r="AK44" s="50">
        <f t="shared" si="73"/>
        <v>0.92846378299944488</v>
      </c>
      <c r="AL44" s="47">
        <f t="shared" si="74"/>
        <v>4.3009087820256421E-3</v>
      </c>
      <c r="AM44" s="47">
        <f t="shared" si="75"/>
        <v>0.21709128135244185</v>
      </c>
      <c r="AN44" s="49">
        <f t="shared" si="76"/>
        <v>0</v>
      </c>
      <c r="AO44" s="49">
        <f t="shared" si="77"/>
        <v>3.938758494882217E-2</v>
      </c>
      <c r="AP44" s="47">
        <f t="shared" si="78"/>
        <v>0</v>
      </c>
      <c r="AQ44" s="47">
        <f t="shared" si="79"/>
        <v>2.506730068888954E-3</v>
      </c>
      <c r="AR44" s="47">
        <f t="shared" si="80"/>
        <v>3.2440877581969459E-2</v>
      </c>
      <c r="AS44" s="47">
        <f t="shared" si="81"/>
        <v>0.13371815461380143</v>
      </c>
      <c r="AT44" s="47">
        <f t="shared" si="82"/>
        <v>9.2273212828809167E-2</v>
      </c>
      <c r="AU44" s="47">
        <f t="shared" si="83"/>
        <v>0</v>
      </c>
      <c r="AV44" s="47">
        <f t="shared" si="84"/>
        <v>0</v>
      </c>
      <c r="AW44" s="47">
        <f t="shared" si="85"/>
        <v>1.4501825331762037</v>
      </c>
      <c r="AX44" s="47">
        <f t="shared" si="86"/>
        <v>1.9883089239085407E-2</v>
      </c>
      <c r="AY44" s="46">
        <f t="shared" si="87"/>
        <v>9.7553458433786659E-3</v>
      </c>
      <c r="AZ44" s="26"/>
      <c r="BA44" s="23">
        <f t="shared" si="88"/>
        <v>0.64023925385855707</v>
      </c>
      <c r="BB44" s="13">
        <f t="shared" si="6"/>
        <v>2.9657706417175983E-3</v>
      </c>
      <c r="BC44" s="13">
        <f t="shared" si="7"/>
        <v>0.14969928018438233</v>
      </c>
      <c r="BD44" s="13">
        <f t="shared" si="8"/>
        <v>0</v>
      </c>
      <c r="BE44" s="13">
        <f t="shared" si="9"/>
        <v>2.7160432599167433E-2</v>
      </c>
      <c r="BF44" s="13">
        <f t="shared" si="10"/>
        <v>1.3710749360314852E-2</v>
      </c>
      <c r="BG44" s="13">
        <f t="shared" si="11"/>
        <v>6.7269778943016322E-3</v>
      </c>
      <c r="BH44" s="13">
        <f t="shared" si="12"/>
        <v>0</v>
      </c>
      <c r="BI44" s="13">
        <f t="shared" si="13"/>
        <v>1.7285617579455256E-3</v>
      </c>
      <c r="BJ44" s="13">
        <f t="shared" si="14"/>
        <v>2.2370202950188028E-2</v>
      </c>
      <c r="BK44" s="13">
        <f t="shared" si="15"/>
        <v>9.2207809399642016E-2</v>
      </c>
      <c r="BL44" s="13">
        <f t="shared" si="16"/>
        <v>6.3628688608399861E-2</v>
      </c>
      <c r="BM44" s="13">
        <f t="shared" si="17"/>
        <v>0</v>
      </c>
      <c r="BN44" s="13">
        <f t="shared" si="18"/>
        <v>0</v>
      </c>
      <c r="BO44" s="12">
        <f t="shared" si="89"/>
        <v>0.99999999999999978</v>
      </c>
      <c r="BP44" s="13"/>
      <c r="BQ44" s="23">
        <f t="shared" si="90"/>
        <v>1.8569275659988898</v>
      </c>
      <c r="BR44" s="13">
        <f t="shared" si="19"/>
        <v>8.6018175640512843E-3</v>
      </c>
      <c r="BS44" s="13">
        <f t="shared" si="20"/>
        <v>0.65101844254985208</v>
      </c>
      <c r="BT44" s="13">
        <f t="shared" si="21"/>
        <v>0</v>
      </c>
      <c r="BU44" s="13">
        <f t="shared" si="22"/>
        <v>3.938758494882217E-2</v>
      </c>
      <c r="BV44" s="13">
        <f t="shared" si="91"/>
        <v>1.9883089239085407E-2</v>
      </c>
      <c r="BW44" s="24">
        <f t="shared" si="92"/>
        <v>2.9266037530135999E-2</v>
      </c>
      <c r="BX44" s="13">
        <f t="shared" si="23"/>
        <v>0</v>
      </c>
      <c r="BY44" s="13">
        <f t="shared" si="24"/>
        <v>2.5079741036625959E-3</v>
      </c>
      <c r="BZ44" s="13">
        <f t="shared" si="25"/>
        <v>3.2429312206717416E-2</v>
      </c>
      <c r="CA44" s="13">
        <f t="shared" si="26"/>
        <v>0.13367501972521634</v>
      </c>
      <c r="CB44" s="13">
        <f t="shared" si="27"/>
        <v>9.2273212828809167E-2</v>
      </c>
      <c r="CC44" s="13">
        <f t="shared" si="28"/>
        <v>0</v>
      </c>
      <c r="CD44" s="13">
        <f t="shared" si="93"/>
        <v>0</v>
      </c>
      <c r="CE44" s="12">
        <f t="shared" si="94"/>
        <v>2.816820929926021</v>
      </c>
      <c r="CF44" s="13"/>
      <c r="CG44" s="23">
        <f t="shared" si="127"/>
        <v>0.65922811999542297</v>
      </c>
      <c r="CH44" s="13">
        <f t="shared" si="127"/>
        <v>3.0537324799972984E-3</v>
      </c>
      <c r="CI44" s="13">
        <f t="shared" si="127"/>
        <v>0.23111815012214851</v>
      </c>
      <c r="CJ44" s="13">
        <f t="shared" si="127"/>
        <v>0</v>
      </c>
      <c r="CK44" s="13">
        <f t="shared" si="126"/>
        <v>1.3982992149187353E-2</v>
      </c>
      <c r="CL44" s="13">
        <f t="shared" si="126"/>
        <v>7.05869834601364E-3</v>
      </c>
      <c r="CM44" s="13">
        <f t="shared" si="126"/>
        <v>1.038974015678896E-2</v>
      </c>
      <c r="CN44" s="13">
        <f t="shared" si="126"/>
        <v>0</v>
      </c>
      <c r="CO44" s="13">
        <f t="shared" si="126"/>
        <v>8.9035624416794706E-4</v>
      </c>
      <c r="CP44" s="13">
        <f t="shared" si="126"/>
        <v>1.1512734750791957E-2</v>
      </c>
      <c r="CQ44" s="13">
        <f t="shared" si="126"/>
        <v>4.7455987814151571E-2</v>
      </c>
      <c r="CR44" s="13">
        <f t="shared" si="126"/>
        <v>3.2757926444132383E-2</v>
      </c>
      <c r="CS44" s="13">
        <f t="shared" si="126"/>
        <v>0</v>
      </c>
      <c r="CT44" s="13">
        <f t="shared" si="126"/>
        <v>0</v>
      </c>
      <c r="CU44" s="12">
        <f t="shared" si="30"/>
        <v>1</v>
      </c>
      <c r="CV44" s="26"/>
      <c r="CW44" s="23">
        <f t="shared" si="31"/>
        <v>0.92846378299944488</v>
      </c>
      <c r="CX44" s="13">
        <f t="shared" si="32"/>
        <v>4.3009087820256421E-3</v>
      </c>
      <c r="CY44" s="13">
        <f t="shared" si="33"/>
        <v>0.43401229503323469</v>
      </c>
      <c r="CZ44" s="13">
        <f t="shared" si="34"/>
        <v>0</v>
      </c>
      <c r="DA44" s="13">
        <f t="shared" si="35"/>
        <v>2.506963788300836E-2</v>
      </c>
      <c r="DB44" s="13">
        <f t="shared" si="36"/>
        <v>1.9883089239085407E-2</v>
      </c>
      <c r="DC44" s="24">
        <f t="shared" si="37"/>
        <v>1.9510691686757332E-2</v>
      </c>
      <c r="DD44" s="13">
        <f t="shared" si="38"/>
        <v>0</v>
      </c>
      <c r="DE44" s="13">
        <f t="shared" si="39"/>
        <v>2.5079741036625959E-3</v>
      </c>
      <c r="DF44" s="13">
        <f t="shared" si="40"/>
        <v>3.2429312206717416E-2</v>
      </c>
      <c r="DG44" s="13">
        <f t="shared" si="41"/>
        <v>0.26735003945043267</v>
      </c>
      <c r="DH44" s="13">
        <f t="shared" si="42"/>
        <v>0.18454642565761833</v>
      </c>
      <c r="DI44" s="13">
        <f t="shared" si="43"/>
        <v>0</v>
      </c>
      <c r="DJ44" s="13">
        <f t="shared" si="95"/>
        <v>0</v>
      </c>
      <c r="DK44" s="12">
        <f t="shared" si="96"/>
        <v>1.8786803761161448</v>
      </c>
      <c r="DL44" s="26"/>
      <c r="DM44" s="23">
        <f t="shared" si="152"/>
        <v>0.49421061443079922</v>
      </c>
      <c r="DN44" s="13">
        <f t="shared" si="152"/>
        <v>2.2893243772083502E-3</v>
      </c>
      <c r="DO44" s="13">
        <f t="shared" si="151"/>
        <v>0.23101976288828971</v>
      </c>
      <c r="DP44" s="13">
        <f t="shared" si="151"/>
        <v>0</v>
      </c>
      <c r="DQ44" s="13">
        <f t="shared" si="151"/>
        <v>1.3344280486303697E-2</v>
      </c>
      <c r="DR44" s="13">
        <f t="shared" si="151"/>
        <v>1.0583540176317989E-2</v>
      </c>
      <c r="DS44" s="13">
        <f t="shared" si="151"/>
        <v>1.0385317233734245E-2</v>
      </c>
      <c r="DT44" s="13">
        <f t="shared" si="151"/>
        <v>0</v>
      </c>
      <c r="DU44" s="13">
        <f t="shared" si="151"/>
        <v>1.3349658279006511E-3</v>
      </c>
      <c r="DV44" s="13">
        <f t="shared" si="151"/>
        <v>1.7261750651677937E-2</v>
      </c>
      <c r="DW44" s="13">
        <f t="shared" si="151"/>
        <v>0.1423073572542094</v>
      </c>
      <c r="DX44" s="13">
        <f t="shared" si="151"/>
        <v>9.8231944083610953E-2</v>
      </c>
      <c r="DY44" s="13">
        <f t="shared" si="151"/>
        <v>0</v>
      </c>
      <c r="DZ44" s="13">
        <f t="shared" si="151"/>
        <v>0</v>
      </c>
      <c r="EA44" s="12">
        <f t="shared" si="45"/>
        <v>1</v>
      </c>
      <c r="EB44" s="26"/>
      <c r="EC44" s="30">
        <f t="shared" si="46"/>
        <v>1323</v>
      </c>
      <c r="ED44" s="14">
        <f t="shared" si="98"/>
        <v>100000</v>
      </c>
      <c r="EE44" s="29"/>
      <c r="EF44" s="184">
        <f t="shared" si="122"/>
        <v>-7.6342365835222967</v>
      </c>
      <c r="EG44" s="13">
        <f t="shared" si="99"/>
        <v>2.6</v>
      </c>
      <c r="EH44" s="13">
        <f t="shared" si="100"/>
        <v>1.8492660619803498</v>
      </c>
      <c r="EI44" s="12">
        <f t="shared" si="47"/>
        <v>6.4414996220710528</v>
      </c>
      <c r="EJ44" s="29"/>
      <c r="EK44" s="28">
        <f t="shared" si="101"/>
        <v>-0.71237177582153433</v>
      </c>
      <c r="EL44" s="24">
        <f t="shared" si="102"/>
        <v>-0.3093233937566367</v>
      </c>
      <c r="EM44" s="24">
        <f t="shared" si="103"/>
        <v>0.49047950937612778</v>
      </c>
      <c r="EN44" s="24">
        <f t="shared" si="104"/>
        <v>1.3710749360314856E-2</v>
      </c>
      <c r="EO44" s="24">
        <f t="shared" si="105"/>
        <v>6.7248416194262885E-3</v>
      </c>
      <c r="EP44" s="24">
        <f t="shared" si="106"/>
        <v>0.49519399920253332</v>
      </c>
      <c r="EQ44" s="24">
        <f t="shared" si="107"/>
        <v>-0.71205415709477027</v>
      </c>
      <c r="ER44" s="24">
        <f t="shared" si="48"/>
        <v>-17.57645215397568</v>
      </c>
      <c r="ES44" s="25">
        <f t="shared" si="49"/>
        <v>-7.6319809613441949</v>
      </c>
      <c r="ET44" s="26"/>
      <c r="EU44" s="23">
        <f t="shared" si="123"/>
        <v>1.8549428232002292</v>
      </c>
      <c r="EV44" s="12">
        <f t="shared" si="50"/>
        <v>0.98622682743341805</v>
      </c>
      <c r="EW44" s="26"/>
      <c r="EX44" s="27">
        <f t="shared" si="108"/>
        <v>0.99920630222183082</v>
      </c>
      <c r="EY44" s="26"/>
      <c r="EZ44" s="23">
        <f t="shared" si="128"/>
        <v>-5.8653038904465546</v>
      </c>
      <c r="FA44" s="13">
        <f t="shared" si="52"/>
        <v>17.309456708383362</v>
      </c>
      <c r="FB44" s="13">
        <f t="shared" si="129"/>
        <v>-21.845149910644157</v>
      </c>
      <c r="FC44" s="13">
        <f t="shared" si="130"/>
        <v>9.862951802257605</v>
      </c>
      <c r="FD44" s="12">
        <f t="shared" si="55"/>
        <v>0.99994793428406725</v>
      </c>
      <c r="FE44" s="13"/>
      <c r="FF44" s="23">
        <f t="shared" si="131"/>
        <v>-6.3678641666403992</v>
      </c>
      <c r="FG44" s="13">
        <f t="shared" si="132"/>
        <v>11.058766913814356</v>
      </c>
      <c r="FH44" s="13">
        <f t="shared" si="133"/>
        <v>11.533064572985609</v>
      </c>
      <c r="FI44" s="24">
        <f t="shared" si="134"/>
        <v>0.99310022124260355</v>
      </c>
      <c r="FJ44" s="25">
        <f t="shared" si="135"/>
        <v>0.99767440941783136</v>
      </c>
      <c r="FK44" s="13"/>
      <c r="FL44" s="23">
        <f t="shared" si="110"/>
        <v>10.535368458090744</v>
      </c>
      <c r="FM44" s="13">
        <f t="shared" si="124"/>
        <v>-5.9308850119582601</v>
      </c>
      <c r="FN44" s="13">
        <f t="shared" si="136"/>
        <v>1.1977803030044107</v>
      </c>
      <c r="FO44" s="13">
        <f t="shared" si="60"/>
        <v>0.94036307213442227</v>
      </c>
      <c r="FP44" s="23">
        <f t="shared" si="137"/>
        <v>1.1976977633218713</v>
      </c>
      <c r="FQ44" s="13">
        <f t="shared" si="138"/>
        <v>0.94035241290868155</v>
      </c>
      <c r="FR44" s="13">
        <f t="shared" si="139"/>
        <v>1.1977301140399366</v>
      </c>
      <c r="FS44" s="13">
        <f t="shared" si="115"/>
        <v>0.94035659091306301</v>
      </c>
      <c r="FT44" s="13">
        <f t="shared" si="140"/>
        <v>1.1976894488849847</v>
      </c>
      <c r="FU44" s="12">
        <f t="shared" si="117"/>
        <v>0.94035133907823309</v>
      </c>
      <c r="FV44" s="22"/>
      <c r="FW44" s="11">
        <f t="shared" si="141"/>
        <v>2.6</v>
      </c>
      <c r="FX44" s="10">
        <f t="shared" si="142"/>
        <v>1.8492660619803498</v>
      </c>
      <c r="FY44" s="10">
        <f t="shared" si="143"/>
        <v>6.4414996220710528</v>
      </c>
      <c r="FZ44" s="5">
        <f t="shared" si="144"/>
        <v>-7.6342365835222967</v>
      </c>
      <c r="GA44" s="10">
        <f t="shared" si="145"/>
        <v>0.49519399920253332</v>
      </c>
      <c r="GB44" s="9">
        <f t="shared" si="118"/>
        <v>10.535368458090744</v>
      </c>
      <c r="GC44" s="8">
        <f t="shared" si="119"/>
        <v>-5.9308850119582601</v>
      </c>
      <c r="GD44" s="8">
        <f t="shared" si="120"/>
        <v>0.94036307213442227</v>
      </c>
      <c r="GE44" s="7">
        <f t="shared" si="121"/>
        <v>0.94035241290868155</v>
      </c>
      <c r="GF44" s="6">
        <f t="shared" si="146"/>
        <v>0.99310022124260355</v>
      </c>
      <c r="GG44" s="5">
        <f t="shared" si="147"/>
        <v>0.99767440941783136</v>
      </c>
      <c r="GH44" s="4">
        <f t="shared" si="148"/>
        <v>0.99994793428406725</v>
      </c>
      <c r="GI44" s="4">
        <f t="shared" si="149"/>
        <v>0.99920630222183082</v>
      </c>
      <c r="GJ44" s="4">
        <f t="shared" si="150"/>
        <v>0.98622682743341805</v>
      </c>
      <c r="GK44" s="1"/>
    </row>
    <row r="45" spans="1:193" x14ac:dyDescent="0.4">
      <c r="A45" s="34"/>
      <c r="B45" s="21"/>
      <c r="C45" s="21"/>
      <c r="D45" s="34"/>
      <c r="E45" s="34"/>
      <c r="F45" s="20" t="s">
        <v>83</v>
      </c>
      <c r="G45" s="19">
        <v>1050</v>
      </c>
      <c r="H45" s="18">
        <v>1E-4</v>
      </c>
      <c r="I45" s="17">
        <v>3</v>
      </c>
      <c r="J45" s="16">
        <v>55.2</v>
      </c>
      <c r="K45" s="16">
        <v>0.34</v>
      </c>
      <c r="L45" s="16">
        <v>21.9</v>
      </c>
      <c r="M45" s="16">
        <v>0</v>
      </c>
      <c r="N45" s="16">
        <v>2.8</v>
      </c>
      <c r="O45" s="16">
        <v>0</v>
      </c>
      <c r="P45" s="16">
        <v>0.1</v>
      </c>
      <c r="Q45" s="16">
        <v>1.8</v>
      </c>
      <c r="R45" s="16">
        <v>8.1999999999999993</v>
      </c>
      <c r="S45" s="16">
        <v>8.6</v>
      </c>
      <c r="T45" s="16">
        <v>0</v>
      </c>
      <c r="U45" s="15">
        <v>0</v>
      </c>
      <c r="V45" s="16"/>
      <c r="W45" s="28">
        <f t="shared" si="71"/>
        <v>55.791388720436643</v>
      </c>
      <c r="X45" s="24">
        <f t="shared" si="125"/>
        <v>0.34364261168384885</v>
      </c>
      <c r="Y45" s="24">
        <f t="shared" si="125"/>
        <v>22.13462704669497</v>
      </c>
      <c r="Z45" s="24">
        <f t="shared" si="125"/>
        <v>0</v>
      </c>
      <c r="AA45" s="24">
        <f t="shared" si="125"/>
        <v>2.8299979785728726</v>
      </c>
      <c r="AB45" s="24">
        <f t="shared" si="125"/>
        <v>0</v>
      </c>
      <c r="AC45" s="24">
        <f t="shared" si="125"/>
        <v>0.10107135637760262</v>
      </c>
      <c r="AD45" s="24">
        <f t="shared" si="125"/>
        <v>1.819284414796847</v>
      </c>
      <c r="AE45" s="24">
        <f t="shared" si="125"/>
        <v>8.2878512229634129</v>
      </c>
      <c r="AF45" s="24">
        <f t="shared" si="125"/>
        <v>8.6921366484738236</v>
      </c>
      <c r="AG45" s="24">
        <f t="shared" si="125"/>
        <v>0</v>
      </c>
      <c r="AH45" s="24">
        <f t="shared" si="125"/>
        <v>0</v>
      </c>
      <c r="AI45" s="14">
        <f t="shared" si="72"/>
        <v>100.00000000000001</v>
      </c>
      <c r="AJ45" s="26"/>
      <c r="AK45" s="50">
        <f t="shared" si="73"/>
        <v>0.92846378299944488</v>
      </c>
      <c r="AL45" s="47">
        <f t="shared" si="74"/>
        <v>4.3009087820256421E-3</v>
      </c>
      <c r="AM45" s="47">
        <f t="shared" si="75"/>
        <v>0.21709128135244185</v>
      </c>
      <c r="AN45" s="49">
        <f t="shared" si="76"/>
        <v>0</v>
      </c>
      <c r="AO45" s="49">
        <f t="shared" si="77"/>
        <v>3.938758494882217E-2</v>
      </c>
      <c r="AP45" s="47">
        <f t="shared" si="78"/>
        <v>0</v>
      </c>
      <c r="AQ45" s="47">
        <f t="shared" si="79"/>
        <v>2.506730068888954E-3</v>
      </c>
      <c r="AR45" s="47">
        <f t="shared" si="80"/>
        <v>3.2440877581969459E-2</v>
      </c>
      <c r="AS45" s="47">
        <f t="shared" si="81"/>
        <v>0.13371815461380143</v>
      </c>
      <c r="AT45" s="47">
        <f t="shared" si="82"/>
        <v>9.2273212828809167E-2</v>
      </c>
      <c r="AU45" s="47">
        <f t="shared" si="83"/>
        <v>0</v>
      </c>
      <c r="AV45" s="47">
        <f t="shared" si="84"/>
        <v>0</v>
      </c>
      <c r="AW45" s="47">
        <f t="shared" si="85"/>
        <v>1.4501825331762037</v>
      </c>
      <c r="AX45" s="47">
        <f t="shared" si="86"/>
        <v>1.8108941665242084E-2</v>
      </c>
      <c r="AY45" s="46">
        <f t="shared" si="87"/>
        <v>1.0642701426296551E-2</v>
      </c>
      <c r="AZ45" s="26"/>
      <c r="BA45" s="23">
        <f t="shared" si="88"/>
        <v>0.64023925385855707</v>
      </c>
      <c r="BB45" s="13">
        <f t="shared" si="6"/>
        <v>2.9657706417175983E-3</v>
      </c>
      <c r="BC45" s="13">
        <f t="shared" si="7"/>
        <v>0.14969928018438233</v>
      </c>
      <c r="BD45" s="13">
        <f t="shared" si="8"/>
        <v>0</v>
      </c>
      <c r="BE45" s="13">
        <f t="shared" si="9"/>
        <v>2.7160432599167433E-2</v>
      </c>
      <c r="BF45" s="13">
        <f t="shared" si="10"/>
        <v>1.2487353316537129E-2</v>
      </c>
      <c r="BG45" s="13">
        <f t="shared" si="11"/>
        <v>7.3388702337951932E-3</v>
      </c>
      <c r="BH45" s="13">
        <f t="shared" si="12"/>
        <v>0</v>
      </c>
      <c r="BI45" s="13">
        <f t="shared" si="13"/>
        <v>1.7285617579455256E-3</v>
      </c>
      <c r="BJ45" s="13">
        <f t="shared" si="14"/>
        <v>2.2370202950188028E-2</v>
      </c>
      <c r="BK45" s="13">
        <f t="shared" si="15"/>
        <v>9.2207809399642016E-2</v>
      </c>
      <c r="BL45" s="13">
        <f t="shared" si="16"/>
        <v>6.3628688608399861E-2</v>
      </c>
      <c r="BM45" s="13">
        <f t="shared" si="17"/>
        <v>0</v>
      </c>
      <c r="BN45" s="13">
        <f t="shared" si="18"/>
        <v>0</v>
      </c>
      <c r="BO45" s="12">
        <f t="shared" si="89"/>
        <v>0.99999999999999978</v>
      </c>
      <c r="BP45" s="13"/>
      <c r="BQ45" s="23">
        <f t="shared" si="90"/>
        <v>1.8569275659988898</v>
      </c>
      <c r="BR45" s="13">
        <f t="shared" si="19"/>
        <v>8.6018175640512843E-3</v>
      </c>
      <c r="BS45" s="13">
        <f t="shared" si="20"/>
        <v>0.65101844254985208</v>
      </c>
      <c r="BT45" s="13">
        <f t="shared" si="21"/>
        <v>0</v>
      </c>
      <c r="BU45" s="13">
        <f t="shared" si="22"/>
        <v>3.938758494882217E-2</v>
      </c>
      <c r="BV45" s="13">
        <f t="shared" si="91"/>
        <v>1.8108941665242084E-2</v>
      </c>
      <c r="BW45" s="24">
        <f t="shared" si="92"/>
        <v>3.1928104278889653E-2</v>
      </c>
      <c r="BX45" s="13">
        <f t="shared" si="23"/>
        <v>0</v>
      </c>
      <c r="BY45" s="13">
        <f t="shared" si="24"/>
        <v>2.5079741036625959E-3</v>
      </c>
      <c r="BZ45" s="13">
        <f t="shared" si="25"/>
        <v>3.2429312206717416E-2</v>
      </c>
      <c r="CA45" s="13">
        <f t="shared" si="26"/>
        <v>0.13367501972521634</v>
      </c>
      <c r="CB45" s="13">
        <f t="shared" si="27"/>
        <v>9.2273212828809167E-2</v>
      </c>
      <c r="CC45" s="13">
        <f t="shared" si="28"/>
        <v>0</v>
      </c>
      <c r="CD45" s="13">
        <f t="shared" si="93"/>
        <v>0</v>
      </c>
      <c r="CE45" s="12">
        <f t="shared" si="94"/>
        <v>2.816820929926021</v>
      </c>
      <c r="CF45" s="13"/>
      <c r="CG45" s="23">
        <f t="shared" si="127"/>
        <v>0.65922811999542297</v>
      </c>
      <c r="CH45" s="13">
        <f t="shared" si="127"/>
        <v>3.0537324799972984E-3</v>
      </c>
      <c r="CI45" s="13">
        <f t="shared" si="127"/>
        <v>0.23111815012214851</v>
      </c>
      <c r="CJ45" s="13">
        <f t="shared" si="127"/>
        <v>0</v>
      </c>
      <c r="CK45" s="13">
        <f t="shared" si="126"/>
        <v>1.3982992149187353E-2</v>
      </c>
      <c r="CL45" s="13">
        <f t="shared" si="126"/>
        <v>6.4288579628374474E-3</v>
      </c>
      <c r="CM45" s="13">
        <f t="shared" si="126"/>
        <v>1.1334800852863654E-2</v>
      </c>
      <c r="CN45" s="13">
        <f t="shared" si="126"/>
        <v>0</v>
      </c>
      <c r="CO45" s="13">
        <f t="shared" si="126"/>
        <v>8.9035624416794706E-4</v>
      </c>
      <c r="CP45" s="13">
        <f t="shared" si="126"/>
        <v>1.1512734750791957E-2</v>
      </c>
      <c r="CQ45" s="13">
        <f t="shared" si="126"/>
        <v>4.7455987814151571E-2</v>
      </c>
      <c r="CR45" s="13">
        <f t="shared" si="126"/>
        <v>3.2757926444132383E-2</v>
      </c>
      <c r="CS45" s="13">
        <f t="shared" si="126"/>
        <v>0</v>
      </c>
      <c r="CT45" s="13">
        <f t="shared" si="126"/>
        <v>0</v>
      </c>
      <c r="CU45" s="12">
        <f t="shared" si="30"/>
        <v>1</v>
      </c>
      <c r="CV45" s="26"/>
      <c r="CW45" s="23">
        <f t="shared" si="31"/>
        <v>0.92846378299944488</v>
      </c>
      <c r="CX45" s="13">
        <f t="shared" si="32"/>
        <v>4.3009087820256421E-3</v>
      </c>
      <c r="CY45" s="13">
        <f t="shared" si="33"/>
        <v>0.43401229503323469</v>
      </c>
      <c r="CZ45" s="13">
        <f t="shared" si="34"/>
        <v>0</v>
      </c>
      <c r="DA45" s="13">
        <f t="shared" si="35"/>
        <v>2.506963788300836E-2</v>
      </c>
      <c r="DB45" s="13">
        <f t="shared" si="36"/>
        <v>1.8108941665242084E-2</v>
      </c>
      <c r="DC45" s="24">
        <f t="shared" si="37"/>
        <v>2.1285402852593102E-2</v>
      </c>
      <c r="DD45" s="13">
        <f t="shared" si="38"/>
        <v>0</v>
      </c>
      <c r="DE45" s="13">
        <f t="shared" si="39"/>
        <v>2.5079741036625959E-3</v>
      </c>
      <c r="DF45" s="13">
        <f t="shared" si="40"/>
        <v>3.2429312206717416E-2</v>
      </c>
      <c r="DG45" s="13">
        <f t="shared" si="41"/>
        <v>0.26735003945043267</v>
      </c>
      <c r="DH45" s="13">
        <f t="shared" si="42"/>
        <v>0.18454642565761833</v>
      </c>
      <c r="DI45" s="13">
        <f t="shared" si="43"/>
        <v>0</v>
      </c>
      <c r="DJ45" s="13">
        <f t="shared" si="95"/>
        <v>0</v>
      </c>
      <c r="DK45" s="12">
        <f t="shared" si="96"/>
        <v>1.8786803761161448</v>
      </c>
      <c r="DL45" s="26"/>
      <c r="DM45" s="23">
        <f t="shared" si="152"/>
        <v>0.49421061443079922</v>
      </c>
      <c r="DN45" s="13">
        <f t="shared" si="152"/>
        <v>2.2893243772083502E-3</v>
      </c>
      <c r="DO45" s="13">
        <f t="shared" si="151"/>
        <v>0.23101976288828971</v>
      </c>
      <c r="DP45" s="13">
        <f t="shared" si="151"/>
        <v>0</v>
      </c>
      <c r="DQ45" s="13">
        <f t="shared" si="151"/>
        <v>1.3344280486303697E-2</v>
      </c>
      <c r="DR45" s="13">
        <f t="shared" si="151"/>
        <v>9.6391817871006192E-3</v>
      </c>
      <c r="DS45" s="13">
        <f t="shared" si="151"/>
        <v>1.1329975616500071E-2</v>
      </c>
      <c r="DT45" s="13">
        <f t="shared" si="151"/>
        <v>0</v>
      </c>
      <c r="DU45" s="13">
        <f t="shared" si="151"/>
        <v>1.3349658279006511E-3</v>
      </c>
      <c r="DV45" s="13">
        <f t="shared" si="151"/>
        <v>1.7261750651677937E-2</v>
      </c>
      <c r="DW45" s="13">
        <f t="shared" si="151"/>
        <v>0.1423073572542094</v>
      </c>
      <c r="DX45" s="13">
        <f t="shared" si="151"/>
        <v>9.8231944083610953E-2</v>
      </c>
      <c r="DY45" s="13">
        <f t="shared" si="151"/>
        <v>0</v>
      </c>
      <c r="DZ45" s="13">
        <f t="shared" si="151"/>
        <v>0</v>
      </c>
      <c r="EA45" s="12">
        <f t="shared" si="45"/>
        <v>1</v>
      </c>
      <c r="EB45" s="26"/>
      <c r="EC45" s="30">
        <f t="shared" si="46"/>
        <v>1323</v>
      </c>
      <c r="ED45" s="14">
        <f t="shared" si="98"/>
        <v>100000</v>
      </c>
      <c r="EE45" s="29"/>
      <c r="EF45" s="184">
        <f t="shared" si="122"/>
        <v>-7.2342365835222964</v>
      </c>
      <c r="EG45" s="13">
        <f t="shared" si="99"/>
        <v>3</v>
      </c>
      <c r="EH45" s="13">
        <f t="shared" si="100"/>
        <v>2.2492660619803502</v>
      </c>
      <c r="EI45" s="12">
        <f t="shared" si="47"/>
        <v>6.8414996220710531</v>
      </c>
      <c r="EJ45" s="29"/>
      <c r="EK45" s="28">
        <f t="shared" si="101"/>
        <v>-0.53184910453080125</v>
      </c>
      <c r="EL45" s="24">
        <f t="shared" si="102"/>
        <v>-0.23093751825045647</v>
      </c>
      <c r="EM45" s="24">
        <f t="shared" si="103"/>
        <v>0.58751758321751801</v>
      </c>
      <c r="EN45" s="24">
        <f t="shared" si="104"/>
        <v>1.2487353316537129E-2</v>
      </c>
      <c r="EO45" s="24">
        <f t="shared" si="105"/>
        <v>7.3365396413151525E-3</v>
      </c>
      <c r="EP45" s="24">
        <f t="shared" si="106"/>
        <v>0.54023731871929337</v>
      </c>
      <c r="EQ45" s="24">
        <f t="shared" si="107"/>
        <v>-0.53153148580403775</v>
      </c>
      <c r="ER45" s="24">
        <f t="shared" si="48"/>
        <v>-16.655418116778065</v>
      </c>
      <c r="ES45" s="25">
        <f t="shared" si="49"/>
        <v>-7.2320530250881747</v>
      </c>
      <c r="ET45" s="26"/>
      <c r="EU45" s="23">
        <f t="shared" si="123"/>
        <v>2.4821428232002276</v>
      </c>
      <c r="EV45" s="12">
        <f t="shared" si="50"/>
        <v>0.99671580811903293</v>
      </c>
      <c r="EW45" s="26"/>
      <c r="EX45" s="27">
        <f t="shared" si="108"/>
        <v>0.99987412330575753</v>
      </c>
      <c r="EY45" s="26"/>
      <c r="EZ45" s="23">
        <f t="shared" si="128"/>
        <v>-5.8653038904465546</v>
      </c>
      <c r="FA45" s="13">
        <f t="shared" si="52"/>
        <v>17.297678996046184</v>
      </c>
      <c r="FB45" s="13">
        <f t="shared" si="129"/>
        <v>-21.845149910644157</v>
      </c>
      <c r="FC45" s="13">
        <f t="shared" si="130"/>
        <v>11.693242164315663</v>
      </c>
      <c r="FD45" s="12">
        <f t="shared" si="55"/>
        <v>0.99999165001248524</v>
      </c>
      <c r="FE45" s="13"/>
      <c r="FF45" s="23">
        <f t="shared" si="131"/>
        <v>-6.3798787409036022</v>
      </c>
      <c r="FG45" s="13">
        <f t="shared" si="132"/>
        <v>11.058766913814356</v>
      </c>
      <c r="FH45" s="13">
        <f t="shared" si="133"/>
        <v>11.533064572985609</v>
      </c>
      <c r="FI45" s="24">
        <f t="shared" si="134"/>
        <v>0.99893005219743003</v>
      </c>
      <c r="FJ45" s="25">
        <f t="shared" si="135"/>
        <v>0.99964076899517418</v>
      </c>
      <c r="FK45" s="13"/>
      <c r="FL45" s="23">
        <f t="shared" si="110"/>
        <v>10.535368458090744</v>
      </c>
      <c r="FM45" s="13">
        <f t="shared" si="124"/>
        <v>-5.9243457643696775</v>
      </c>
      <c r="FN45" s="13">
        <f t="shared" si="136"/>
        <v>1.9912410554158271</v>
      </c>
      <c r="FO45" s="13">
        <f t="shared" si="60"/>
        <v>0.98989933477884617</v>
      </c>
      <c r="FP45" s="23">
        <f t="shared" si="137"/>
        <v>1.9911585157332876</v>
      </c>
      <c r="FQ45" s="13">
        <f t="shared" si="138"/>
        <v>0.98989743431361354</v>
      </c>
      <c r="FR45" s="13">
        <f t="shared" si="139"/>
        <v>1.9911908664513529</v>
      </c>
      <c r="FS45" s="13">
        <f t="shared" si="115"/>
        <v>0.98989817922677314</v>
      </c>
      <c r="FT45" s="13">
        <f t="shared" si="140"/>
        <v>1.9911502012964011</v>
      </c>
      <c r="FU45" s="12">
        <f t="shared" si="117"/>
        <v>0.98989724285518743</v>
      </c>
      <c r="FV45" s="22"/>
      <c r="FW45" s="11">
        <f t="shared" si="141"/>
        <v>3</v>
      </c>
      <c r="FX45" s="10">
        <f t="shared" si="142"/>
        <v>2.2492660619803502</v>
      </c>
      <c r="FY45" s="10">
        <f t="shared" si="143"/>
        <v>6.8414996220710531</v>
      </c>
      <c r="FZ45" s="5">
        <f t="shared" si="144"/>
        <v>-7.2342365835222964</v>
      </c>
      <c r="GA45" s="10">
        <f t="shared" si="145"/>
        <v>0.54023731871929337</v>
      </c>
      <c r="GB45" s="9">
        <f t="shared" si="118"/>
        <v>10.535368458090744</v>
      </c>
      <c r="GC45" s="8">
        <f t="shared" si="119"/>
        <v>-5.9243457643696775</v>
      </c>
      <c r="GD45" s="8">
        <f t="shared" si="120"/>
        <v>0.98989933477884617</v>
      </c>
      <c r="GE45" s="7">
        <f t="shared" si="121"/>
        <v>0.98989743431361354</v>
      </c>
      <c r="GF45" s="6">
        <f t="shared" si="146"/>
        <v>0.99893005219743003</v>
      </c>
      <c r="GG45" s="5">
        <f t="shared" si="147"/>
        <v>0.99964076899517418</v>
      </c>
      <c r="GH45" s="4">
        <f t="shared" si="148"/>
        <v>0.99999165001248524</v>
      </c>
      <c r="GI45" s="4">
        <f t="shared" si="149"/>
        <v>0.99987412330575753</v>
      </c>
      <c r="GJ45" s="4">
        <f t="shared" si="150"/>
        <v>0.99671580811903293</v>
      </c>
      <c r="GK45" s="1"/>
    </row>
    <row r="46" spans="1:193" x14ac:dyDescent="0.4">
      <c r="A46" s="34"/>
      <c r="B46" s="21"/>
      <c r="C46" s="21"/>
      <c r="D46" s="34"/>
      <c r="E46" s="34"/>
      <c r="F46" s="20" t="s">
        <v>83</v>
      </c>
      <c r="G46" s="19">
        <v>1050</v>
      </c>
      <c r="H46" s="18">
        <v>1E-4</v>
      </c>
      <c r="I46" s="17">
        <v>3.4</v>
      </c>
      <c r="J46" s="16">
        <v>55.2</v>
      </c>
      <c r="K46" s="16">
        <v>0.34</v>
      </c>
      <c r="L46" s="16">
        <v>21.9</v>
      </c>
      <c r="M46" s="16">
        <v>0</v>
      </c>
      <c r="N46" s="16">
        <v>2.8</v>
      </c>
      <c r="O46" s="16">
        <v>0</v>
      </c>
      <c r="P46" s="16">
        <v>0.1</v>
      </c>
      <c r="Q46" s="16">
        <v>1.8</v>
      </c>
      <c r="R46" s="16">
        <v>8.1999999999999993</v>
      </c>
      <c r="S46" s="16">
        <v>8.6</v>
      </c>
      <c r="T46" s="16">
        <v>0</v>
      </c>
      <c r="U46" s="15">
        <v>0</v>
      </c>
      <c r="V46" s="16"/>
      <c r="W46" s="28">
        <f t="shared" si="71"/>
        <v>55.791388720436643</v>
      </c>
      <c r="X46" s="24">
        <f t="shared" si="125"/>
        <v>0.34364261168384885</v>
      </c>
      <c r="Y46" s="24">
        <f t="shared" si="125"/>
        <v>22.13462704669497</v>
      </c>
      <c r="Z46" s="24">
        <f t="shared" si="125"/>
        <v>0</v>
      </c>
      <c r="AA46" s="24">
        <f t="shared" si="125"/>
        <v>2.8299979785728726</v>
      </c>
      <c r="AB46" s="24">
        <f t="shared" si="125"/>
        <v>0</v>
      </c>
      <c r="AC46" s="24">
        <f t="shared" si="125"/>
        <v>0.10107135637760262</v>
      </c>
      <c r="AD46" s="24">
        <f t="shared" si="125"/>
        <v>1.819284414796847</v>
      </c>
      <c r="AE46" s="24">
        <f t="shared" si="125"/>
        <v>8.2878512229634129</v>
      </c>
      <c r="AF46" s="24">
        <f t="shared" si="125"/>
        <v>8.6921366484738236</v>
      </c>
      <c r="AG46" s="24">
        <f t="shared" si="125"/>
        <v>0</v>
      </c>
      <c r="AH46" s="24">
        <f t="shared" si="125"/>
        <v>0</v>
      </c>
      <c r="AI46" s="14">
        <f t="shared" si="72"/>
        <v>100.00000000000001</v>
      </c>
      <c r="AJ46" s="26"/>
      <c r="AK46" s="50">
        <f t="shared" si="73"/>
        <v>0.92846378299944488</v>
      </c>
      <c r="AL46" s="47">
        <f t="shared" si="74"/>
        <v>4.3009087820256421E-3</v>
      </c>
      <c r="AM46" s="47">
        <f t="shared" si="75"/>
        <v>0.21709128135244185</v>
      </c>
      <c r="AN46" s="49">
        <f t="shared" si="76"/>
        <v>0</v>
      </c>
      <c r="AO46" s="49">
        <f t="shared" si="77"/>
        <v>3.938758494882217E-2</v>
      </c>
      <c r="AP46" s="47">
        <f t="shared" si="78"/>
        <v>0</v>
      </c>
      <c r="AQ46" s="47">
        <f t="shared" si="79"/>
        <v>2.506730068888954E-3</v>
      </c>
      <c r="AR46" s="47">
        <f t="shared" si="80"/>
        <v>3.2440877581969459E-2</v>
      </c>
      <c r="AS46" s="47">
        <f t="shared" si="81"/>
        <v>0.13371815461380143</v>
      </c>
      <c r="AT46" s="47">
        <f t="shared" si="82"/>
        <v>9.2273212828809167E-2</v>
      </c>
      <c r="AU46" s="47">
        <f t="shared" si="83"/>
        <v>0</v>
      </c>
      <c r="AV46" s="47">
        <f t="shared" si="84"/>
        <v>0</v>
      </c>
      <c r="AW46" s="47">
        <f t="shared" si="85"/>
        <v>1.4501825331762037</v>
      </c>
      <c r="AX46" s="47">
        <f t="shared" si="86"/>
        <v>1.6360313383192278E-2</v>
      </c>
      <c r="AY46" s="46">
        <f t="shared" si="87"/>
        <v>1.1517293309971515E-2</v>
      </c>
      <c r="AZ46" s="26"/>
      <c r="BA46" s="23">
        <f t="shared" si="88"/>
        <v>0.64023925385855707</v>
      </c>
      <c r="BB46" s="13">
        <f t="shared" si="6"/>
        <v>2.9657706417175983E-3</v>
      </c>
      <c r="BC46" s="13">
        <f t="shared" si="7"/>
        <v>0.14969928018438233</v>
      </c>
      <c r="BD46" s="13">
        <f t="shared" si="8"/>
        <v>0</v>
      </c>
      <c r="BE46" s="13">
        <f t="shared" si="9"/>
        <v>2.7160432599167433E-2</v>
      </c>
      <c r="BF46" s="13">
        <f t="shared" si="10"/>
        <v>1.1281554569106388E-2</v>
      </c>
      <c r="BG46" s="13">
        <f t="shared" si="11"/>
        <v>7.9419611300559721E-3</v>
      </c>
      <c r="BH46" s="13">
        <f t="shared" si="12"/>
        <v>0</v>
      </c>
      <c r="BI46" s="13">
        <f t="shared" si="13"/>
        <v>1.7285617579455256E-3</v>
      </c>
      <c r="BJ46" s="13">
        <f t="shared" si="14"/>
        <v>2.2370202950188028E-2</v>
      </c>
      <c r="BK46" s="13">
        <f t="shared" si="15"/>
        <v>9.2207809399642016E-2</v>
      </c>
      <c r="BL46" s="13">
        <f t="shared" si="16"/>
        <v>6.3628688608399861E-2</v>
      </c>
      <c r="BM46" s="13">
        <f t="shared" si="17"/>
        <v>0</v>
      </c>
      <c r="BN46" s="13">
        <f t="shared" si="18"/>
        <v>0</v>
      </c>
      <c r="BO46" s="12">
        <f t="shared" si="89"/>
        <v>0.99999999999999978</v>
      </c>
      <c r="BP46" s="13"/>
      <c r="BQ46" s="23">
        <f t="shared" si="90"/>
        <v>1.8569275659988898</v>
      </c>
      <c r="BR46" s="13">
        <f t="shared" si="19"/>
        <v>8.6018175640512843E-3</v>
      </c>
      <c r="BS46" s="13">
        <f t="shared" si="20"/>
        <v>0.65101844254985208</v>
      </c>
      <c r="BT46" s="13">
        <f t="shared" si="21"/>
        <v>0</v>
      </c>
      <c r="BU46" s="13">
        <f t="shared" si="22"/>
        <v>3.938758494882217E-2</v>
      </c>
      <c r="BV46" s="13">
        <f t="shared" si="91"/>
        <v>1.6360313383192278E-2</v>
      </c>
      <c r="BW46" s="24">
        <f t="shared" si="92"/>
        <v>3.4551879929914549E-2</v>
      </c>
      <c r="BX46" s="13">
        <f t="shared" si="23"/>
        <v>0</v>
      </c>
      <c r="BY46" s="13">
        <f t="shared" si="24"/>
        <v>2.5079741036625959E-3</v>
      </c>
      <c r="BZ46" s="13">
        <f t="shared" si="25"/>
        <v>3.2429312206717416E-2</v>
      </c>
      <c r="CA46" s="13">
        <f t="shared" si="26"/>
        <v>0.13367501972521634</v>
      </c>
      <c r="CB46" s="13">
        <f t="shared" si="27"/>
        <v>9.2273212828809167E-2</v>
      </c>
      <c r="CC46" s="13">
        <f t="shared" si="28"/>
        <v>0</v>
      </c>
      <c r="CD46" s="13">
        <f t="shared" si="93"/>
        <v>0</v>
      </c>
      <c r="CE46" s="12">
        <f t="shared" si="94"/>
        <v>2.816820929926021</v>
      </c>
      <c r="CF46" s="13"/>
      <c r="CG46" s="23">
        <f t="shared" si="127"/>
        <v>0.65922811999542297</v>
      </c>
      <c r="CH46" s="13">
        <f t="shared" si="127"/>
        <v>3.0537324799972984E-3</v>
      </c>
      <c r="CI46" s="13">
        <f t="shared" si="127"/>
        <v>0.23111815012214851</v>
      </c>
      <c r="CJ46" s="13">
        <f t="shared" si="127"/>
        <v>0</v>
      </c>
      <c r="CK46" s="13">
        <f t="shared" si="126"/>
        <v>1.3982992149187353E-2</v>
      </c>
      <c r="CL46" s="13">
        <f t="shared" si="126"/>
        <v>5.8080771870798169E-3</v>
      </c>
      <c r="CM46" s="13">
        <f t="shared" si="126"/>
        <v>1.2266267820873511E-2</v>
      </c>
      <c r="CN46" s="13">
        <f t="shared" si="126"/>
        <v>0</v>
      </c>
      <c r="CO46" s="13">
        <f t="shared" si="126"/>
        <v>8.9035624416794706E-4</v>
      </c>
      <c r="CP46" s="13">
        <f t="shared" si="126"/>
        <v>1.1512734750791957E-2</v>
      </c>
      <c r="CQ46" s="13">
        <f t="shared" si="126"/>
        <v>4.7455987814151571E-2</v>
      </c>
      <c r="CR46" s="13">
        <f t="shared" si="126"/>
        <v>3.2757926444132383E-2</v>
      </c>
      <c r="CS46" s="13">
        <f t="shared" si="126"/>
        <v>0</v>
      </c>
      <c r="CT46" s="13">
        <f t="shared" si="126"/>
        <v>0</v>
      </c>
      <c r="CU46" s="12">
        <f t="shared" si="30"/>
        <v>1</v>
      </c>
      <c r="CV46" s="26"/>
      <c r="CW46" s="23">
        <f t="shared" si="31"/>
        <v>0.92846378299944488</v>
      </c>
      <c r="CX46" s="13">
        <f t="shared" si="32"/>
        <v>4.3009087820256421E-3</v>
      </c>
      <c r="CY46" s="13">
        <f t="shared" si="33"/>
        <v>0.43401229503323469</v>
      </c>
      <c r="CZ46" s="13">
        <f t="shared" si="34"/>
        <v>0</v>
      </c>
      <c r="DA46" s="13">
        <f t="shared" si="35"/>
        <v>2.506963788300836E-2</v>
      </c>
      <c r="DB46" s="13">
        <f t="shared" si="36"/>
        <v>1.6360313383192278E-2</v>
      </c>
      <c r="DC46" s="24">
        <f t="shared" si="37"/>
        <v>2.303458661994303E-2</v>
      </c>
      <c r="DD46" s="13">
        <f t="shared" si="38"/>
        <v>0</v>
      </c>
      <c r="DE46" s="13">
        <f t="shared" si="39"/>
        <v>2.5079741036625959E-3</v>
      </c>
      <c r="DF46" s="13">
        <f t="shared" si="40"/>
        <v>3.2429312206717416E-2</v>
      </c>
      <c r="DG46" s="13">
        <f t="shared" si="41"/>
        <v>0.26735003945043267</v>
      </c>
      <c r="DH46" s="13">
        <f t="shared" si="42"/>
        <v>0.18454642565761833</v>
      </c>
      <c r="DI46" s="13">
        <f t="shared" si="43"/>
        <v>0</v>
      </c>
      <c r="DJ46" s="13">
        <f t="shared" si="95"/>
        <v>0</v>
      </c>
      <c r="DK46" s="12">
        <f t="shared" si="96"/>
        <v>1.8786803761161448</v>
      </c>
      <c r="DL46" s="26"/>
      <c r="DM46" s="23">
        <f t="shared" si="152"/>
        <v>0.49421061443079922</v>
      </c>
      <c r="DN46" s="13">
        <f t="shared" si="152"/>
        <v>2.2893243772083502E-3</v>
      </c>
      <c r="DO46" s="13">
        <f t="shared" si="151"/>
        <v>0.23101976288828971</v>
      </c>
      <c r="DP46" s="13">
        <f t="shared" si="151"/>
        <v>0</v>
      </c>
      <c r="DQ46" s="13">
        <f t="shared" si="151"/>
        <v>1.3344280486303697E-2</v>
      </c>
      <c r="DR46" s="13">
        <f t="shared" si="151"/>
        <v>8.7084070239848189E-3</v>
      </c>
      <c r="DS46" s="13">
        <f t="shared" si="151"/>
        <v>1.2261046058065054E-2</v>
      </c>
      <c r="DT46" s="13">
        <f t="shared" si="151"/>
        <v>0</v>
      </c>
      <c r="DU46" s="13">
        <f t="shared" si="151"/>
        <v>1.3349658279006511E-3</v>
      </c>
      <c r="DV46" s="13">
        <f t="shared" si="151"/>
        <v>1.7261750651677937E-2</v>
      </c>
      <c r="DW46" s="13">
        <f t="shared" si="151"/>
        <v>0.1423073572542094</v>
      </c>
      <c r="DX46" s="13">
        <f t="shared" si="151"/>
        <v>9.8231944083610953E-2</v>
      </c>
      <c r="DY46" s="13">
        <f t="shared" si="151"/>
        <v>0</v>
      </c>
      <c r="DZ46" s="13">
        <f t="shared" si="151"/>
        <v>0</v>
      </c>
      <c r="EA46" s="12">
        <f t="shared" si="45"/>
        <v>1</v>
      </c>
      <c r="EB46" s="26"/>
      <c r="EC46" s="30">
        <f t="shared" si="46"/>
        <v>1323</v>
      </c>
      <c r="ED46" s="14">
        <f t="shared" si="98"/>
        <v>100000</v>
      </c>
      <c r="EE46" s="29"/>
      <c r="EF46" s="184">
        <f t="shared" si="122"/>
        <v>-6.834236583522296</v>
      </c>
      <c r="EG46" s="13">
        <f t="shared" si="99"/>
        <v>3.4</v>
      </c>
      <c r="EH46" s="13">
        <f t="shared" si="100"/>
        <v>2.6492660619803505</v>
      </c>
      <c r="EI46" s="12">
        <f t="shared" si="47"/>
        <v>7.2414996220710535</v>
      </c>
      <c r="EJ46" s="29"/>
      <c r="EK46" s="28">
        <f t="shared" si="101"/>
        <v>-0.35132643324006824</v>
      </c>
      <c r="EL46" s="24">
        <f t="shared" si="102"/>
        <v>-0.15255164274427627</v>
      </c>
      <c r="EM46" s="24">
        <f t="shared" si="103"/>
        <v>0.70375398766159636</v>
      </c>
      <c r="EN46" s="24">
        <f t="shared" si="104"/>
        <v>1.1281554569106388E-2</v>
      </c>
      <c r="EO46" s="24">
        <f t="shared" si="105"/>
        <v>7.9394390150305232E-3</v>
      </c>
      <c r="EP46" s="24">
        <f t="shared" si="106"/>
        <v>0.58463273631907431</v>
      </c>
      <c r="EQ46" s="24">
        <f t="shared" si="107"/>
        <v>-0.35100881451330462</v>
      </c>
      <c r="ER46" s="24">
        <f t="shared" si="48"/>
        <v>-15.734384079580446</v>
      </c>
      <c r="ES46" s="25">
        <f t="shared" si="49"/>
        <v>-6.8321250888321519</v>
      </c>
      <c r="ET46" s="26"/>
      <c r="EU46" s="23">
        <f t="shared" si="123"/>
        <v>3.109342823200226</v>
      </c>
      <c r="EV46" s="12">
        <f t="shared" si="50"/>
        <v>0.99922318128923582</v>
      </c>
      <c r="EW46" s="26"/>
      <c r="EX46" s="27">
        <f t="shared" si="108"/>
        <v>0.99998004777494953</v>
      </c>
      <c r="EY46" s="26"/>
      <c r="EZ46" s="23">
        <f t="shared" si="128"/>
        <v>-5.8653038904465546</v>
      </c>
      <c r="FA46" s="13">
        <f t="shared" si="52"/>
        <v>17.286070694011858</v>
      </c>
      <c r="FB46" s="13">
        <f t="shared" si="129"/>
        <v>-21.845149910644157</v>
      </c>
      <c r="FC46" s="13">
        <f t="shared" si="130"/>
        <v>13.523701936676577</v>
      </c>
      <c r="FD46" s="12">
        <f t="shared" si="55"/>
        <v>0.99999866115502611</v>
      </c>
      <c r="FE46" s="13"/>
      <c r="FF46" s="23">
        <f t="shared" si="131"/>
        <v>-6.3917204978482696</v>
      </c>
      <c r="FG46" s="13">
        <f t="shared" si="132"/>
        <v>11.058766913814356</v>
      </c>
      <c r="FH46" s="13">
        <f t="shared" si="133"/>
        <v>11.533064572985609</v>
      </c>
      <c r="FI46" s="24">
        <f t="shared" si="134"/>
        <v>0.99983483652191196</v>
      </c>
      <c r="FJ46" s="25">
        <f t="shared" si="135"/>
        <v>0.99994458031830313</v>
      </c>
      <c r="FK46" s="13"/>
      <c r="FL46" s="23">
        <f t="shared" si="110"/>
        <v>10.535368458090744</v>
      </c>
      <c r="FM46" s="13">
        <f t="shared" si="124"/>
        <v>-5.9179005988970639</v>
      </c>
      <c r="FN46" s="13">
        <f t="shared" si="136"/>
        <v>2.784795889943215</v>
      </c>
      <c r="FO46" s="13">
        <f t="shared" si="60"/>
        <v>0.99836132865117611</v>
      </c>
      <c r="FP46" s="23">
        <f t="shared" si="137"/>
        <v>2.7847133502606756</v>
      </c>
      <c r="FQ46" s="13">
        <f t="shared" si="138"/>
        <v>0.9983610176949701</v>
      </c>
      <c r="FR46" s="13">
        <f t="shared" si="139"/>
        <v>2.7847457009787409</v>
      </c>
      <c r="FS46" s="13">
        <f t="shared" si="115"/>
        <v>0.99836113957859751</v>
      </c>
      <c r="FT46" s="13">
        <f t="shared" si="140"/>
        <v>2.784705035823789</v>
      </c>
      <c r="FU46" s="12">
        <f t="shared" si="117"/>
        <v>0.99836098636827686</v>
      </c>
      <c r="FV46" s="22"/>
      <c r="FW46" s="11">
        <f t="shared" si="141"/>
        <v>3.4</v>
      </c>
      <c r="FX46" s="10">
        <f t="shared" si="142"/>
        <v>2.6492660619803505</v>
      </c>
      <c r="FY46" s="10">
        <f t="shared" si="143"/>
        <v>7.2414996220710535</v>
      </c>
      <c r="FZ46" s="5">
        <f t="shared" si="144"/>
        <v>-6.834236583522296</v>
      </c>
      <c r="GA46" s="10">
        <f t="shared" si="145"/>
        <v>0.58463273631907431</v>
      </c>
      <c r="GB46" s="9">
        <f t="shared" si="118"/>
        <v>10.535368458090744</v>
      </c>
      <c r="GC46" s="8">
        <f t="shared" si="119"/>
        <v>-5.9179005988970639</v>
      </c>
      <c r="GD46" s="8">
        <f t="shared" si="120"/>
        <v>0.99836132865117611</v>
      </c>
      <c r="GE46" s="7">
        <f t="shared" si="121"/>
        <v>0.9983610176949701</v>
      </c>
      <c r="GF46" s="6">
        <f t="shared" si="146"/>
        <v>0.99983483652191196</v>
      </c>
      <c r="GG46" s="5">
        <f t="shared" si="147"/>
        <v>0.99994458031830313</v>
      </c>
      <c r="GH46" s="4">
        <f t="shared" si="148"/>
        <v>0.99999866115502611</v>
      </c>
      <c r="GI46" s="4">
        <f t="shared" si="149"/>
        <v>0.99998004777494953</v>
      </c>
      <c r="GJ46" s="4">
        <f t="shared" si="150"/>
        <v>0.99922318128923582</v>
      </c>
      <c r="GK46" s="1"/>
    </row>
    <row r="47" spans="1:193" x14ac:dyDescent="0.4">
      <c r="A47" s="34"/>
      <c r="B47" s="21"/>
      <c r="C47" s="21"/>
      <c r="D47" s="34"/>
      <c r="E47" s="34"/>
      <c r="F47" s="20" t="s">
        <v>83</v>
      </c>
      <c r="G47" s="19">
        <v>1050</v>
      </c>
      <c r="H47" s="18">
        <v>1E-4</v>
      </c>
      <c r="I47" s="17">
        <v>3.8</v>
      </c>
      <c r="J47" s="16">
        <v>55.2</v>
      </c>
      <c r="K47" s="16">
        <v>0.34</v>
      </c>
      <c r="L47" s="16">
        <v>21.9</v>
      </c>
      <c r="M47" s="16">
        <v>0</v>
      </c>
      <c r="N47" s="16">
        <v>2.8</v>
      </c>
      <c r="O47" s="16">
        <v>0</v>
      </c>
      <c r="P47" s="16">
        <v>0.1</v>
      </c>
      <c r="Q47" s="16">
        <v>1.8</v>
      </c>
      <c r="R47" s="16">
        <v>8.1999999999999993</v>
      </c>
      <c r="S47" s="16">
        <v>8.6</v>
      </c>
      <c r="T47" s="16">
        <v>0</v>
      </c>
      <c r="U47" s="15">
        <v>0</v>
      </c>
      <c r="V47" s="16"/>
      <c r="W47" s="28">
        <f t="shared" si="71"/>
        <v>55.791388720436643</v>
      </c>
      <c r="X47" s="24">
        <f t="shared" si="125"/>
        <v>0.34364261168384885</v>
      </c>
      <c r="Y47" s="24">
        <f t="shared" si="125"/>
        <v>22.13462704669497</v>
      </c>
      <c r="Z47" s="24">
        <f t="shared" si="125"/>
        <v>0</v>
      </c>
      <c r="AA47" s="24">
        <f t="shared" si="125"/>
        <v>2.8299979785728726</v>
      </c>
      <c r="AB47" s="24">
        <f t="shared" si="125"/>
        <v>0</v>
      </c>
      <c r="AC47" s="24">
        <f t="shared" si="125"/>
        <v>0.10107135637760262</v>
      </c>
      <c r="AD47" s="24">
        <f t="shared" si="125"/>
        <v>1.819284414796847</v>
      </c>
      <c r="AE47" s="24">
        <f t="shared" si="125"/>
        <v>8.2878512229634129</v>
      </c>
      <c r="AF47" s="24">
        <f t="shared" si="125"/>
        <v>8.6921366484738236</v>
      </c>
      <c r="AG47" s="24">
        <f t="shared" si="125"/>
        <v>0</v>
      </c>
      <c r="AH47" s="24">
        <f t="shared" si="125"/>
        <v>0</v>
      </c>
      <c r="AI47" s="14">
        <f t="shared" si="72"/>
        <v>100.00000000000001</v>
      </c>
      <c r="AJ47" s="26"/>
      <c r="AK47" s="50">
        <f t="shared" si="73"/>
        <v>0.92846378299944488</v>
      </c>
      <c r="AL47" s="47">
        <f t="shared" si="74"/>
        <v>4.3009087820256421E-3</v>
      </c>
      <c r="AM47" s="47">
        <f t="shared" si="75"/>
        <v>0.21709128135244185</v>
      </c>
      <c r="AN47" s="49">
        <f t="shared" si="76"/>
        <v>0</v>
      </c>
      <c r="AO47" s="49">
        <f t="shared" si="77"/>
        <v>3.938758494882217E-2</v>
      </c>
      <c r="AP47" s="47">
        <f t="shared" si="78"/>
        <v>0</v>
      </c>
      <c r="AQ47" s="47">
        <f t="shared" si="79"/>
        <v>2.506730068888954E-3</v>
      </c>
      <c r="AR47" s="47">
        <f t="shared" si="80"/>
        <v>3.2440877581969459E-2</v>
      </c>
      <c r="AS47" s="47">
        <f t="shared" si="81"/>
        <v>0.13371815461380143</v>
      </c>
      <c r="AT47" s="47">
        <f t="shared" si="82"/>
        <v>9.2273212828809167E-2</v>
      </c>
      <c r="AU47" s="47">
        <f t="shared" si="83"/>
        <v>0</v>
      </c>
      <c r="AV47" s="47">
        <f t="shared" si="84"/>
        <v>0</v>
      </c>
      <c r="AW47" s="47">
        <f t="shared" si="85"/>
        <v>1.4501825331762037</v>
      </c>
      <c r="AX47" s="47">
        <f t="shared" si="86"/>
        <v>1.4664172265532259E-2</v>
      </c>
      <c r="AY47" s="46">
        <f t="shared" si="87"/>
        <v>1.2365633274674537E-2</v>
      </c>
      <c r="AZ47" s="26"/>
      <c r="BA47" s="23">
        <f t="shared" si="88"/>
        <v>0.64023925385855707</v>
      </c>
      <c r="BB47" s="13">
        <f t="shared" si="6"/>
        <v>2.9657706417175983E-3</v>
      </c>
      <c r="BC47" s="13">
        <f t="shared" si="7"/>
        <v>0.14969928018438233</v>
      </c>
      <c r="BD47" s="13">
        <f t="shared" si="8"/>
        <v>0</v>
      </c>
      <c r="BE47" s="13">
        <f t="shared" si="9"/>
        <v>2.7160432599167433E-2</v>
      </c>
      <c r="BF47" s="13">
        <f t="shared" si="10"/>
        <v>1.0111949309866978E-2</v>
      </c>
      <c r="BG47" s="13">
        <f t="shared" si="11"/>
        <v>8.5269495334433579E-3</v>
      </c>
      <c r="BH47" s="13">
        <f t="shared" si="12"/>
        <v>0</v>
      </c>
      <c r="BI47" s="13">
        <f t="shared" si="13"/>
        <v>1.7285617579455256E-3</v>
      </c>
      <c r="BJ47" s="13">
        <f t="shared" si="14"/>
        <v>2.2370202950188028E-2</v>
      </c>
      <c r="BK47" s="13">
        <f t="shared" si="15"/>
        <v>9.2207809399642016E-2</v>
      </c>
      <c r="BL47" s="13">
        <f t="shared" si="16"/>
        <v>6.3628688608399861E-2</v>
      </c>
      <c r="BM47" s="13">
        <f t="shared" si="17"/>
        <v>0</v>
      </c>
      <c r="BN47" s="13">
        <f t="shared" si="18"/>
        <v>0</v>
      </c>
      <c r="BO47" s="12">
        <f t="shared" si="89"/>
        <v>0.99999999999999978</v>
      </c>
      <c r="BP47" s="13"/>
      <c r="BQ47" s="23">
        <f t="shared" si="90"/>
        <v>1.8569275659988898</v>
      </c>
      <c r="BR47" s="13">
        <f t="shared" si="19"/>
        <v>8.6018175640512843E-3</v>
      </c>
      <c r="BS47" s="13">
        <f t="shared" si="20"/>
        <v>0.65101844254985208</v>
      </c>
      <c r="BT47" s="13">
        <f t="shared" si="21"/>
        <v>0</v>
      </c>
      <c r="BU47" s="13">
        <f t="shared" si="22"/>
        <v>3.938758494882217E-2</v>
      </c>
      <c r="BV47" s="13">
        <f t="shared" si="91"/>
        <v>1.4664172265532259E-2</v>
      </c>
      <c r="BW47" s="24">
        <f t="shared" si="92"/>
        <v>3.7096899824023609E-2</v>
      </c>
      <c r="BX47" s="13">
        <f t="shared" si="23"/>
        <v>0</v>
      </c>
      <c r="BY47" s="13">
        <f t="shared" si="24"/>
        <v>2.5079741036625959E-3</v>
      </c>
      <c r="BZ47" s="13">
        <f t="shared" si="25"/>
        <v>3.2429312206717416E-2</v>
      </c>
      <c r="CA47" s="13">
        <f t="shared" si="26"/>
        <v>0.13367501972521634</v>
      </c>
      <c r="CB47" s="13">
        <f t="shared" si="27"/>
        <v>9.2273212828809167E-2</v>
      </c>
      <c r="CC47" s="13">
        <f t="shared" si="28"/>
        <v>0</v>
      </c>
      <c r="CD47" s="13">
        <f t="shared" si="93"/>
        <v>0</v>
      </c>
      <c r="CE47" s="12">
        <f t="shared" si="94"/>
        <v>2.816820929926021</v>
      </c>
      <c r="CF47" s="13"/>
      <c r="CG47" s="23">
        <f t="shared" si="127"/>
        <v>0.65922811999542297</v>
      </c>
      <c r="CH47" s="13">
        <f t="shared" si="127"/>
        <v>3.0537324799972984E-3</v>
      </c>
      <c r="CI47" s="13">
        <f t="shared" si="127"/>
        <v>0.23111815012214851</v>
      </c>
      <c r="CJ47" s="13">
        <f t="shared" si="127"/>
        <v>0</v>
      </c>
      <c r="CK47" s="13">
        <f t="shared" si="126"/>
        <v>1.3982992149187353E-2</v>
      </c>
      <c r="CL47" s="13">
        <f t="shared" si="126"/>
        <v>5.2059298870366566E-3</v>
      </c>
      <c r="CM47" s="13">
        <f t="shared" si="126"/>
        <v>1.3169775696390433E-2</v>
      </c>
      <c r="CN47" s="13">
        <f t="shared" si="126"/>
        <v>0</v>
      </c>
      <c r="CO47" s="13">
        <f t="shared" si="126"/>
        <v>8.9035624416794706E-4</v>
      </c>
      <c r="CP47" s="13">
        <f t="shared" si="126"/>
        <v>1.1512734750791957E-2</v>
      </c>
      <c r="CQ47" s="13">
        <f t="shared" si="126"/>
        <v>4.7455987814151571E-2</v>
      </c>
      <c r="CR47" s="13">
        <f t="shared" si="126"/>
        <v>3.2757926444132383E-2</v>
      </c>
      <c r="CS47" s="13">
        <f t="shared" si="126"/>
        <v>0</v>
      </c>
      <c r="CT47" s="13">
        <f t="shared" si="126"/>
        <v>0</v>
      </c>
      <c r="CU47" s="12">
        <f t="shared" si="30"/>
        <v>1</v>
      </c>
      <c r="CV47" s="26"/>
      <c r="CW47" s="23">
        <f t="shared" si="31"/>
        <v>0.92846378299944488</v>
      </c>
      <c r="CX47" s="13">
        <f t="shared" si="32"/>
        <v>4.3009087820256421E-3</v>
      </c>
      <c r="CY47" s="13">
        <f t="shared" si="33"/>
        <v>0.43401229503323469</v>
      </c>
      <c r="CZ47" s="13">
        <f t="shared" si="34"/>
        <v>0</v>
      </c>
      <c r="DA47" s="13">
        <f t="shared" si="35"/>
        <v>2.506963788300836E-2</v>
      </c>
      <c r="DB47" s="13">
        <f t="shared" si="36"/>
        <v>1.4664172265532259E-2</v>
      </c>
      <c r="DC47" s="24">
        <f t="shared" si="37"/>
        <v>2.4731266549349075E-2</v>
      </c>
      <c r="DD47" s="13">
        <f t="shared" si="38"/>
        <v>0</v>
      </c>
      <c r="DE47" s="13">
        <f t="shared" si="39"/>
        <v>2.5079741036625959E-3</v>
      </c>
      <c r="DF47" s="13">
        <f t="shared" si="40"/>
        <v>3.2429312206717416E-2</v>
      </c>
      <c r="DG47" s="13">
        <f t="shared" si="41"/>
        <v>0.26735003945043267</v>
      </c>
      <c r="DH47" s="13">
        <f t="shared" si="42"/>
        <v>0.18454642565761833</v>
      </c>
      <c r="DI47" s="13">
        <f t="shared" si="43"/>
        <v>0</v>
      </c>
      <c r="DJ47" s="13">
        <f t="shared" si="95"/>
        <v>0</v>
      </c>
      <c r="DK47" s="12">
        <f t="shared" si="96"/>
        <v>1.8786803761161448</v>
      </c>
      <c r="DL47" s="26"/>
      <c r="DM47" s="23">
        <f t="shared" si="152"/>
        <v>0.49421061443079922</v>
      </c>
      <c r="DN47" s="13">
        <f t="shared" si="152"/>
        <v>2.2893243772083502E-3</v>
      </c>
      <c r="DO47" s="13">
        <f t="shared" si="151"/>
        <v>0.23101976288828971</v>
      </c>
      <c r="DP47" s="13">
        <f t="shared" si="151"/>
        <v>0</v>
      </c>
      <c r="DQ47" s="13">
        <f t="shared" si="151"/>
        <v>1.3344280486303697E-2</v>
      </c>
      <c r="DR47" s="13">
        <f t="shared" si="151"/>
        <v>7.8055705760061034E-3</v>
      </c>
      <c r="DS47" s="13">
        <f t="shared" si="151"/>
        <v>1.3164169309351494E-2</v>
      </c>
      <c r="DT47" s="13">
        <f t="shared" si="151"/>
        <v>0</v>
      </c>
      <c r="DU47" s="13">
        <f t="shared" si="151"/>
        <v>1.3349658279006511E-3</v>
      </c>
      <c r="DV47" s="13">
        <f t="shared" si="151"/>
        <v>1.7261750651677937E-2</v>
      </c>
      <c r="DW47" s="13">
        <f t="shared" si="151"/>
        <v>0.1423073572542094</v>
      </c>
      <c r="DX47" s="13">
        <f t="shared" si="151"/>
        <v>9.8231944083610953E-2</v>
      </c>
      <c r="DY47" s="13">
        <f t="shared" si="151"/>
        <v>0</v>
      </c>
      <c r="DZ47" s="13">
        <f t="shared" si="151"/>
        <v>0</v>
      </c>
      <c r="EA47" s="12">
        <f t="shared" si="45"/>
        <v>1</v>
      </c>
      <c r="EB47" s="26"/>
      <c r="EC47" s="30">
        <f t="shared" si="46"/>
        <v>1323</v>
      </c>
      <c r="ED47" s="14">
        <f t="shared" si="98"/>
        <v>100000</v>
      </c>
      <c r="EE47" s="29"/>
      <c r="EF47" s="184">
        <f t="shared" si="122"/>
        <v>-6.4342365835222965</v>
      </c>
      <c r="EG47" s="13">
        <f t="shared" si="99"/>
        <v>3.8</v>
      </c>
      <c r="EH47" s="13">
        <f t="shared" si="100"/>
        <v>3.04926606198035</v>
      </c>
      <c r="EI47" s="12">
        <f t="shared" si="47"/>
        <v>7.6414996220710529</v>
      </c>
      <c r="EJ47" s="29"/>
      <c r="EK47" s="28">
        <f t="shared" si="101"/>
        <v>-0.17080376194933514</v>
      </c>
      <c r="EL47" s="24">
        <f t="shared" si="102"/>
        <v>-7.4165767238096023E-2</v>
      </c>
      <c r="EM47" s="24">
        <f t="shared" si="103"/>
        <v>0.84298698336358291</v>
      </c>
      <c r="EN47" s="24">
        <f t="shared" si="104"/>
        <v>1.0111949309866978E-2</v>
      </c>
      <c r="EO47" s="24">
        <f t="shared" si="105"/>
        <v>8.5242416446502274E-3</v>
      </c>
      <c r="EP47" s="24">
        <f t="shared" si="106"/>
        <v>0.62769557248594976</v>
      </c>
      <c r="EQ47" s="24">
        <f t="shared" si="107"/>
        <v>-0.17048614322257141</v>
      </c>
      <c r="ER47" s="24">
        <f t="shared" si="48"/>
        <v>-14.813350042382829</v>
      </c>
      <c r="ES47" s="25">
        <f t="shared" si="49"/>
        <v>-6.4321971525761308</v>
      </c>
      <c r="ET47" s="26"/>
      <c r="EU47" s="23">
        <f t="shared" si="123"/>
        <v>3.736542823200228</v>
      </c>
      <c r="EV47" s="12">
        <f t="shared" si="50"/>
        <v>0.99981660920892512</v>
      </c>
      <c r="EW47" s="26"/>
      <c r="EX47" s="27">
        <f t="shared" si="108"/>
        <v>0.99999683773233983</v>
      </c>
      <c r="EY47" s="26"/>
      <c r="EZ47" s="23">
        <f t="shared" si="128"/>
        <v>-5.8653038904465546</v>
      </c>
      <c r="FA47" s="13">
        <f t="shared" si="52"/>
        <v>17.274810829014392</v>
      </c>
      <c r="FB47" s="13">
        <f t="shared" si="129"/>
        <v>-21.845149910644157</v>
      </c>
      <c r="FC47" s="13">
        <f t="shared" si="130"/>
        <v>15.354510146074347</v>
      </c>
      <c r="FD47" s="12">
        <f t="shared" si="55"/>
        <v>0.99999978540436796</v>
      </c>
      <c r="FE47" s="13"/>
      <c r="FF47" s="23">
        <f t="shared" si="131"/>
        <v>-6.403206810328383</v>
      </c>
      <c r="FG47" s="13">
        <f t="shared" si="132"/>
        <v>11.058766913814356</v>
      </c>
      <c r="FH47" s="13">
        <f t="shared" si="133"/>
        <v>11.533064572985609</v>
      </c>
      <c r="FI47" s="24">
        <f t="shared" si="134"/>
        <v>0.99997450304194091</v>
      </c>
      <c r="FJ47" s="25">
        <f t="shared" si="135"/>
        <v>0.99999144543228236</v>
      </c>
      <c r="FK47" s="13"/>
      <c r="FL47" s="23">
        <f t="shared" si="110"/>
        <v>10.535368458090744</v>
      </c>
      <c r="FM47" s="13">
        <f t="shared" si="124"/>
        <v>-5.9116489114071946</v>
      </c>
      <c r="FN47" s="13">
        <f t="shared" si="136"/>
        <v>3.5785442024533456</v>
      </c>
      <c r="FO47" s="13">
        <f t="shared" si="60"/>
        <v>0.99973615965995977</v>
      </c>
      <c r="FP47" s="23">
        <f t="shared" si="137"/>
        <v>3.5784616627708061</v>
      </c>
      <c r="FQ47" s="13">
        <f t="shared" si="138"/>
        <v>0.99973610952434666</v>
      </c>
      <c r="FR47" s="13">
        <f t="shared" si="139"/>
        <v>3.5784940134888714</v>
      </c>
      <c r="FS47" s="13">
        <f t="shared" si="115"/>
        <v>0.99973612917570343</v>
      </c>
      <c r="FT47" s="13">
        <f t="shared" si="140"/>
        <v>3.5784533483339196</v>
      </c>
      <c r="FU47" s="12">
        <f t="shared" si="117"/>
        <v>0.9997361044735279</v>
      </c>
      <c r="FV47" s="22"/>
      <c r="FW47" s="11">
        <f t="shared" si="141"/>
        <v>3.8</v>
      </c>
      <c r="FX47" s="10">
        <f t="shared" si="142"/>
        <v>3.04926606198035</v>
      </c>
      <c r="FY47" s="10">
        <f t="shared" si="143"/>
        <v>7.6414996220710529</v>
      </c>
      <c r="FZ47" s="5">
        <f t="shared" si="144"/>
        <v>-6.4342365835222965</v>
      </c>
      <c r="GA47" s="10">
        <f t="shared" si="145"/>
        <v>0.62769557248594976</v>
      </c>
      <c r="GB47" s="9">
        <f t="shared" si="118"/>
        <v>10.535368458090744</v>
      </c>
      <c r="GC47" s="8">
        <f t="shared" si="119"/>
        <v>-5.9116489114071946</v>
      </c>
      <c r="GD47" s="8">
        <f t="shared" si="120"/>
        <v>0.99973615965995977</v>
      </c>
      <c r="GE47" s="7">
        <f t="shared" si="121"/>
        <v>0.99973610952434666</v>
      </c>
      <c r="GF47" s="6">
        <f t="shared" si="146"/>
        <v>0.99997450304194091</v>
      </c>
      <c r="GG47" s="5">
        <f t="shared" si="147"/>
        <v>0.99999144543228236</v>
      </c>
      <c r="GH47" s="4">
        <f t="shared" si="148"/>
        <v>0.99999978540436796</v>
      </c>
      <c r="GI47" s="4">
        <f t="shared" si="149"/>
        <v>0.99999683773233983</v>
      </c>
      <c r="GJ47" s="4">
        <f t="shared" si="150"/>
        <v>0.99981660920892512</v>
      </c>
      <c r="GK47" s="1"/>
    </row>
    <row r="48" spans="1:193" x14ac:dyDescent="0.4">
      <c r="A48" s="34"/>
      <c r="B48" s="21"/>
      <c r="C48" s="21"/>
      <c r="D48" s="34"/>
      <c r="E48" s="34"/>
      <c r="F48" s="20" t="s">
        <v>84</v>
      </c>
      <c r="G48" s="19">
        <v>950</v>
      </c>
      <c r="H48" s="18">
        <v>1</v>
      </c>
      <c r="I48" s="17">
        <v>-1</v>
      </c>
      <c r="J48" s="16">
        <v>52.63</v>
      </c>
      <c r="K48" s="16">
        <v>1.18</v>
      </c>
      <c r="L48" s="16">
        <v>17.13</v>
      </c>
      <c r="M48" s="16">
        <v>0</v>
      </c>
      <c r="N48" s="16">
        <f t="shared" ref="N48:N95" si="153">4.52+2.06*0.9</f>
        <v>6.3739999999999997</v>
      </c>
      <c r="O48" s="16">
        <v>0</v>
      </c>
      <c r="P48" s="16">
        <v>2.71</v>
      </c>
      <c r="Q48" s="16">
        <v>5.74</v>
      </c>
      <c r="R48" s="16">
        <v>4.38</v>
      </c>
      <c r="S48" s="16">
        <v>1.74</v>
      </c>
      <c r="T48" s="16">
        <v>0</v>
      </c>
      <c r="U48" s="15">
        <v>6</v>
      </c>
      <c r="V48" s="16"/>
      <c r="W48" s="28">
        <f t="shared" si="71"/>
        <v>53.767725062318682</v>
      </c>
      <c r="X48" s="24">
        <f t="shared" si="125"/>
        <v>1.2055085611540193</v>
      </c>
      <c r="Y48" s="24">
        <f t="shared" si="125"/>
        <v>17.500306485227416</v>
      </c>
      <c r="Z48" s="24">
        <f t="shared" ref="Z48:AH76" si="154">IF(M48="","",M48/SUM($J48:$U48)*100)</f>
        <v>0</v>
      </c>
      <c r="AA48" s="24">
        <f t="shared" si="154"/>
        <v>6.5117894650811179</v>
      </c>
      <c r="AB48" s="24">
        <f t="shared" si="154"/>
        <v>0</v>
      </c>
      <c r="AC48" s="24">
        <f t="shared" si="154"/>
        <v>2.7685832209554171</v>
      </c>
      <c r="AD48" s="24">
        <f t="shared" si="154"/>
        <v>5.8640840178170093</v>
      </c>
      <c r="AE48" s="24">
        <f t="shared" si="154"/>
        <v>4.4746843202157667</v>
      </c>
      <c r="AF48" s="24">
        <f t="shared" si="154"/>
        <v>1.777614318989825</v>
      </c>
      <c r="AG48" s="24">
        <f t="shared" si="154"/>
        <v>0</v>
      </c>
      <c r="AH48" s="24">
        <f t="shared" si="154"/>
        <v>6.1297045482407766</v>
      </c>
      <c r="AI48" s="14">
        <f t="shared" si="72"/>
        <v>100.00000000000004</v>
      </c>
      <c r="AJ48" s="26"/>
      <c r="AK48" s="50">
        <f t="shared" si="73"/>
        <v>0.89478657118187188</v>
      </c>
      <c r="AL48" s="47">
        <f t="shared" si="74"/>
        <v>1.5087716660250553E-2</v>
      </c>
      <c r="AM48" s="47">
        <f t="shared" si="75"/>
        <v>0.17163894159697349</v>
      </c>
      <c r="AN48" s="49">
        <f t="shared" si="76"/>
        <v>0</v>
      </c>
      <c r="AO48" s="49">
        <f t="shared" si="77"/>
        <v>9.0630333543230593E-2</v>
      </c>
      <c r="AP48" s="47">
        <f t="shared" si="78"/>
        <v>0</v>
      </c>
      <c r="AQ48" s="47">
        <f t="shared" si="79"/>
        <v>6.8665258456235542E-2</v>
      </c>
      <c r="AR48" s="47">
        <f t="shared" si="80"/>
        <v>0.10456640545322771</v>
      </c>
      <c r="AS48" s="47">
        <f t="shared" si="81"/>
        <v>7.2195616654013667E-2</v>
      </c>
      <c r="AT48" s="47">
        <f t="shared" si="82"/>
        <v>1.8870640328979033E-2</v>
      </c>
      <c r="AU48" s="47">
        <f t="shared" si="83"/>
        <v>0</v>
      </c>
      <c r="AV48" s="47">
        <f t="shared" si="84"/>
        <v>0.34016118469704643</v>
      </c>
      <c r="AW48" s="47">
        <f t="shared" si="85"/>
        <v>1.4364414838747823</v>
      </c>
      <c r="AX48" s="47">
        <f t="shared" si="86"/>
        <v>8.0065204439537102E-2</v>
      </c>
      <c r="AY48" s="46">
        <f t="shared" si="87"/>
        <v>5.2842426597588948E-3</v>
      </c>
      <c r="AZ48" s="26"/>
      <c r="BA48" s="23">
        <f t="shared" si="88"/>
        <v>0.62291891540767586</v>
      </c>
      <c r="BB48" s="13">
        <f t="shared" si="6"/>
        <v>1.0503537268745283E-2</v>
      </c>
      <c r="BC48" s="13">
        <f t="shared" si="7"/>
        <v>0.11948898964821014</v>
      </c>
      <c r="BD48" s="13">
        <f t="shared" si="8"/>
        <v>0</v>
      </c>
      <c r="BE48" s="13">
        <f t="shared" si="9"/>
        <v>6.309364813020886E-2</v>
      </c>
      <c r="BF48" s="13">
        <f t="shared" si="10"/>
        <v>5.5738577128503872E-2</v>
      </c>
      <c r="BG48" s="13">
        <f t="shared" si="11"/>
        <v>3.6787037405134797E-3</v>
      </c>
      <c r="BH48" s="13">
        <f t="shared" si="12"/>
        <v>0</v>
      </c>
      <c r="BI48" s="13">
        <f t="shared" si="13"/>
        <v>4.7802335999801326E-2</v>
      </c>
      <c r="BJ48" s="13">
        <f t="shared" si="14"/>
        <v>7.2795450860386732E-2</v>
      </c>
      <c r="BK48" s="13">
        <f t="shared" si="15"/>
        <v>5.0260047112581939E-2</v>
      </c>
      <c r="BL48" s="13">
        <f t="shared" si="16"/>
        <v>1.3137075572389989E-2</v>
      </c>
      <c r="BM48" s="13">
        <f t="shared" si="17"/>
        <v>0</v>
      </c>
      <c r="BN48" s="13">
        <f t="shared" si="18"/>
        <v>0.23680824350704913</v>
      </c>
      <c r="BO48" s="12">
        <f t="shared" si="89"/>
        <v>1.0000000000000002</v>
      </c>
      <c r="BP48" s="13"/>
      <c r="BQ48" s="23">
        <f t="shared" si="90"/>
        <v>1.7895731423637438</v>
      </c>
      <c r="BR48" s="13">
        <f t="shared" si="19"/>
        <v>3.0175433320501106E-2</v>
      </c>
      <c r="BS48" s="13">
        <f t="shared" si="20"/>
        <v>0.51471489662433578</v>
      </c>
      <c r="BT48" s="13">
        <f t="shared" si="21"/>
        <v>0</v>
      </c>
      <c r="BU48" s="13">
        <f t="shared" si="22"/>
        <v>9.0630333543230593E-2</v>
      </c>
      <c r="BV48" s="13">
        <f t="shared" si="91"/>
        <v>8.0065204439537102E-2</v>
      </c>
      <c r="BW48" s="24">
        <f t="shared" si="92"/>
        <v>1.5852727979276688E-2</v>
      </c>
      <c r="BX48" s="13">
        <f t="shared" si="23"/>
        <v>0</v>
      </c>
      <c r="BY48" s="13">
        <f t="shared" si="24"/>
        <v>6.8699335507578591E-2</v>
      </c>
      <c r="BZ48" s="13">
        <f t="shared" si="25"/>
        <v>0.10452912687730855</v>
      </c>
      <c r="CA48" s="13">
        <f t="shared" si="26"/>
        <v>7.2172327745415585E-2</v>
      </c>
      <c r="CB48" s="13">
        <f t="shared" si="27"/>
        <v>1.8870640328979033E-2</v>
      </c>
      <c r="CC48" s="13">
        <f t="shared" si="28"/>
        <v>0</v>
      </c>
      <c r="CD48" s="13">
        <f t="shared" si="93"/>
        <v>0.34016118469704643</v>
      </c>
      <c r="CE48" s="12">
        <f t="shared" si="94"/>
        <v>3.0295264210081392</v>
      </c>
      <c r="CF48" s="13"/>
      <c r="CG48" s="23">
        <f t="shared" si="127"/>
        <v>0.59071052490383147</v>
      </c>
      <c r="CH48" s="13">
        <f t="shared" si="127"/>
        <v>9.9604456694124457E-3</v>
      </c>
      <c r="CI48" s="13">
        <f t="shared" si="127"/>
        <v>0.16989945790043762</v>
      </c>
      <c r="CJ48" s="13">
        <f t="shared" si="127"/>
        <v>0</v>
      </c>
      <c r="CK48" s="13">
        <f t="shared" si="126"/>
        <v>2.991567689086911E-2</v>
      </c>
      <c r="CL48" s="13">
        <f t="shared" si="126"/>
        <v>2.6428290535552981E-2</v>
      </c>
      <c r="CM48" s="13">
        <f t="shared" si="126"/>
        <v>5.2327412856829807E-3</v>
      </c>
      <c r="CN48" s="13">
        <f t="shared" si="126"/>
        <v>0</v>
      </c>
      <c r="CO48" s="13">
        <f t="shared" si="126"/>
        <v>2.2676592298778313E-2</v>
      </c>
      <c r="CP48" s="13">
        <f t="shared" si="126"/>
        <v>3.4503454451644711E-2</v>
      </c>
      <c r="CQ48" s="13">
        <f t="shared" si="126"/>
        <v>2.3822973533070793E-2</v>
      </c>
      <c r="CR48" s="13">
        <f t="shared" si="126"/>
        <v>6.2289076596663004E-3</v>
      </c>
      <c r="CS48" s="13">
        <f t="shared" si="126"/>
        <v>0</v>
      </c>
      <c r="CT48" s="13">
        <f t="shared" si="126"/>
        <v>0.11228196669228935</v>
      </c>
      <c r="CU48" s="12">
        <f t="shared" si="30"/>
        <v>1.0000000000000002</v>
      </c>
      <c r="CV48" s="26"/>
      <c r="CW48" s="23">
        <f t="shared" si="31"/>
        <v>0.89478657118187188</v>
      </c>
      <c r="CX48" s="13">
        <f t="shared" si="32"/>
        <v>1.5087716660250553E-2</v>
      </c>
      <c r="CY48" s="13">
        <f t="shared" si="33"/>
        <v>0.34314326441622384</v>
      </c>
      <c r="CZ48" s="13">
        <f t="shared" si="34"/>
        <v>0</v>
      </c>
      <c r="DA48" s="13">
        <f t="shared" si="35"/>
        <v>7.9944289693593323E-2</v>
      </c>
      <c r="DB48" s="13">
        <f t="shared" si="36"/>
        <v>8.0065204439537102E-2</v>
      </c>
      <c r="DC48" s="24">
        <f t="shared" si="37"/>
        <v>1.056848531951779E-2</v>
      </c>
      <c r="DD48" s="13">
        <f t="shared" si="38"/>
        <v>0</v>
      </c>
      <c r="DE48" s="13">
        <f t="shared" si="39"/>
        <v>6.8699335507578591E-2</v>
      </c>
      <c r="DF48" s="13">
        <f t="shared" si="40"/>
        <v>0.10452912687730855</v>
      </c>
      <c r="DG48" s="13">
        <f t="shared" si="41"/>
        <v>0.14434465549083117</v>
      </c>
      <c r="DH48" s="13">
        <f t="shared" si="42"/>
        <v>3.7741280657958065E-2</v>
      </c>
      <c r="DI48" s="13">
        <f t="shared" si="43"/>
        <v>0</v>
      </c>
      <c r="DJ48" s="13">
        <f t="shared" si="95"/>
        <v>0.68032236939409285</v>
      </c>
      <c r="DK48" s="12">
        <f t="shared" si="96"/>
        <v>2.3685986098797089</v>
      </c>
      <c r="DL48" s="26"/>
      <c r="DM48" s="23">
        <f t="shared" si="152"/>
        <v>0.3777704535709891</v>
      </c>
      <c r="DN48" s="13">
        <f t="shared" si="152"/>
        <v>6.3698917145851037E-3</v>
      </c>
      <c r="DO48" s="13">
        <f t="shared" si="151"/>
        <v>0.14487185080027157</v>
      </c>
      <c r="DP48" s="13">
        <f t="shared" si="151"/>
        <v>0</v>
      </c>
      <c r="DQ48" s="13">
        <f t="shared" si="151"/>
        <v>3.3751725328274744E-2</v>
      </c>
      <c r="DR48" s="13">
        <f t="shared" si="151"/>
        <v>3.3802774393928765E-2</v>
      </c>
      <c r="DS48" s="13">
        <f t="shared" si="151"/>
        <v>4.4619148535490014E-3</v>
      </c>
      <c r="DT48" s="13">
        <f t="shared" si="151"/>
        <v>0</v>
      </c>
      <c r="DU48" s="13">
        <f t="shared" si="151"/>
        <v>2.9004211697594273E-2</v>
      </c>
      <c r="DV48" s="13">
        <f t="shared" si="151"/>
        <v>4.4131211781221612E-2</v>
      </c>
      <c r="DW48" s="13">
        <f t="shared" si="151"/>
        <v>6.0940952548377045E-2</v>
      </c>
      <c r="DX48" s="13">
        <f t="shared" si="151"/>
        <v>1.5934012838027794E-2</v>
      </c>
      <c r="DY48" s="13">
        <f t="shared" si="151"/>
        <v>0</v>
      </c>
      <c r="DZ48" s="13">
        <f t="shared" si="151"/>
        <v>0.28722568972065871</v>
      </c>
      <c r="EA48" s="12">
        <f t="shared" si="45"/>
        <v>1</v>
      </c>
      <c r="EB48" s="26"/>
      <c r="EC48" s="30">
        <f t="shared" si="46"/>
        <v>1223</v>
      </c>
      <c r="ED48" s="14">
        <f t="shared" si="98"/>
        <v>1000000000</v>
      </c>
      <c r="EE48" s="29"/>
      <c r="EF48" s="184">
        <f t="shared" si="122"/>
        <v>-11.885940310711366</v>
      </c>
      <c r="EG48" s="13">
        <f t="shared" si="99"/>
        <v>-1</v>
      </c>
      <c r="EH48" s="13">
        <f t="shared" si="100"/>
        <v>-1.2377636958299263</v>
      </c>
      <c r="EI48" s="12">
        <f t="shared" si="47"/>
        <v>3.4390425183973843</v>
      </c>
      <c r="EJ48" s="29"/>
      <c r="EK48" s="28">
        <f t="shared" si="101"/>
        <v>-2.7184296678147355</v>
      </c>
      <c r="EL48" s="24">
        <f t="shared" si="102"/>
        <v>-1.1803863082130854</v>
      </c>
      <c r="EM48" s="24">
        <f t="shared" si="103"/>
        <v>6.5978280937707301E-2</v>
      </c>
      <c r="EN48" s="24">
        <f t="shared" si="104"/>
        <v>5.5738577128503872E-2</v>
      </c>
      <c r="EO48" s="24">
        <f t="shared" si="105"/>
        <v>3.6775355008524953E-3</v>
      </c>
      <c r="EP48" s="24">
        <f t="shared" si="106"/>
        <v>0.11657387422781512</v>
      </c>
      <c r="EQ48" s="24">
        <f t="shared" si="107"/>
        <v>-2.718112049087972</v>
      </c>
      <c r="ER48" s="24">
        <f t="shared" si="48"/>
        <v>-27.366106494174286</v>
      </c>
      <c r="ES48" s="25">
        <f t="shared" si="49"/>
        <v>-11.88280785678432</v>
      </c>
      <c r="ET48" s="26"/>
      <c r="EU48" s="23">
        <f t="shared" si="123"/>
        <v>-5.9766533634937389</v>
      </c>
      <c r="EV48" s="12">
        <f t="shared" si="50"/>
        <v>1.0552276883402101E-6</v>
      </c>
      <c r="EW48" s="26"/>
      <c r="EX48" s="27">
        <f t="shared" si="108"/>
        <v>7.9426514400130776E-5</v>
      </c>
      <c r="EY48" s="26"/>
      <c r="EZ48" s="23">
        <f t="shared" si="128"/>
        <v>-7.6464466046828425</v>
      </c>
      <c r="FA48" s="13">
        <f t="shared" si="52"/>
        <v>14.694497067593552</v>
      </c>
      <c r="FB48" s="13">
        <f t="shared" si="129"/>
        <v>-25.250456749217264</v>
      </c>
      <c r="FC48" s="13">
        <f t="shared" si="130"/>
        <v>-7.1453775298283588</v>
      </c>
      <c r="FD48" s="12">
        <f t="shared" si="55"/>
        <v>7.8787924706380519E-4</v>
      </c>
      <c r="FE48" s="13"/>
      <c r="FF48" s="23">
        <f t="shared" si="131"/>
        <v>-6.7772184647409652</v>
      </c>
      <c r="FG48" s="13">
        <f t="shared" si="132"/>
        <v>12.720620206056534</v>
      </c>
      <c r="FH48" s="13">
        <f t="shared" si="133"/>
        <v>13.762131068747948</v>
      </c>
      <c r="FI48" s="24">
        <f t="shared" si="134"/>
        <v>5.3202855586964581E-5</v>
      </c>
      <c r="FJ48" s="25">
        <f t="shared" si="135"/>
        <v>5.8507931059637031E-4</v>
      </c>
      <c r="FK48" s="13"/>
      <c r="FL48" s="23">
        <f t="shared" si="110"/>
        <v>12.155752280962105</v>
      </c>
      <c r="FM48" s="13">
        <f t="shared" si="124"/>
        <v>-6.8676136514652955</v>
      </c>
      <c r="FN48" s="13">
        <f t="shared" si="136"/>
        <v>-4.748514688995332</v>
      </c>
      <c r="FO48" s="13">
        <f t="shared" si="60"/>
        <v>1.7843397960626284E-5</v>
      </c>
      <c r="FP48" s="23">
        <f t="shared" si="137"/>
        <v>-5.6414010340484815</v>
      </c>
      <c r="FQ48" s="13">
        <f t="shared" si="138"/>
        <v>2.2834840069929641E-6</v>
      </c>
      <c r="FR48" s="13">
        <f t="shared" si="139"/>
        <v>-5.2914419171228886</v>
      </c>
      <c r="FS48" s="13">
        <f t="shared" si="115"/>
        <v>5.1115882475638585E-6</v>
      </c>
      <c r="FT48" s="13">
        <f t="shared" si="140"/>
        <v>-5.7313437977443087</v>
      </c>
      <c r="FU48" s="12">
        <f t="shared" si="117"/>
        <v>1.8563309093222458E-6</v>
      </c>
      <c r="FV48" s="22"/>
      <c r="FW48" s="11">
        <f t="shared" si="141"/>
        <v>-1</v>
      </c>
      <c r="FX48" s="10">
        <f t="shared" si="142"/>
        <v>-1.2377636958299263</v>
      </c>
      <c r="FY48" s="10">
        <f t="shared" si="143"/>
        <v>3.4390425183973843</v>
      </c>
      <c r="FZ48" s="5">
        <f t="shared" si="144"/>
        <v>-11.885940310711366</v>
      </c>
      <c r="GA48" s="10">
        <f t="shared" si="145"/>
        <v>0.11657387422781512</v>
      </c>
      <c r="GB48" s="9">
        <f t="shared" si="118"/>
        <v>12.155752280962105</v>
      </c>
      <c r="GC48" s="8">
        <f t="shared" si="119"/>
        <v>-6.8676136514652955</v>
      </c>
      <c r="GD48" s="8">
        <f t="shared" si="120"/>
        <v>1.7843397960626284E-5</v>
      </c>
      <c r="GE48" s="7">
        <f t="shared" si="121"/>
        <v>2.2834840069929641E-6</v>
      </c>
      <c r="GF48" s="6">
        <f t="shared" si="146"/>
        <v>5.3202855586964581E-5</v>
      </c>
      <c r="GG48" s="5">
        <f t="shared" si="147"/>
        <v>5.8507931059637031E-4</v>
      </c>
      <c r="GH48" s="4">
        <f t="shared" si="148"/>
        <v>7.8787924706380519E-4</v>
      </c>
      <c r="GI48" s="4">
        <f t="shared" si="149"/>
        <v>7.9426514400130776E-5</v>
      </c>
      <c r="GJ48" s="4">
        <f t="shared" si="150"/>
        <v>1.0552276883402101E-6</v>
      </c>
      <c r="GK48" s="1"/>
    </row>
    <row r="49" spans="1:193" x14ac:dyDescent="0.4">
      <c r="A49" s="34"/>
      <c r="B49" s="21"/>
      <c r="C49" s="21"/>
      <c r="D49" s="34"/>
      <c r="E49" s="34"/>
      <c r="F49" s="20" t="s">
        <v>84</v>
      </c>
      <c r="G49" s="19">
        <v>950</v>
      </c>
      <c r="H49" s="18">
        <v>1</v>
      </c>
      <c r="I49" s="17">
        <v>-0.6</v>
      </c>
      <c r="J49" s="16">
        <v>52.63</v>
      </c>
      <c r="K49" s="16">
        <v>1.18</v>
      </c>
      <c r="L49" s="16">
        <v>17.13</v>
      </c>
      <c r="M49" s="16">
        <v>0</v>
      </c>
      <c r="N49" s="16">
        <f t="shared" si="153"/>
        <v>6.3739999999999997</v>
      </c>
      <c r="O49" s="16">
        <v>0</v>
      </c>
      <c r="P49" s="16">
        <v>2.71</v>
      </c>
      <c r="Q49" s="16">
        <v>5.74</v>
      </c>
      <c r="R49" s="16">
        <v>4.38</v>
      </c>
      <c r="S49" s="16">
        <v>1.74</v>
      </c>
      <c r="T49" s="16">
        <v>0</v>
      </c>
      <c r="U49" s="15">
        <v>6</v>
      </c>
      <c r="V49" s="16"/>
      <c r="W49" s="28">
        <f t="shared" si="71"/>
        <v>53.767725062318682</v>
      </c>
      <c r="X49" s="24">
        <f t="shared" ref="X49:AB95" si="155">IF(K49="","",K49/SUM($J49:$U49)*100)</f>
        <v>1.2055085611540193</v>
      </c>
      <c r="Y49" s="24">
        <f t="shared" si="155"/>
        <v>17.500306485227416</v>
      </c>
      <c r="Z49" s="24">
        <f t="shared" si="154"/>
        <v>0</v>
      </c>
      <c r="AA49" s="24">
        <f t="shared" si="154"/>
        <v>6.5117894650811179</v>
      </c>
      <c r="AB49" s="24">
        <f t="shared" si="154"/>
        <v>0</v>
      </c>
      <c r="AC49" s="24">
        <f t="shared" si="154"/>
        <v>2.7685832209554171</v>
      </c>
      <c r="AD49" s="24">
        <f t="shared" si="154"/>
        <v>5.8640840178170093</v>
      </c>
      <c r="AE49" s="24">
        <f t="shared" si="154"/>
        <v>4.4746843202157667</v>
      </c>
      <c r="AF49" s="24">
        <f t="shared" si="154"/>
        <v>1.777614318989825</v>
      </c>
      <c r="AG49" s="24">
        <f t="shared" si="154"/>
        <v>0</v>
      </c>
      <c r="AH49" s="24">
        <f t="shared" si="154"/>
        <v>6.1297045482407766</v>
      </c>
      <c r="AI49" s="14">
        <f t="shared" si="72"/>
        <v>100.00000000000004</v>
      </c>
      <c r="AJ49" s="26"/>
      <c r="AK49" s="50">
        <f t="shared" si="73"/>
        <v>0.89478657118187188</v>
      </c>
      <c r="AL49" s="47">
        <f t="shared" si="74"/>
        <v>1.5087716660250553E-2</v>
      </c>
      <c r="AM49" s="47">
        <f t="shared" si="75"/>
        <v>0.17163894159697349</v>
      </c>
      <c r="AN49" s="49">
        <f t="shared" si="76"/>
        <v>0</v>
      </c>
      <c r="AO49" s="49">
        <f t="shared" si="77"/>
        <v>9.0630333543230593E-2</v>
      </c>
      <c r="AP49" s="47">
        <f t="shared" si="78"/>
        <v>0</v>
      </c>
      <c r="AQ49" s="47">
        <f t="shared" si="79"/>
        <v>6.8665258456235542E-2</v>
      </c>
      <c r="AR49" s="47">
        <f t="shared" si="80"/>
        <v>0.10456640545322771</v>
      </c>
      <c r="AS49" s="47">
        <f t="shared" si="81"/>
        <v>7.2195616654013667E-2</v>
      </c>
      <c r="AT49" s="47">
        <f t="shared" si="82"/>
        <v>1.8870640328979033E-2</v>
      </c>
      <c r="AU49" s="47">
        <f t="shared" si="83"/>
        <v>0</v>
      </c>
      <c r="AV49" s="47">
        <f t="shared" si="84"/>
        <v>0.34016118469704643</v>
      </c>
      <c r="AW49" s="47">
        <f t="shared" si="85"/>
        <v>1.4364414838747823</v>
      </c>
      <c r="AX49" s="47">
        <f t="shared" si="86"/>
        <v>7.8260260091909048E-2</v>
      </c>
      <c r="AY49" s="46">
        <f t="shared" si="87"/>
        <v>6.1870015211619696E-3</v>
      </c>
      <c r="AZ49" s="26"/>
      <c r="BA49" s="23">
        <f t="shared" si="88"/>
        <v>0.62291891540767586</v>
      </c>
      <c r="BB49" s="13">
        <f t="shared" si="6"/>
        <v>1.0503537268745283E-2</v>
      </c>
      <c r="BC49" s="13">
        <f t="shared" si="7"/>
        <v>0.11948898964821014</v>
      </c>
      <c r="BD49" s="13">
        <f t="shared" si="8"/>
        <v>0</v>
      </c>
      <c r="BE49" s="13">
        <f t="shared" si="9"/>
        <v>6.309364813020886E-2</v>
      </c>
      <c r="BF49" s="13">
        <f t="shared" si="10"/>
        <v>5.4482038405632094E-2</v>
      </c>
      <c r="BG49" s="13">
        <f t="shared" si="11"/>
        <v>4.3071726837577906E-3</v>
      </c>
      <c r="BH49" s="13">
        <f t="shared" si="12"/>
        <v>0</v>
      </c>
      <c r="BI49" s="13">
        <f t="shared" si="13"/>
        <v>4.7802335999801326E-2</v>
      </c>
      <c r="BJ49" s="13">
        <f t="shared" si="14"/>
        <v>7.2795450860386732E-2</v>
      </c>
      <c r="BK49" s="13">
        <f t="shared" si="15"/>
        <v>5.0260047112581939E-2</v>
      </c>
      <c r="BL49" s="13">
        <f t="shared" si="16"/>
        <v>1.3137075572389989E-2</v>
      </c>
      <c r="BM49" s="13">
        <f t="shared" si="17"/>
        <v>0</v>
      </c>
      <c r="BN49" s="13">
        <f t="shared" si="18"/>
        <v>0.23680824350704913</v>
      </c>
      <c r="BO49" s="12">
        <f t="shared" si="89"/>
        <v>1.0000000000000002</v>
      </c>
      <c r="BP49" s="13"/>
      <c r="BQ49" s="23">
        <f t="shared" si="90"/>
        <v>1.7895731423637438</v>
      </c>
      <c r="BR49" s="13">
        <f t="shared" si="19"/>
        <v>3.0175433320501106E-2</v>
      </c>
      <c r="BS49" s="13">
        <f t="shared" si="20"/>
        <v>0.51471489662433578</v>
      </c>
      <c r="BT49" s="13">
        <f t="shared" si="21"/>
        <v>0</v>
      </c>
      <c r="BU49" s="13">
        <f t="shared" si="22"/>
        <v>9.0630333543230593E-2</v>
      </c>
      <c r="BV49" s="13">
        <f t="shared" si="91"/>
        <v>7.8260260091909048E-2</v>
      </c>
      <c r="BW49" s="24">
        <f t="shared" si="92"/>
        <v>1.856100456348591E-2</v>
      </c>
      <c r="BX49" s="13">
        <f t="shared" si="23"/>
        <v>0</v>
      </c>
      <c r="BY49" s="13">
        <f t="shared" si="24"/>
        <v>6.8699335507578591E-2</v>
      </c>
      <c r="BZ49" s="13">
        <f t="shared" si="25"/>
        <v>0.10452912687730855</v>
      </c>
      <c r="CA49" s="13">
        <f t="shared" si="26"/>
        <v>7.2172327745415585E-2</v>
      </c>
      <c r="CB49" s="13">
        <f t="shared" si="27"/>
        <v>1.8870640328979033E-2</v>
      </c>
      <c r="CC49" s="13">
        <f t="shared" si="28"/>
        <v>0</v>
      </c>
      <c r="CD49" s="13">
        <f t="shared" si="93"/>
        <v>0.34016118469704643</v>
      </c>
      <c r="CE49" s="12">
        <f t="shared" si="94"/>
        <v>3.0295264210081392</v>
      </c>
      <c r="CF49" s="13"/>
      <c r="CG49" s="23">
        <f t="shared" si="127"/>
        <v>0.59071052490383147</v>
      </c>
      <c r="CH49" s="13">
        <f t="shared" si="127"/>
        <v>9.9604456694124457E-3</v>
      </c>
      <c r="CI49" s="13">
        <f t="shared" si="127"/>
        <v>0.16989945790043762</v>
      </c>
      <c r="CJ49" s="13">
        <f t="shared" si="127"/>
        <v>0</v>
      </c>
      <c r="CK49" s="13">
        <f t="shared" si="126"/>
        <v>2.991567689086911E-2</v>
      </c>
      <c r="CL49" s="13">
        <f t="shared" si="126"/>
        <v>2.5832506212593545E-2</v>
      </c>
      <c r="CM49" s="13">
        <f t="shared" si="126"/>
        <v>6.12670166359181E-3</v>
      </c>
      <c r="CN49" s="13">
        <f t="shared" si="126"/>
        <v>0</v>
      </c>
      <c r="CO49" s="13">
        <f t="shared" si="126"/>
        <v>2.2676592298778313E-2</v>
      </c>
      <c r="CP49" s="13">
        <f t="shared" si="126"/>
        <v>3.4503454451644711E-2</v>
      </c>
      <c r="CQ49" s="13">
        <f t="shared" si="126"/>
        <v>2.3822973533070793E-2</v>
      </c>
      <c r="CR49" s="13">
        <f t="shared" si="126"/>
        <v>6.2289076596663004E-3</v>
      </c>
      <c r="CS49" s="13">
        <f t="shared" si="126"/>
        <v>0</v>
      </c>
      <c r="CT49" s="13">
        <f t="shared" si="126"/>
        <v>0.11228196669228935</v>
      </c>
      <c r="CU49" s="12">
        <f t="shared" si="30"/>
        <v>1.0000000000000002</v>
      </c>
      <c r="CV49" s="26"/>
      <c r="CW49" s="23">
        <f t="shared" si="31"/>
        <v>0.89478657118187188</v>
      </c>
      <c r="CX49" s="13">
        <f t="shared" si="32"/>
        <v>1.5087716660250553E-2</v>
      </c>
      <c r="CY49" s="13">
        <f t="shared" si="33"/>
        <v>0.34314326441622384</v>
      </c>
      <c r="CZ49" s="13">
        <f t="shared" si="34"/>
        <v>0</v>
      </c>
      <c r="DA49" s="13">
        <f t="shared" si="35"/>
        <v>7.9944289693593323E-2</v>
      </c>
      <c r="DB49" s="13">
        <f t="shared" si="36"/>
        <v>7.8260260091909048E-2</v>
      </c>
      <c r="DC49" s="24">
        <f t="shared" si="37"/>
        <v>1.2374003042323939E-2</v>
      </c>
      <c r="DD49" s="13">
        <f t="shared" si="38"/>
        <v>0</v>
      </c>
      <c r="DE49" s="13">
        <f t="shared" si="39"/>
        <v>6.8699335507578591E-2</v>
      </c>
      <c r="DF49" s="13">
        <f t="shared" si="40"/>
        <v>0.10452912687730855</v>
      </c>
      <c r="DG49" s="13">
        <f t="shared" si="41"/>
        <v>0.14434465549083117</v>
      </c>
      <c r="DH49" s="13">
        <f t="shared" si="42"/>
        <v>3.7741280657958065E-2</v>
      </c>
      <c r="DI49" s="13">
        <f t="shared" si="43"/>
        <v>0</v>
      </c>
      <c r="DJ49" s="13">
        <f t="shared" si="95"/>
        <v>0.68032236939409285</v>
      </c>
      <c r="DK49" s="12">
        <f t="shared" si="96"/>
        <v>2.3685986098797089</v>
      </c>
      <c r="DL49" s="26"/>
      <c r="DM49" s="23">
        <f t="shared" si="152"/>
        <v>0.3777704535709891</v>
      </c>
      <c r="DN49" s="13">
        <f t="shared" si="152"/>
        <v>6.3698917145851037E-3</v>
      </c>
      <c r="DO49" s="13">
        <f t="shared" si="151"/>
        <v>0.14487185080027157</v>
      </c>
      <c r="DP49" s="13">
        <f t="shared" si="151"/>
        <v>0</v>
      </c>
      <c r="DQ49" s="13">
        <f t="shared" si="151"/>
        <v>3.3751725328274744E-2</v>
      </c>
      <c r="DR49" s="13">
        <f t="shared" si="151"/>
        <v>3.3040743908856536E-2</v>
      </c>
      <c r="DS49" s="13">
        <f t="shared" si="151"/>
        <v>5.224187412215176E-3</v>
      </c>
      <c r="DT49" s="13">
        <f t="shared" si="151"/>
        <v>0</v>
      </c>
      <c r="DU49" s="13">
        <f t="shared" si="151"/>
        <v>2.9004211697594273E-2</v>
      </c>
      <c r="DV49" s="13">
        <f t="shared" si="151"/>
        <v>4.4131211781221612E-2</v>
      </c>
      <c r="DW49" s="13">
        <f t="shared" si="151"/>
        <v>6.0940952548377045E-2</v>
      </c>
      <c r="DX49" s="13">
        <f t="shared" si="151"/>
        <v>1.5934012838027794E-2</v>
      </c>
      <c r="DY49" s="13">
        <f t="shared" si="151"/>
        <v>0</v>
      </c>
      <c r="DZ49" s="13">
        <f t="shared" si="151"/>
        <v>0.28722568972065871</v>
      </c>
      <c r="EA49" s="12">
        <f t="shared" si="45"/>
        <v>1</v>
      </c>
      <c r="EB49" s="26"/>
      <c r="EC49" s="30">
        <f t="shared" si="46"/>
        <v>1223</v>
      </c>
      <c r="ED49" s="14">
        <f t="shared" si="98"/>
        <v>1000000000</v>
      </c>
      <c r="EE49" s="29"/>
      <c r="EF49" s="184">
        <f t="shared" si="122"/>
        <v>-11.485940310711365</v>
      </c>
      <c r="EG49" s="13">
        <f t="shared" si="99"/>
        <v>-0.6</v>
      </c>
      <c r="EH49" s="13">
        <f t="shared" si="100"/>
        <v>-0.83776369582992594</v>
      </c>
      <c r="EI49" s="12">
        <f t="shared" si="47"/>
        <v>3.8390425183973846</v>
      </c>
      <c r="EJ49" s="29"/>
      <c r="EK49" s="28">
        <f t="shared" si="101"/>
        <v>-2.5379069965240024</v>
      </c>
      <c r="EL49" s="24">
        <f t="shared" si="102"/>
        <v>-1.1020004327069051</v>
      </c>
      <c r="EM49" s="24">
        <f t="shared" si="103"/>
        <v>7.9031640303738437E-2</v>
      </c>
      <c r="EN49" s="24">
        <f t="shared" si="104"/>
        <v>5.4482038405632101E-2</v>
      </c>
      <c r="EO49" s="24">
        <f t="shared" si="105"/>
        <v>4.3058048622883795E-3</v>
      </c>
      <c r="EP49" s="24">
        <f t="shared" si="106"/>
        <v>0.13648932942987604</v>
      </c>
      <c r="EQ49" s="24">
        <f t="shared" si="107"/>
        <v>-2.5375893777972385</v>
      </c>
      <c r="ER49" s="24">
        <f t="shared" si="48"/>
        <v>-26.445072456976664</v>
      </c>
      <c r="ES49" s="25">
        <f t="shared" si="49"/>
        <v>-11.482879920528296</v>
      </c>
      <c r="ET49" s="26"/>
      <c r="EU49" s="23">
        <f t="shared" si="123"/>
        <v>-5.3494533634937405</v>
      </c>
      <c r="EV49" s="12">
        <f t="shared" si="50"/>
        <v>4.4724417626040847E-6</v>
      </c>
      <c r="EW49" s="26"/>
      <c r="EX49" s="27">
        <f t="shared" si="108"/>
        <v>5.0093617081359819E-4</v>
      </c>
      <c r="EY49" s="26"/>
      <c r="EZ49" s="23">
        <f t="shared" si="128"/>
        <v>-7.6464466046828425</v>
      </c>
      <c r="FA49" s="13">
        <f t="shared" si="52"/>
        <v>14.684216198416369</v>
      </c>
      <c r="FB49" s="13">
        <f t="shared" si="129"/>
        <v>-25.250456749217264</v>
      </c>
      <c r="FC49" s="13">
        <f t="shared" si="130"/>
        <v>-5.3135903246103098</v>
      </c>
      <c r="FD49" s="12">
        <f t="shared" si="55"/>
        <v>4.9000863296440045E-3</v>
      </c>
      <c r="FE49" s="13"/>
      <c r="FF49" s="23">
        <f t="shared" si="131"/>
        <v>-6.7895126666694425</v>
      </c>
      <c r="FG49" s="13">
        <f t="shared" si="132"/>
        <v>12.720620206056534</v>
      </c>
      <c r="FH49" s="13">
        <f t="shared" si="133"/>
        <v>13.762131068747948</v>
      </c>
      <c r="FI49" s="24">
        <f t="shared" si="134"/>
        <v>3.4522504594536318E-4</v>
      </c>
      <c r="FJ49" s="25">
        <f t="shared" si="135"/>
        <v>3.7854368034548891E-3</v>
      </c>
      <c r="FK49" s="13"/>
      <c r="FL49" s="23">
        <f t="shared" si="110"/>
        <v>12.155752280962105</v>
      </c>
      <c r="FM49" s="13">
        <f t="shared" si="124"/>
        <v>-6.8725864869813726</v>
      </c>
      <c r="FN49" s="13">
        <f t="shared" si="136"/>
        <v>-3.9435418534792532</v>
      </c>
      <c r="FO49" s="13">
        <f t="shared" si="60"/>
        <v>1.1386983482064572E-4</v>
      </c>
      <c r="FP49" s="23">
        <f t="shared" si="137"/>
        <v>-4.8364281985324027</v>
      </c>
      <c r="FQ49" s="13">
        <f t="shared" si="138"/>
        <v>1.4573553922647697E-5</v>
      </c>
      <c r="FR49" s="13">
        <f t="shared" si="139"/>
        <v>-4.4864690816068098</v>
      </c>
      <c r="FS49" s="13">
        <f t="shared" si="115"/>
        <v>3.2622463238762833E-5</v>
      </c>
      <c r="FT49" s="13">
        <f t="shared" si="140"/>
        <v>-4.9263709622282299</v>
      </c>
      <c r="FU49" s="12">
        <f t="shared" si="117"/>
        <v>1.1847422937361074E-5</v>
      </c>
      <c r="FV49" s="22"/>
      <c r="FW49" s="11">
        <f t="shared" si="141"/>
        <v>-0.6</v>
      </c>
      <c r="FX49" s="10">
        <f t="shared" si="142"/>
        <v>-0.83776369582992594</v>
      </c>
      <c r="FY49" s="10">
        <f t="shared" si="143"/>
        <v>3.8390425183973846</v>
      </c>
      <c r="FZ49" s="5">
        <f t="shared" si="144"/>
        <v>-11.485940310711365</v>
      </c>
      <c r="GA49" s="10">
        <f t="shared" si="145"/>
        <v>0.13648932942987604</v>
      </c>
      <c r="GB49" s="9">
        <f t="shared" si="118"/>
        <v>12.155752280962105</v>
      </c>
      <c r="GC49" s="8">
        <f t="shared" si="119"/>
        <v>-6.8725864869813726</v>
      </c>
      <c r="GD49" s="8">
        <f t="shared" si="120"/>
        <v>1.1386983482064572E-4</v>
      </c>
      <c r="GE49" s="7">
        <f t="shared" si="121"/>
        <v>1.4573553922647697E-5</v>
      </c>
      <c r="GF49" s="6">
        <f t="shared" si="146"/>
        <v>3.4522504594536318E-4</v>
      </c>
      <c r="GG49" s="5">
        <f t="shared" si="147"/>
        <v>3.7854368034548891E-3</v>
      </c>
      <c r="GH49" s="4">
        <f t="shared" si="148"/>
        <v>4.9000863296440045E-3</v>
      </c>
      <c r="GI49" s="4">
        <f t="shared" si="149"/>
        <v>5.0093617081359819E-4</v>
      </c>
      <c r="GJ49" s="4">
        <f t="shared" si="150"/>
        <v>4.4724417626040847E-6</v>
      </c>
      <c r="GK49" s="1"/>
    </row>
    <row r="50" spans="1:193" x14ac:dyDescent="0.4">
      <c r="A50" s="34"/>
      <c r="B50" s="21"/>
      <c r="C50" s="21"/>
      <c r="D50" s="34"/>
      <c r="E50" s="34"/>
      <c r="F50" s="20" t="s">
        <v>84</v>
      </c>
      <c r="G50" s="19">
        <v>950</v>
      </c>
      <c r="H50" s="18">
        <v>1</v>
      </c>
      <c r="I50" s="17">
        <v>-0.2</v>
      </c>
      <c r="J50" s="16">
        <v>52.63</v>
      </c>
      <c r="K50" s="16">
        <v>1.18</v>
      </c>
      <c r="L50" s="16">
        <v>17.13</v>
      </c>
      <c r="M50" s="16">
        <v>0</v>
      </c>
      <c r="N50" s="16">
        <f t="shared" si="153"/>
        <v>6.3739999999999997</v>
      </c>
      <c r="O50" s="16">
        <v>0</v>
      </c>
      <c r="P50" s="16">
        <v>2.71</v>
      </c>
      <c r="Q50" s="16">
        <v>5.74</v>
      </c>
      <c r="R50" s="16">
        <v>4.38</v>
      </c>
      <c r="S50" s="16">
        <v>1.74</v>
      </c>
      <c r="T50" s="16">
        <v>0</v>
      </c>
      <c r="U50" s="15">
        <v>6</v>
      </c>
      <c r="V50" s="16"/>
      <c r="W50" s="28">
        <f t="shared" si="71"/>
        <v>53.767725062318682</v>
      </c>
      <c r="X50" s="24">
        <f t="shared" si="155"/>
        <v>1.2055085611540193</v>
      </c>
      <c r="Y50" s="24">
        <f t="shared" si="155"/>
        <v>17.500306485227416</v>
      </c>
      <c r="Z50" s="24">
        <f t="shared" si="154"/>
        <v>0</v>
      </c>
      <c r="AA50" s="24">
        <f t="shared" si="154"/>
        <v>6.5117894650811179</v>
      </c>
      <c r="AB50" s="24">
        <f t="shared" si="154"/>
        <v>0</v>
      </c>
      <c r="AC50" s="24">
        <f t="shared" si="154"/>
        <v>2.7685832209554171</v>
      </c>
      <c r="AD50" s="24">
        <f t="shared" si="154"/>
        <v>5.8640840178170093</v>
      </c>
      <c r="AE50" s="24">
        <f t="shared" si="154"/>
        <v>4.4746843202157667</v>
      </c>
      <c r="AF50" s="24">
        <f t="shared" si="154"/>
        <v>1.777614318989825</v>
      </c>
      <c r="AG50" s="24">
        <f t="shared" si="154"/>
        <v>0</v>
      </c>
      <c r="AH50" s="24">
        <f t="shared" si="154"/>
        <v>6.1297045482407766</v>
      </c>
      <c r="AI50" s="14">
        <f t="shared" si="72"/>
        <v>100.00000000000004</v>
      </c>
      <c r="AJ50" s="26"/>
      <c r="AK50" s="50">
        <f t="shared" si="73"/>
        <v>0.89478657118187188</v>
      </c>
      <c r="AL50" s="47">
        <f t="shared" si="74"/>
        <v>1.5087716660250553E-2</v>
      </c>
      <c r="AM50" s="47">
        <f t="shared" si="75"/>
        <v>0.17163894159697349</v>
      </c>
      <c r="AN50" s="49">
        <f t="shared" si="76"/>
        <v>0</v>
      </c>
      <c r="AO50" s="49">
        <f t="shared" si="77"/>
        <v>9.0630333543230593E-2</v>
      </c>
      <c r="AP50" s="47">
        <f t="shared" si="78"/>
        <v>0</v>
      </c>
      <c r="AQ50" s="47">
        <f t="shared" si="79"/>
        <v>6.8665258456235542E-2</v>
      </c>
      <c r="AR50" s="47">
        <f t="shared" si="80"/>
        <v>0.10456640545322771</v>
      </c>
      <c r="AS50" s="47">
        <f t="shared" si="81"/>
        <v>7.2195616654013667E-2</v>
      </c>
      <c r="AT50" s="47">
        <f t="shared" si="82"/>
        <v>1.8870640328979033E-2</v>
      </c>
      <c r="AU50" s="47">
        <f t="shared" si="83"/>
        <v>0</v>
      </c>
      <c r="AV50" s="47">
        <f t="shared" si="84"/>
        <v>0.34016118469704643</v>
      </c>
      <c r="AW50" s="47">
        <f t="shared" si="85"/>
        <v>1.4364414838747823</v>
      </c>
      <c r="AX50" s="47">
        <f t="shared" si="86"/>
        <v>7.620252547545521E-2</v>
      </c>
      <c r="AY50" s="46">
        <f t="shared" si="87"/>
        <v>7.2161956688157509E-3</v>
      </c>
      <c r="AZ50" s="26"/>
      <c r="BA50" s="23">
        <f t="shared" si="88"/>
        <v>0.62291891540767586</v>
      </c>
      <c r="BB50" s="13">
        <f t="shared" si="6"/>
        <v>1.0503537268745283E-2</v>
      </c>
      <c r="BC50" s="13">
        <f t="shared" si="7"/>
        <v>0.11948898964821014</v>
      </c>
      <c r="BD50" s="13">
        <f t="shared" si="8"/>
        <v>0</v>
      </c>
      <c r="BE50" s="13">
        <f t="shared" si="9"/>
        <v>6.309364813020886E-2</v>
      </c>
      <c r="BF50" s="13">
        <f t="shared" si="10"/>
        <v>5.3049515995527978E-2</v>
      </c>
      <c r="BG50" s="13">
        <f t="shared" si="11"/>
        <v>5.0236614229144626E-3</v>
      </c>
      <c r="BH50" s="13">
        <f t="shared" si="12"/>
        <v>0</v>
      </c>
      <c r="BI50" s="13">
        <f t="shared" si="13"/>
        <v>4.7802335999801326E-2</v>
      </c>
      <c r="BJ50" s="13">
        <f t="shared" si="14"/>
        <v>7.2795450860386732E-2</v>
      </c>
      <c r="BK50" s="13">
        <f t="shared" si="15"/>
        <v>5.0260047112581939E-2</v>
      </c>
      <c r="BL50" s="13">
        <f t="shared" si="16"/>
        <v>1.3137075572389989E-2</v>
      </c>
      <c r="BM50" s="13">
        <f t="shared" si="17"/>
        <v>0</v>
      </c>
      <c r="BN50" s="13">
        <f t="shared" si="18"/>
        <v>0.23680824350704913</v>
      </c>
      <c r="BO50" s="12">
        <f t="shared" si="89"/>
        <v>1.0000000000000002</v>
      </c>
      <c r="BP50" s="13"/>
      <c r="BQ50" s="23">
        <f t="shared" si="90"/>
        <v>1.7895731423637438</v>
      </c>
      <c r="BR50" s="13">
        <f t="shared" si="19"/>
        <v>3.0175433320501106E-2</v>
      </c>
      <c r="BS50" s="13">
        <f t="shared" si="20"/>
        <v>0.51471489662433578</v>
      </c>
      <c r="BT50" s="13">
        <f t="shared" si="21"/>
        <v>0</v>
      </c>
      <c r="BU50" s="13">
        <f t="shared" si="22"/>
        <v>9.0630333543230593E-2</v>
      </c>
      <c r="BV50" s="13">
        <f t="shared" si="91"/>
        <v>7.620252547545521E-2</v>
      </c>
      <c r="BW50" s="24">
        <f t="shared" si="92"/>
        <v>2.1648587006447253E-2</v>
      </c>
      <c r="BX50" s="13">
        <f t="shared" si="23"/>
        <v>0</v>
      </c>
      <c r="BY50" s="13">
        <f t="shared" si="24"/>
        <v>6.8699335507578591E-2</v>
      </c>
      <c r="BZ50" s="13">
        <f t="shared" si="25"/>
        <v>0.10452912687730855</v>
      </c>
      <c r="CA50" s="13">
        <f t="shared" si="26"/>
        <v>7.2172327745415585E-2</v>
      </c>
      <c r="CB50" s="13">
        <f t="shared" si="27"/>
        <v>1.8870640328979033E-2</v>
      </c>
      <c r="CC50" s="13">
        <f t="shared" si="28"/>
        <v>0</v>
      </c>
      <c r="CD50" s="13">
        <f t="shared" si="93"/>
        <v>0.34016118469704643</v>
      </c>
      <c r="CE50" s="12">
        <f t="shared" si="94"/>
        <v>3.0295264210081392</v>
      </c>
      <c r="CF50" s="13"/>
      <c r="CG50" s="23">
        <f t="shared" si="127"/>
        <v>0.59071052490383147</v>
      </c>
      <c r="CH50" s="13">
        <f t="shared" si="127"/>
        <v>9.9604456694124457E-3</v>
      </c>
      <c r="CI50" s="13">
        <f t="shared" si="127"/>
        <v>0.16989945790043762</v>
      </c>
      <c r="CJ50" s="13">
        <f t="shared" si="127"/>
        <v>0</v>
      </c>
      <c r="CK50" s="13">
        <f t="shared" si="126"/>
        <v>2.991567689086911E-2</v>
      </c>
      <c r="CL50" s="13">
        <f t="shared" si="126"/>
        <v>2.5153279716272355E-2</v>
      </c>
      <c r="CM50" s="13">
        <f t="shared" si="126"/>
        <v>7.1458650620525787E-3</v>
      </c>
      <c r="CN50" s="13">
        <f t="shared" si="126"/>
        <v>0</v>
      </c>
      <c r="CO50" s="13">
        <f t="shared" si="126"/>
        <v>2.2676592298778313E-2</v>
      </c>
      <c r="CP50" s="13">
        <f t="shared" si="126"/>
        <v>3.4503454451644711E-2</v>
      </c>
      <c r="CQ50" s="13">
        <f t="shared" si="126"/>
        <v>2.3822973533070793E-2</v>
      </c>
      <c r="CR50" s="13">
        <f t="shared" si="126"/>
        <v>6.2289076596663004E-3</v>
      </c>
      <c r="CS50" s="13">
        <f t="shared" si="126"/>
        <v>0</v>
      </c>
      <c r="CT50" s="13">
        <f t="shared" si="126"/>
        <v>0.11228196669228935</v>
      </c>
      <c r="CU50" s="12">
        <f t="shared" si="30"/>
        <v>1.0000000000000002</v>
      </c>
      <c r="CV50" s="26"/>
      <c r="CW50" s="23">
        <f t="shared" si="31"/>
        <v>0.89478657118187188</v>
      </c>
      <c r="CX50" s="13">
        <f t="shared" si="32"/>
        <v>1.5087716660250553E-2</v>
      </c>
      <c r="CY50" s="13">
        <f t="shared" si="33"/>
        <v>0.34314326441622384</v>
      </c>
      <c r="CZ50" s="13">
        <f t="shared" si="34"/>
        <v>0</v>
      </c>
      <c r="DA50" s="13">
        <f t="shared" si="35"/>
        <v>7.9944289693593323E-2</v>
      </c>
      <c r="DB50" s="13">
        <f t="shared" si="36"/>
        <v>7.620252547545521E-2</v>
      </c>
      <c r="DC50" s="24">
        <f t="shared" si="37"/>
        <v>1.4432391337631502E-2</v>
      </c>
      <c r="DD50" s="13">
        <f t="shared" si="38"/>
        <v>0</v>
      </c>
      <c r="DE50" s="13">
        <f t="shared" si="39"/>
        <v>6.8699335507578591E-2</v>
      </c>
      <c r="DF50" s="13">
        <f t="shared" si="40"/>
        <v>0.10452912687730855</v>
      </c>
      <c r="DG50" s="13">
        <f t="shared" si="41"/>
        <v>0.14434465549083117</v>
      </c>
      <c r="DH50" s="13">
        <f t="shared" si="42"/>
        <v>3.7741280657958065E-2</v>
      </c>
      <c r="DI50" s="13">
        <f t="shared" si="43"/>
        <v>0</v>
      </c>
      <c r="DJ50" s="13">
        <f t="shared" si="95"/>
        <v>0.68032236939409285</v>
      </c>
      <c r="DK50" s="12">
        <f>IF(SUM(CW50:DA50,DD50:DJ50)=0,"",SUM(CW50:DA50,DD50:DJ50))</f>
        <v>2.3685986098797089</v>
      </c>
      <c r="DL50" s="26"/>
      <c r="DM50" s="23">
        <f t="shared" si="152"/>
        <v>0.3777704535709891</v>
      </c>
      <c r="DN50" s="13">
        <f t="shared" si="152"/>
        <v>6.3698917145851037E-3</v>
      </c>
      <c r="DO50" s="13">
        <f t="shared" si="151"/>
        <v>0.14487185080027157</v>
      </c>
      <c r="DP50" s="13">
        <f t="shared" si="151"/>
        <v>0</v>
      </c>
      <c r="DQ50" s="13">
        <f t="shared" si="151"/>
        <v>3.3751725328274744E-2</v>
      </c>
      <c r="DR50" s="13">
        <f t="shared" si="151"/>
        <v>3.217198775580013E-2</v>
      </c>
      <c r="DS50" s="13">
        <f t="shared" si="151"/>
        <v>6.0932195423201996E-3</v>
      </c>
      <c r="DT50" s="13">
        <f t="shared" si="151"/>
        <v>0</v>
      </c>
      <c r="DU50" s="13">
        <f t="shared" si="151"/>
        <v>2.9004211697594273E-2</v>
      </c>
      <c r="DV50" s="13">
        <f t="shared" si="151"/>
        <v>4.4131211781221612E-2</v>
      </c>
      <c r="DW50" s="13">
        <f t="shared" si="151"/>
        <v>6.0940952548377045E-2</v>
      </c>
      <c r="DX50" s="13">
        <f t="shared" si="151"/>
        <v>1.5934012838027794E-2</v>
      </c>
      <c r="DY50" s="13">
        <f t="shared" si="151"/>
        <v>0</v>
      </c>
      <c r="DZ50" s="13">
        <f t="shared" si="151"/>
        <v>0.28722568972065871</v>
      </c>
      <c r="EA50" s="12">
        <f t="shared" si="45"/>
        <v>1</v>
      </c>
      <c r="EB50" s="26"/>
      <c r="EC50" s="30">
        <f t="shared" si="46"/>
        <v>1223</v>
      </c>
      <c r="ED50" s="14">
        <f t="shared" si="98"/>
        <v>1000000000</v>
      </c>
      <c r="EE50" s="29"/>
      <c r="EF50" s="184">
        <f t="shared" si="122"/>
        <v>-11.085940310711365</v>
      </c>
      <c r="EG50" s="13">
        <f t="shared" si="99"/>
        <v>-0.2</v>
      </c>
      <c r="EH50" s="13">
        <f t="shared" si="100"/>
        <v>-0.43776369582992558</v>
      </c>
      <c r="EI50" s="12">
        <f t="shared" si="47"/>
        <v>4.239042518397385</v>
      </c>
      <c r="EJ50" s="29"/>
      <c r="EK50" s="28">
        <f t="shared" si="101"/>
        <v>-2.3573843252332685</v>
      </c>
      <c r="EL50" s="24">
        <f t="shared" si="102"/>
        <v>-1.0236145572007245</v>
      </c>
      <c r="EM50" s="24">
        <f t="shared" si="103"/>
        <v>9.4667519073384082E-2</v>
      </c>
      <c r="EN50" s="24">
        <f t="shared" si="104"/>
        <v>5.3049515995527978E-2</v>
      </c>
      <c r="EO50" s="24">
        <f t="shared" si="105"/>
        <v>5.0220660673404392E-3</v>
      </c>
      <c r="EP50" s="24">
        <f t="shared" si="106"/>
        <v>0.15919403033966914</v>
      </c>
      <c r="EQ50" s="24">
        <f t="shared" si="107"/>
        <v>-2.3570667065065045</v>
      </c>
      <c r="ER50" s="24">
        <f t="shared" si="48"/>
        <v>-25.524038419779046</v>
      </c>
      <c r="ES50" s="25">
        <f t="shared" si="49"/>
        <v>-11.082951984272274</v>
      </c>
      <c r="ET50" s="26"/>
      <c r="EU50" s="23">
        <f t="shared" si="123"/>
        <v>-4.7222533634937385</v>
      </c>
      <c r="EV50" s="12">
        <f t="shared" si="50"/>
        <v>1.895563790443866E-5</v>
      </c>
      <c r="EW50" s="26"/>
      <c r="EX50" s="27">
        <f t="shared" si="108"/>
        <v>3.1523091832602089E-3</v>
      </c>
      <c r="EY50" s="26"/>
      <c r="EZ50" s="23">
        <f t="shared" si="128"/>
        <v>-7.6464466046828425</v>
      </c>
      <c r="FA50" s="13">
        <f t="shared" si="52"/>
        <v>14.672495449008824</v>
      </c>
      <c r="FB50" s="13">
        <f t="shared" si="129"/>
        <v>-25.250456749217264</v>
      </c>
      <c r="FC50" s="13">
        <f t="shared" si="130"/>
        <v>-3.4832429996226111</v>
      </c>
      <c r="FD50" s="12">
        <f t="shared" si="55"/>
        <v>2.9792797217318312E-2</v>
      </c>
      <c r="FE50" s="13"/>
      <c r="FF50" s="23">
        <f t="shared" si="131"/>
        <v>-6.8035287247950818</v>
      </c>
      <c r="FG50" s="13">
        <f t="shared" si="132"/>
        <v>12.720620206056534</v>
      </c>
      <c r="FH50" s="13">
        <f t="shared" si="133"/>
        <v>13.762131068747948</v>
      </c>
      <c r="FI50" s="24">
        <f t="shared" si="134"/>
        <v>2.2453913842532813E-3</v>
      </c>
      <c r="FJ50" s="25">
        <f t="shared" si="135"/>
        <v>2.4163303993532614E-2</v>
      </c>
      <c r="FK50" s="13"/>
      <c r="FL50" s="23">
        <f t="shared" si="110"/>
        <v>12.155752280962105</v>
      </c>
      <c r="FM50" s="13">
        <f t="shared" si="124"/>
        <v>-6.8782558869217176</v>
      </c>
      <c r="FN50" s="13">
        <f t="shared" si="136"/>
        <v>-3.1378724535389075</v>
      </c>
      <c r="FO50" s="13">
        <f t="shared" si="60"/>
        <v>7.2746398598000361E-4</v>
      </c>
      <c r="FP50" s="23">
        <f t="shared" si="137"/>
        <v>-4.030758798592057</v>
      </c>
      <c r="FQ50" s="13">
        <f t="shared" si="138"/>
        <v>9.315383596331106E-5</v>
      </c>
      <c r="FR50" s="13">
        <f t="shared" si="139"/>
        <v>-3.6807996816664641</v>
      </c>
      <c r="FS50" s="13">
        <f t="shared" si="115"/>
        <v>2.0850177557429905E-4</v>
      </c>
      <c r="FT50" s="13">
        <f t="shared" si="140"/>
        <v>-4.1207015622878842</v>
      </c>
      <c r="FU50" s="12">
        <f t="shared" si="117"/>
        <v>7.5729579880667863E-5</v>
      </c>
      <c r="FV50" s="22"/>
      <c r="FW50" s="11">
        <f t="shared" si="141"/>
        <v>-0.2</v>
      </c>
      <c r="FX50" s="10">
        <f t="shared" si="142"/>
        <v>-0.43776369582992558</v>
      </c>
      <c r="FY50" s="10">
        <f t="shared" si="143"/>
        <v>4.239042518397385</v>
      </c>
      <c r="FZ50" s="5">
        <f t="shared" si="144"/>
        <v>-11.085940310711365</v>
      </c>
      <c r="GA50" s="10">
        <f t="shared" si="145"/>
        <v>0.15919403033966914</v>
      </c>
      <c r="GB50" s="9">
        <f t="shared" si="118"/>
        <v>12.155752280962105</v>
      </c>
      <c r="GC50" s="8">
        <f t="shared" si="119"/>
        <v>-6.8782558869217176</v>
      </c>
      <c r="GD50" s="8">
        <f t="shared" si="120"/>
        <v>7.2746398598000361E-4</v>
      </c>
      <c r="GE50" s="7">
        <f t="shared" si="121"/>
        <v>9.315383596331106E-5</v>
      </c>
      <c r="GF50" s="6">
        <f t="shared" si="146"/>
        <v>2.2453913842532813E-3</v>
      </c>
      <c r="GG50" s="5">
        <f t="shared" si="147"/>
        <v>2.4163303993532614E-2</v>
      </c>
      <c r="GH50" s="4">
        <f t="shared" si="148"/>
        <v>2.9792797217318312E-2</v>
      </c>
      <c r="GI50" s="4">
        <f t="shared" si="149"/>
        <v>3.1523091832602089E-3</v>
      </c>
      <c r="GJ50" s="4">
        <f t="shared" si="150"/>
        <v>1.895563790443866E-5</v>
      </c>
      <c r="GK50" s="1"/>
    </row>
    <row r="51" spans="1:193" x14ac:dyDescent="0.4">
      <c r="A51" s="34"/>
      <c r="B51" s="21"/>
      <c r="C51" s="21"/>
      <c r="D51" s="34"/>
      <c r="E51" s="34"/>
      <c r="F51" s="20" t="s">
        <v>84</v>
      </c>
      <c r="G51" s="19">
        <v>950</v>
      </c>
      <c r="H51" s="18">
        <v>1</v>
      </c>
      <c r="I51" s="17">
        <v>0.2</v>
      </c>
      <c r="J51" s="16">
        <v>52.63</v>
      </c>
      <c r="K51" s="16">
        <v>1.18</v>
      </c>
      <c r="L51" s="16">
        <v>17.13</v>
      </c>
      <c r="M51" s="16">
        <v>0</v>
      </c>
      <c r="N51" s="16">
        <f t="shared" si="153"/>
        <v>6.3739999999999997</v>
      </c>
      <c r="O51" s="16">
        <v>0</v>
      </c>
      <c r="P51" s="16">
        <v>2.71</v>
      </c>
      <c r="Q51" s="16">
        <v>5.74</v>
      </c>
      <c r="R51" s="16">
        <v>4.38</v>
      </c>
      <c r="S51" s="16">
        <v>1.74</v>
      </c>
      <c r="T51" s="16">
        <v>0</v>
      </c>
      <c r="U51" s="15">
        <v>6</v>
      </c>
      <c r="V51" s="16"/>
      <c r="W51" s="28">
        <f t="shared" si="71"/>
        <v>53.767725062318682</v>
      </c>
      <c r="X51" s="24">
        <f t="shared" si="155"/>
        <v>1.2055085611540193</v>
      </c>
      <c r="Y51" s="24">
        <f t="shared" si="155"/>
        <v>17.500306485227416</v>
      </c>
      <c r="Z51" s="24">
        <f t="shared" si="154"/>
        <v>0</v>
      </c>
      <c r="AA51" s="24">
        <f t="shared" si="154"/>
        <v>6.5117894650811179</v>
      </c>
      <c r="AB51" s="24">
        <f t="shared" si="154"/>
        <v>0</v>
      </c>
      <c r="AC51" s="24">
        <f t="shared" si="154"/>
        <v>2.7685832209554171</v>
      </c>
      <c r="AD51" s="24">
        <f t="shared" si="154"/>
        <v>5.8640840178170093</v>
      </c>
      <c r="AE51" s="24">
        <f t="shared" si="154"/>
        <v>4.4746843202157667</v>
      </c>
      <c r="AF51" s="24">
        <f t="shared" si="154"/>
        <v>1.777614318989825</v>
      </c>
      <c r="AG51" s="24">
        <f t="shared" si="154"/>
        <v>0</v>
      </c>
      <c r="AH51" s="24">
        <f t="shared" si="154"/>
        <v>6.1297045482407766</v>
      </c>
      <c r="AI51" s="14">
        <f t="shared" si="72"/>
        <v>100.00000000000004</v>
      </c>
      <c r="AJ51" s="26"/>
      <c r="AK51" s="50">
        <f t="shared" si="73"/>
        <v>0.89478657118187188</v>
      </c>
      <c r="AL51" s="47">
        <f t="shared" si="74"/>
        <v>1.5087716660250553E-2</v>
      </c>
      <c r="AM51" s="47">
        <f t="shared" si="75"/>
        <v>0.17163894159697349</v>
      </c>
      <c r="AN51" s="49">
        <f t="shared" si="76"/>
        <v>0</v>
      </c>
      <c r="AO51" s="49">
        <f t="shared" si="77"/>
        <v>9.0630333543230593E-2</v>
      </c>
      <c r="AP51" s="47">
        <f t="shared" si="78"/>
        <v>0</v>
      </c>
      <c r="AQ51" s="47">
        <f t="shared" si="79"/>
        <v>6.8665258456235542E-2</v>
      </c>
      <c r="AR51" s="47">
        <f t="shared" si="80"/>
        <v>0.10456640545322771</v>
      </c>
      <c r="AS51" s="47">
        <f t="shared" si="81"/>
        <v>7.2195616654013667E-2</v>
      </c>
      <c r="AT51" s="47">
        <f t="shared" si="82"/>
        <v>1.8870640328979033E-2</v>
      </c>
      <c r="AU51" s="47">
        <f t="shared" si="83"/>
        <v>0</v>
      </c>
      <c r="AV51" s="47">
        <f t="shared" si="84"/>
        <v>0.34016118469704643</v>
      </c>
      <c r="AW51" s="47">
        <f t="shared" si="85"/>
        <v>1.4364414838747823</v>
      </c>
      <c r="AX51" s="47">
        <f t="shared" si="86"/>
        <v>7.3875773362458208E-2</v>
      </c>
      <c r="AY51" s="46">
        <f t="shared" si="87"/>
        <v>8.3799412940239269E-3</v>
      </c>
      <c r="AZ51" s="26"/>
      <c r="BA51" s="23">
        <f t="shared" si="88"/>
        <v>0.62291891540767586</v>
      </c>
      <c r="BB51" s="13">
        <f t="shared" si="6"/>
        <v>1.0503537268745283E-2</v>
      </c>
      <c r="BC51" s="13">
        <f t="shared" si="7"/>
        <v>0.11948898964821014</v>
      </c>
      <c r="BD51" s="13">
        <f t="shared" si="8"/>
        <v>0</v>
      </c>
      <c r="BE51" s="13">
        <f t="shared" si="9"/>
        <v>6.309364813020886E-2</v>
      </c>
      <c r="BF51" s="13">
        <f t="shared" si="10"/>
        <v>5.1429713073434268E-2</v>
      </c>
      <c r="BG51" s="13">
        <f t="shared" si="11"/>
        <v>5.8338201646886047E-3</v>
      </c>
      <c r="BH51" s="13">
        <f t="shared" si="12"/>
        <v>0</v>
      </c>
      <c r="BI51" s="13">
        <f t="shared" si="13"/>
        <v>4.7802335999801326E-2</v>
      </c>
      <c r="BJ51" s="13">
        <f t="shared" si="14"/>
        <v>7.2795450860386732E-2</v>
      </c>
      <c r="BK51" s="13">
        <f t="shared" si="15"/>
        <v>5.0260047112581939E-2</v>
      </c>
      <c r="BL51" s="13">
        <f t="shared" si="16"/>
        <v>1.3137075572389989E-2</v>
      </c>
      <c r="BM51" s="13">
        <f t="shared" si="17"/>
        <v>0</v>
      </c>
      <c r="BN51" s="13">
        <f t="shared" si="18"/>
        <v>0.23680824350704913</v>
      </c>
      <c r="BO51" s="12">
        <f t="shared" si="89"/>
        <v>1.0000000000000002</v>
      </c>
      <c r="BP51" s="13"/>
      <c r="BQ51" s="23">
        <f t="shared" si="90"/>
        <v>1.7895731423637438</v>
      </c>
      <c r="BR51" s="13">
        <f t="shared" si="19"/>
        <v>3.0175433320501106E-2</v>
      </c>
      <c r="BS51" s="13">
        <f t="shared" si="20"/>
        <v>0.51471489662433578</v>
      </c>
      <c r="BT51" s="13">
        <f t="shared" si="21"/>
        <v>0</v>
      </c>
      <c r="BU51" s="13">
        <f t="shared" si="22"/>
        <v>9.0630333543230593E-2</v>
      </c>
      <c r="BV51" s="13">
        <f t="shared" si="91"/>
        <v>7.3875773362458208E-2</v>
      </c>
      <c r="BW51" s="24">
        <f t="shared" si="92"/>
        <v>2.5139823882071782E-2</v>
      </c>
      <c r="BX51" s="13">
        <f t="shared" si="23"/>
        <v>0</v>
      </c>
      <c r="BY51" s="13">
        <f t="shared" si="24"/>
        <v>6.8699335507578591E-2</v>
      </c>
      <c r="BZ51" s="13">
        <f t="shared" si="25"/>
        <v>0.10452912687730855</v>
      </c>
      <c r="CA51" s="13">
        <f t="shared" si="26"/>
        <v>7.2172327745415585E-2</v>
      </c>
      <c r="CB51" s="13">
        <f t="shared" si="27"/>
        <v>1.8870640328979033E-2</v>
      </c>
      <c r="CC51" s="13">
        <f t="shared" si="28"/>
        <v>0</v>
      </c>
      <c r="CD51" s="13">
        <f t="shared" si="93"/>
        <v>0.34016118469704643</v>
      </c>
      <c r="CE51" s="12">
        <f t="shared" si="94"/>
        <v>3.0295264210081392</v>
      </c>
      <c r="CF51" s="13"/>
      <c r="CG51" s="23">
        <f>IF(OR($CE51="",BQ51=""),"",BQ51/$CE51)</f>
        <v>0.59071052490383147</v>
      </c>
      <c r="CH51" s="13">
        <f t="shared" si="127"/>
        <v>9.9604456694124457E-3</v>
      </c>
      <c r="CI51" s="13">
        <f t="shared" si="127"/>
        <v>0.16989945790043762</v>
      </c>
      <c r="CJ51" s="13">
        <f t="shared" si="127"/>
        <v>0</v>
      </c>
      <c r="CK51" s="13">
        <f t="shared" si="126"/>
        <v>2.991567689086911E-2</v>
      </c>
      <c r="CL51" s="13">
        <f t="shared" si="126"/>
        <v>2.4385254688709557E-2</v>
      </c>
      <c r="CM51" s="13">
        <f t="shared" si="126"/>
        <v>8.2982685702097207E-3</v>
      </c>
      <c r="CN51" s="13">
        <f t="shared" si="126"/>
        <v>0</v>
      </c>
      <c r="CO51" s="13">
        <f t="shared" si="126"/>
        <v>2.2676592298778313E-2</v>
      </c>
      <c r="CP51" s="13">
        <f t="shared" si="126"/>
        <v>3.4503454451644711E-2</v>
      </c>
      <c r="CQ51" s="13">
        <f t="shared" si="126"/>
        <v>2.3822973533070793E-2</v>
      </c>
      <c r="CR51" s="13">
        <f t="shared" si="126"/>
        <v>6.2289076596663004E-3</v>
      </c>
      <c r="CS51" s="13">
        <f t="shared" si="126"/>
        <v>0</v>
      </c>
      <c r="CT51" s="13">
        <f t="shared" si="126"/>
        <v>0.11228196669228935</v>
      </c>
      <c r="CU51" s="12">
        <f t="shared" si="30"/>
        <v>1.0000000000000002</v>
      </c>
      <c r="CV51" s="26"/>
      <c r="CW51" s="23">
        <f t="shared" si="31"/>
        <v>0.89478657118187188</v>
      </c>
      <c r="CX51" s="13">
        <f t="shared" si="32"/>
        <v>1.5087716660250553E-2</v>
      </c>
      <c r="CY51" s="13">
        <f t="shared" si="33"/>
        <v>0.34314326441622384</v>
      </c>
      <c r="CZ51" s="13">
        <f t="shared" si="34"/>
        <v>0</v>
      </c>
      <c r="DA51" s="13">
        <f t="shared" si="35"/>
        <v>7.9944289693593323E-2</v>
      </c>
      <c r="DB51" s="13">
        <f t="shared" si="36"/>
        <v>7.3875773362458208E-2</v>
      </c>
      <c r="DC51" s="24">
        <f t="shared" si="37"/>
        <v>1.6759882588047854E-2</v>
      </c>
      <c r="DD51" s="13">
        <f t="shared" si="38"/>
        <v>0</v>
      </c>
      <c r="DE51" s="13">
        <f t="shared" si="39"/>
        <v>6.8699335507578591E-2</v>
      </c>
      <c r="DF51" s="13">
        <f t="shared" si="40"/>
        <v>0.10452912687730855</v>
      </c>
      <c r="DG51" s="13">
        <f t="shared" si="41"/>
        <v>0.14434465549083117</v>
      </c>
      <c r="DH51" s="13">
        <f t="shared" si="42"/>
        <v>3.7741280657958065E-2</v>
      </c>
      <c r="DI51" s="13">
        <f t="shared" si="43"/>
        <v>0</v>
      </c>
      <c r="DJ51" s="13">
        <f t="shared" si="95"/>
        <v>0.68032236939409285</v>
      </c>
      <c r="DK51" s="12">
        <f t="shared" si="96"/>
        <v>2.3685986098797089</v>
      </c>
      <c r="DL51" s="26"/>
      <c r="DM51" s="23">
        <f t="shared" si="152"/>
        <v>0.3777704535709891</v>
      </c>
      <c r="DN51" s="13">
        <f t="shared" si="152"/>
        <v>6.3698917145851037E-3</v>
      </c>
      <c r="DO51" s="13">
        <f t="shared" si="151"/>
        <v>0.14487185080027157</v>
      </c>
      <c r="DP51" s="13">
        <f t="shared" si="151"/>
        <v>0</v>
      </c>
      <c r="DQ51" s="13">
        <f t="shared" si="151"/>
        <v>3.3751725328274744E-2</v>
      </c>
      <c r="DR51" s="13">
        <f t="shared" si="151"/>
        <v>3.1189654952220904E-2</v>
      </c>
      <c r="DS51" s="13">
        <f t="shared" si="151"/>
        <v>7.0758644027486854E-3</v>
      </c>
      <c r="DT51" s="13">
        <f t="shared" si="151"/>
        <v>0</v>
      </c>
      <c r="DU51" s="13">
        <f t="shared" si="151"/>
        <v>2.9004211697594273E-2</v>
      </c>
      <c r="DV51" s="13">
        <f t="shared" si="151"/>
        <v>4.4131211781221612E-2</v>
      </c>
      <c r="DW51" s="13">
        <f t="shared" si="151"/>
        <v>6.0940952548377045E-2</v>
      </c>
      <c r="DX51" s="13">
        <f t="shared" si="151"/>
        <v>1.5934012838027794E-2</v>
      </c>
      <c r="DY51" s="13">
        <f t="shared" si="151"/>
        <v>0</v>
      </c>
      <c r="DZ51" s="13">
        <f t="shared" si="151"/>
        <v>0.28722568972065871</v>
      </c>
      <c r="EA51" s="12">
        <f t="shared" si="45"/>
        <v>1</v>
      </c>
      <c r="EB51" s="26"/>
      <c r="EC51" s="30">
        <f t="shared" si="46"/>
        <v>1223</v>
      </c>
      <c r="ED51" s="14">
        <f t="shared" si="98"/>
        <v>1000000000</v>
      </c>
      <c r="EE51" s="29"/>
      <c r="EF51" s="184">
        <f t="shared" si="122"/>
        <v>-10.685940310711366</v>
      </c>
      <c r="EG51" s="13">
        <f t="shared" si="99"/>
        <v>0.2</v>
      </c>
      <c r="EH51" s="13">
        <f t="shared" si="100"/>
        <v>-3.7763695829927002E-2</v>
      </c>
      <c r="EI51" s="12">
        <f t="shared" si="47"/>
        <v>4.6390425183973836</v>
      </c>
      <c r="EJ51" s="29"/>
      <c r="EK51" s="28">
        <f t="shared" si="101"/>
        <v>-2.1768616539425363</v>
      </c>
      <c r="EL51" s="24">
        <f t="shared" si="102"/>
        <v>-0.94522868169454466</v>
      </c>
      <c r="EM51" s="24">
        <f t="shared" si="103"/>
        <v>0.11339685135050392</v>
      </c>
      <c r="EN51" s="24">
        <f t="shared" si="104"/>
        <v>5.1429713073434274E-2</v>
      </c>
      <c r="EO51" s="24">
        <f t="shared" si="105"/>
        <v>5.8319675283872944E-3</v>
      </c>
      <c r="EP51" s="24">
        <f t="shared" si="106"/>
        <v>0.1848670254841385</v>
      </c>
      <c r="EQ51" s="24">
        <f t="shared" si="107"/>
        <v>-2.1765440352157723</v>
      </c>
      <c r="ER51" s="24">
        <f t="shared" si="48"/>
        <v>-24.603004382581428</v>
      </c>
      <c r="ES51" s="25">
        <f t="shared" si="49"/>
        <v>-10.683024048016252</v>
      </c>
      <c r="ET51" s="26"/>
      <c r="EU51" s="23">
        <f t="shared" si="123"/>
        <v>-4.0950533634937401</v>
      </c>
      <c r="EV51" s="12">
        <f t="shared" si="50"/>
        <v>8.0336285142257324E-5</v>
      </c>
      <c r="EW51" s="26"/>
      <c r="EX51" s="27">
        <f t="shared" si="108"/>
        <v>1.9562303872579508E-2</v>
      </c>
      <c r="EY51" s="26"/>
      <c r="EZ51" s="23">
        <f t="shared" si="128"/>
        <v>-7.6464466046828425</v>
      </c>
      <c r="FA51" s="13">
        <f t="shared" si="52"/>
        <v>14.659242389925375</v>
      </c>
      <c r="FB51" s="13">
        <f t="shared" si="129"/>
        <v>-25.250456749217264</v>
      </c>
      <c r="FC51" s="13">
        <f t="shared" si="130"/>
        <v>-1.6544279843108285</v>
      </c>
      <c r="FD51" s="12">
        <f t="shared" si="55"/>
        <v>0.1605113925239221</v>
      </c>
      <c r="FE51" s="13"/>
      <c r="FF51" s="23">
        <f t="shared" si="131"/>
        <v>-6.8193771692927134</v>
      </c>
      <c r="FG51" s="13">
        <f t="shared" si="132"/>
        <v>12.720620206056534</v>
      </c>
      <c r="FH51" s="13">
        <f t="shared" si="133"/>
        <v>13.762131068747948</v>
      </c>
      <c r="FI51" s="24">
        <f t="shared" si="134"/>
        <v>1.4513344422752428E-2</v>
      </c>
      <c r="FJ51" s="25">
        <f t="shared" si="135"/>
        <v>0.13944591245458626</v>
      </c>
      <c r="FK51" s="13"/>
      <c r="FL51" s="23">
        <f t="shared" si="110"/>
        <v>12.155752280962105</v>
      </c>
      <c r="FM51" s="13">
        <f t="shared" si="124"/>
        <v>-6.8846665962273894</v>
      </c>
      <c r="FN51" s="13">
        <f t="shared" si="136"/>
        <v>-2.3314617442332377</v>
      </c>
      <c r="FO51" s="13">
        <f t="shared" si="60"/>
        <v>4.6400048834400742E-3</v>
      </c>
      <c r="FP51" s="23">
        <f t="shared" si="137"/>
        <v>-3.2243480892863872</v>
      </c>
      <c r="FQ51" s="13">
        <f t="shared" si="138"/>
        <v>5.962012833956587E-4</v>
      </c>
      <c r="FR51" s="13">
        <f t="shared" si="139"/>
        <v>-2.8743889723607943</v>
      </c>
      <c r="FS51" s="13">
        <f t="shared" si="115"/>
        <v>1.3336180293455069E-3</v>
      </c>
      <c r="FT51" s="13">
        <f t="shared" si="140"/>
        <v>-3.3142908529822144</v>
      </c>
      <c r="FU51" s="12">
        <f t="shared" si="117"/>
        <v>4.8472852889613893E-4</v>
      </c>
      <c r="FV51" s="22"/>
      <c r="FW51" s="11">
        <f t="shared" si="141"/>
        <v>0.2</v>
      </c>
      <c r="FX51" s="10">
        <f t="shared" si="142"/>
        <v>-3.7763695829927002E-2</v>
      </c>
      <c r="FY51" s="10">
        <f t="shared" si="143"/>
        <v>4.6390425183973836</v>
      </c>
      <c r="FZ51" s="5">
        <f t="shared" si="144"/>
        <v>-10.685940310711366</v>
      </c>
      <c r="GA51" s="10">
        <f t="shared" si="145"/>
        <v>0.1848670254841385</v>
      </c>
      <c r="GB51" s="9">
        <f t="shared" si="118"/>
        <v>12.155752280962105</v>
      </c>
      <c r="GC51" s="8">
        <f t="shared" si="119"/>
        <v>-6.8846665962273894</v>
      </c>
      <c r="GD51" s="8">
        <f t="shared" si="120"/>
        <v>4.6400048834400742E-3</v>
      </c>
      <c r="GE51" s="7">
        <f t="shared" si="121"/>
        <v>5.962012833956587E-4</v>
      </c>
      <c r="GF51" s="6">
        <f t="shared" si="146"/>
        <v>1.4513344422752428E-2</v>
      </c>
      <c r="GG51" s="5">
        <f t="shared" si="147"/>
        <v>0.13944591245458626</v>
      </c>
      <c r="GH51" s="4">
        <f t="shared" si="148"/>
        <v>0.1605113925239221</v>
      </c>
      <c r="GI51" s="4">
        <f t="shared" si="149"/>
        <v>1.9562303872579508E-2</v>
      </c>
      <c r="GJ51" s="4">
        <f t="shared" si="150"/>
        <v>8.0336285142257324E-5</v>
      </c>
      <c r="GK51" s="1"/>
    </row>
    <row r="52" spans="1:193" x14ac:dyDescent="0.4">
      <c r="A52" s="34"/>
      <c r="B52" s="21"/>
      <c r="C52" s="21"/>
      <c r="D52" s="34"/>
      <c r="E52" s="34"/>
      <c r="F52" s="20" t="s">
        <v>84</v>
      </c>
      <c r="G52" s="19">
        <v>950</v>
      </c>
      <c r="H52" s="18">
        <v>1</v>
      </c>
      <c r="I52" s="17">
        <v>0.6</v>
      </c>
      <c r="J52" s="16">
        <v>52.63</v>
      </c>
      <c r="K52" s="16">
        <v>1.18</v>
      </c>
      <c r="L52" s="16">
        <v>17.13</v>
      </c>
      <c r="M52" s="16">
        <v>0</v>
      </c>
      <c r="N52" s="16">
        <f t="shared" si="153"/>
        <v>6.3739999999999997</v>
      </c>
      <c r="O52" s="16">
        <v>0</v>
      </c>
      <c r="P52" s="16">
        <v>2.71</v>
      </c>
      <c r="Q52" s="16">
        <v>5.74</v>
      </c>
      <c r="R52" s="16">
        <v>4.38</v>
      </c>
      <c r="S52" s="16">
        <v>1.74</v>
      </c>
      <c r="T52" s="16">
        <v>0</v>
      </c>
      <c r="U52" s="15">
        <v>6</v>
      </c>
      <c r="V52" s="16"/>
      <c r="W52" s="28">
        <f t="shared" si="71"/>
        <v>53.767725062318682</v>
      </c>
      <c r="X52" s="24">
        <f t="shared" si="155"/>
        <v>1.2055085611540193</v>
      </c>
      <c r="Y52" s="24">
        <f t="shared" si="155"/>
        <v>17.500306485227416</v>
      </c>
      <c r="Z52" s="24">
        <f t="shared" si="154"/>
        <v>0</v>
      </c>
      <c r="AA52" s="24">
        <f t="shared" si="154"/>
        <v>6.5117894650811179</v>
      </c>
      <c r="AB52" s="24">
        <f t="shared" si="154"/>
        <v>0</v>
      </c>
      <c r="AC52" s="24">
        <f t="shared" si="154"/>
        <v>2.7685832209554171</v>
      </c>
      <c r="AD52" s="24">
        <f t="shared" si="154"/>
        <v>5.8640840178170093</v>
      </c>
      <c r="AE52" s="24">
        <f t="shared" si="154"/>
        <v>4.4746843202157667</v>
      </c>
      <c r="AF52" s="24">
        <f t="shared" si="154"/>
        <v>1.777614318989825</v>
      </c>
      <c r="AG52" s="24">
        <f t="shared" si="154"/>
        <v>0</v>
      </c>
      <c r="AH52" s="24">
        <f t="shared" si="154"/>
        <v>6.1297045482407766</v>
      </c>
      <c r="AI52" s="14">
        <f t="shared" si="72"/>
        <v>100.00000000000004</v>
      </c>
      <c r="AJ52" s="26"/>
      <c r="AK52" s="50">
        <f t="shared" si="73"/>
        <v>0.89478657118187188</v>
      </c>
      <c r="AL52" s="47">
        <f t="shared" si="74"/>
        <v>1.5087716660250553E-2</v>
      </c>
      <c r="AM52" s="47">
        <f t="shared" si="75"/>
        <v>0.17163894159697349</v>
      </c>
      <c r="AN52" s="49">
        <f t="shared" si="76"/>
        <v>0</v>
      </c>
      <c r="AO52" s="49">
        <f t="shared" si="77"/>
        <v>9.0630333543230593E-2</v>
      </c>
      <c r="AP52" s="47">
        <f t="shared" si="78"/>
        <v>0</v>
      </c>
      <c r="AQ52" s="47">
        <f t="shared" si="79"/>
        <v>6.8665258456235542E-2</v>
      </c>
      <c r="AR52" s="47">
        <f t="shared" si="80"/>
        <v>0.10456640545322771</v>
      </c>
      <c r="AS52" s="47">
        <f t="shared" si="81"/>
        <v>7.2195616654013667E-2</v>
      </c>
      <c r="AT52" s="47">
        <f t="shared" si="82"/>
        <v>1.8870640328979033E-2</v>
      </c>
      <c r="AU52" s="47">
        <f t="shared" si="83"/>
        <v>0</v>
      </c>
      <c r="AV52" s="47">
        <f t="shared" si="84"/>
        <v>0.34016118469704643</v>
      </c>
      <c r="AW52" s="47">
        <f t="shared" si="85"/>
        <v>1.4364414838747823</v>
      </c>
      <c r="AX52" s="47">
        <f t="shared" si="86"/>
        <v>7.126912656152766E-2</v>
      </c>
      <c r="AY52" s="46">
        <f t="shared" si="87"/>
        <v>9.6836787201558909E-3</v>
      </c>
      <c r="AZ52" s="26"/>
      <c r="BA52" s="23">
        <f t="shared" si="88"/>
        <v>0.62291891540767586</v>
      </c>
      <c r="BB52" s="13">
        <f t="shared" si="6"/>
        <v>1.0503537268745283E-2</v>
      </c>
      <c r="BC52" s="13">
        <f t="shared" si="7"/>
        <v>0.11948898964821014</v>
      </c>
      <c r="BD52" s="13">
        <f t="shared" si="8"/>
        <v>0</v>
      </c>
      <c r="BE52" s="13">
        <f t="shared" si="9"/>
        <v>6.309364813020886E-2</v>
      </c>
      <c r="BF52" s="13">
        <f t="shared" si="10"/>
        <v>4.961505732156949E-2</v>
      </c>
      <c r="BG52" s="13">
        <f t="shared" si="11"/>
        <v>6.7414362707169193E-3</v>
      </c>
      <c r="BH52" s="13">
        <f t="shared" si="12"/>
        <v>0</v>
      </c>
      <c r="BI52" s="13">
        <f t="shared" si="13"/>
        <v>4.7802335999801326E-2</v>
      </c>
      <c r="BJ52" s="13">
        <f t="shared" si="14"/>
        <v>7.2795450860386732E-2</v>
      </c>
      <c r="BK52" s="13">
        <f t="shared" si="15"/>
        <v>5.0260047112581939E-2</v>
      </c>
      <c r="BL52" s="13">
        <f t="shared" si="16"/>
        <v>1.3137075572389989E-2</v>
      </c>
      <c r="BM52" s="13">
        <f t="shared" si="17"/>
        <v>0</v>
      </c>
      <c r="BN52" s="13">
        <f t="shared" si="18"/>
        <v>0.23680824350704913</v>
      </c>
      <c r="BO52" s="12">
        <f t="shared" si="89"/>
        <v>1.0000000000000002</v>
      </c>
      <c r="BP52" s="13"/>
      <c r="BQ52" s="23">
        <f>IF(W52="","",W52/(60.09/2))</f>
        <v>1.7895731423637438</v>
      </c>
      <c r="BR52" s="13">
        <f t="shared" si="19"/>
        <v>3.0175433320501106E-2</v>
      </c>
      <c r="BS52" s="13">
        <f t="shared" si="20"/>
        <v>0.51471489662433578</v>
      </c>
      <c r="BT52" s="13">
        <f t="shared" si="21"/>
        <v>0</v>
      </c>
      <c r="BU52" s="13">
        <f t="shared" si="22"/>
        <v>9.0630333543230593E-2</v>
      </c>
      <c r="BV52" s="13">
        <f t="shared" si="91"/>
        <v>7.126912656152766E-2</v>
      </c>
      <c r="BW52" s="24">
        <f t="shared" si="92"/>
        <v>2.9051036160467673E-2</v>
      </c>
      <c r="BX52" s="13">
        <f t="shared" si="23"/>
        <v>0</v>
      </c>
      <c r="BY52" s="13">
        <f t="shared" si="24"/>
        <v>6.8699335507578591E-2</v>
      </c>
      <c r="BZ52" s="13">
        <f t="shared" si="25"/>
        <v>0.10452912687730855</v>
      </c>
      <c r="CA52" s="13">
        <f t="shared" si="26"/>
        <v>7.2172327745415585E-2</v>
      </c>
      <c r="CB52" s="13">
        <f t="shared" si="27"/>
        <v>1.8870640328979033E-2</v>
      </c>
      <c r="CC52" s="13">
        <f t="shared" si="28"/>
        <v>0</v>
      </c>
      <c r="CD52" s="13">
        <f t="shared" si="93"/>
        <v>0.34016118469704643</v>
      </c>
      <c r="CE52" s="12">
        <f t="shared" si="94"/>
        <v>3.0295264210081392</v>
      </c>
      <c r="CF52" s="13"/>
      <c r="CG52" s="23">
        <f t="shared" si="127"/>
        <v>0.59071052490383147</v>
      </c>
      <c r="CH52" s="13">
        <f t="shared" si="127"/>
        <v>9.9604456694124457E-3</v>
      </c>
      <c r="CI52" s="13">
        <f t="shared" si="127"/>
        <v>0.16989945790043762</v>
      </c>
      <c r="CJ52" s="13">
        <f t="shared" si="127"/>
        <v>0</v>
      </c>
      <c r="CK52" s="13">
        <f t="shared" si="126"/>
        <v>2.991567689086911E-2</v>
      </c>
      <c r="CL52" s="13">
        <f t="shared" si="126"/>
        <v>2.3524840736596497E-2</v>
      </c>
      <c r="CM52" s="13">
        <f t="shared" si="126"/>
        <v>9.5892994888621321E-3</v>
      </c>
      <c r="CN52" s="13">
        <f t="shared" si="126"/>
        <v>0</v>
      </c>
      <c r="CO52" s="13">
        <f t="shared" si="126"/>
        <v>2.2676592298778313E-2</v>
      </c>
      <c r="CP52" s="13">
        <f t="shared" ref="CP52:CT83" si="156">IF(OR($CE52="",BZ52=""),"",BZ52/$CE52)</f>
        <v>3.4503454451644711E-2</v>
      </c>
      <c r="CQ52" s="13">
        <f t="shared" si="156"/>
        <v>2.3822973533070793E-2</v>
      </c>
      <c r="CR52" s="13">
        <f t="shared" si="156"/>
        <v>6.2289076596663004E-3</v>
      </c>
      <c r="CS52" s="13">
        <f t="shared" si="156"/>
        <v>0</v>
      </c>
      <c r="CT52" s="13">
        <f t="shared" si="156"/>
        <v>0.11228196669228935</v>
      </c>
      <c r="CU52" s="12">
        <f t="shared" si="30"/>
        <v>1.0000000000000002</v>
      </c>
      <c r="CV52" s="26"/>
      <c r="CW52" s="23">
        <f t="shared" si="31"/>
        <v>0.89478657118187188</v>
      </c>
      <c r="CX52" s="13">
        <f t="shared" si="32"/>
        <v>1.5087716660250553E-2</v>
      </c>
      <c r="CY52" s="13">
        <f t="shared" si="33"/>
        <v>0.34314326441622384</v>
      </c>
      <c r="CZ52" s="13">
        <f t="shared" si="34"/>
        <v>0</v>
      </c>
      <c r="DA52" s="13">
        <f t="shared" si="35"/>
        <v>7.9944289693593323E-2</v>
      </c>
      <c r="DB52" s="13">
        <f t="shared" si="36"/>
        <v>7.126912656152766E-2</v>
      </c>
      <c r="DC52" s="24">
        <f t="shared" si="37"/>
        <v>1.9367357440311782E-2</v>
      </c>
      <c r="DD52" s="13">
        <f t="shared" si="38"/>
        <v>0</v>
      </c>
      <c r="DE52" s="13">
        <f t="shared" si="39"/>
        <v>6.8699335507578591E-2</v>
      </c>
      <c r="DF52" s="13">
        <f t="shared" si="40"/>
        <v>0.10452912687730855</v>
      </c>
      <c r="DG52" s="13">
        <f t="shared" si="41"/>
        <v>0.14434465549083117</v>
      </c>
      <c r="DH52" s="13">
        <f t="shared" si="42"/>
        <v>3.7741280657958065E-2</v>
      </c>
      <c r="DI52" s="13">
        <f t="shared" si="43"/>
        <v>0</v>
      </c>
      <c r="DJ52" s="13">
        <f t="shared" si="95"/>
        <v>0.68032236939409285</v>
      </c>
      <c r="DK52" s="12">
        <f t="shared" si="96"/>
        <v>2.3685986098797089</v>
      </c>
      <c r="DL52" s="26"/>
      <c r="DM52" s="23">
        <f t="shared" si="152"/>
        <v>0.3777704535709891</v>
      </c>
      <c r="DN52" s="13">
        <f t="shared" si="152"/>
        <v>6.3698917145851037E-3</v>
      </c>
      <c r="DO52" s="13">
        <f t="shared" si="151"/>
        <v>0.14487185080027157</v>
      </c>
      <c r="DP52" s="13">
        <f t="shared" si="151"/>
        <v>0</v>
      </c>
      <c r="DQ52" s="13">
        <f t="shared" si="151"/>
        <v>3.3751725328274744E-2</v>
      </c>
      <c r="DR52" s="13">
        <f t="shared" si="151"/>
        <v>3.008915325047291E-2</v>
      </c>
      <c r="DS52" s="13">
        <f t="shared" si="151"/>
        <v>8.1767156999620842E-3</v>
      </c>
      <c r="DT52" s="13">
        <f t="shared" si="151"/>
        <v>0</v>
      </c>
      <c r="DU52" s="13">
        <f t="shared" si="151"/>
        <v>2.9004211697594273E-2</v>
      </c>
      <c r="DV52" s="13">
        <f t="shared" si="151"/>
        <v>4.4131211781221612E-2</v>
      </c>
      <c r="DW52" s="13">
        <f t="shared" si="151"/>
        <v>6.0940952548377045E-2</v>
      </c>
      <c r="DX52" s="13">
        <f t="shared" si="151"/>
        <v>1.5934012838027794E-2</v>
      </c>
      <c r="DY52" s="13">
        <f t="shared" si="151"/>
        <v>0</v>
      </c>
      <c r="DZ52" s="13">
        <f t="shared" si="151"/>
        <v>0.28722568972065871</v>
      </c>
      <c r="EA52" s="12">
        <f t="shared" si="45"/>
        <v>1</v>
      </c>
      <c r="EB52" s="26"/>
      <c r="EC52" s="30">
        <f t="shared" si="46"/>
        <v>1223</v>
      </c>
      <c r="ED52" s="14">
        <f t="shared" si="98"/>
        <v>1000000000</v>
      </c>
      <c r="EE52" s="29"/>
      <c r="EF52" s="184">
        <f t="shared" si="122"/>
        <v>-10.285940310711366</v>
      </c>
      <c r="EG52" s="13">
        <f t="shared" si="99"/>
        <v>0.6</v>
      </c>
      <c r="EH52" s="13">
        <f t="shared" si="100"/>
        <v>0.36223630417007335</v>
      </c>
      <c r="EI52" s="12">
        <f t="shared" si="47"/>
        <v>5.0390425183973839</v>
      </c>
      <c r="EJ52" s="29"/>
      <c r="EK52" s="28">
        <f t="shared" si="101"/>
        <v>-1.9963389826518032</v>
      </c>
      <c r="EL52" s="24">
        <f t="shared" si="102"/>
        <v>-0.8668428061883644</v>
      </c>
      <c r="EM52" s="24">
        <f t="shared" si="103"/>
        <v>0.13583165611681886</v>
      </c>
      <c r="EN52" s="24">
        <f t="shared" si="104"/>
        <v>4.961505732156949E-2</v>
      </c>
      <c r="EO52" s="24">
        <f t="shared" si="105"/>
        <v>6.739295404319683E-3</v>
      </c>
      <c r="EP52" s="24">
        <f t="shared" si="106"/>
        <v>0.21362833198078932</v>
      </c>
      <c r="EQ52" s="24">
        <f t="shared" si="107"/>
        <v>-1.9960213639250393</v>
      </c>
      <c r="ER52" s="24">
        <f t="shared" si="48"/>
        <v>-23.68197034538381</v>
      </c>
      <c r="ES52" s="25">
        <f t="shared" si="49"/>
        <v>-10.28309611176023</v>
      </c>
      <c r="ET52" s="26"/>
      <c r="EU52" s="23">
        <f t="shared" si="123"/>
        <v>-3.4678533634937416</v>
      </c>
      <c r="EV52" s="12">
        <f t="shared" si="50"/>
        <v>3.4040722902028975E-4</v>
      </c>
      <c r="EW52" s="26"/>
      <c r="EX52" s="27">
        <f t="shared" si="108"/>
        <v>0.11181576977811693</v>
      </c>
      <c r="EY52" s="26"/>
      <c r="EZ52" s="23">
        <f t="shared" si="128"/>
        <v>-7.6464466046828425</v>
      </c>
      <c r="FA52" s="13">
        <f t="shared" si="52"/>
        <v>14.644395065249299</v>
      </c>
      <c r="FB52" s="13">
        <f t="shared" si="129"/>
        <v>-25.250456749217264</v>
      </c>
      <c r="FC52" s="13">
        <f t="shared" si="130"/>
        <v>0.17279276540833166</v>
      </c>
      <c r="FD52" s="12">
        <f t="shared" si="55"/>
        <v>0.54309102937478981</v>
      </c>
      <c r="FE52" s="13"/>
      <c r="FF52" s="23">
        <f t="shared" si="131"/>
        <v>-6.8371320890878708</v>
      </c>
      <c r="FG52" s="13">
        <f t="shared" si="132"/>
        <v>12.720620206056534</v>
      </c>
      <c r="FH52" s="13">
        <f t="shared" si="133"/>
        <v>13.762131068747948</v>
      </c>
      <c r="FI52" s="24">
        <f t="shared" si="134"/>
        <v>8.8256064395532907E-2</v>
      </c>
      <c r="FJ52" s="25">
        <f t="shared" si="135"/>
        <v>0.51575743523379192</v>
      </c>
      <c r="FK52" s="13"/>
      <c r="FL52" s="23">
        <f t="shared" si="110"/>
        <v>12.155752280962105</v>
      </c>
      <c r="FM52" s="13">
        <f t="shared" si="124"/>
        <v>-6.8918486249771096</v>
      </c>
      <c r="FN52" s="13">
        <f t="shared" si="136"/>
        <v>-1.5242797154835195</v>
      </c>
      <c r="FO52" s="13">
        <f t="shared" si="60"/>
        <v>2.9035131743558873E-2</v>
      </c>
      <c r="FP52" s="23">
        <f t="shared" si="137"/>
        <v>-2.4171660605366689</v>
      </c>
      <c r="FQ52" s="13">
        <f t="shared" si="138"/>
        <v>3.8121954634297017E-3</v>
      </c>
      <c r="FR52" s="13">
        <f t="shared" si="139"/>
        <v>-2.067206943611076</v>
      </c>
      <c r="FS52" s="13">
        <f t="shared" si="115"/>
        <v>8.4935374422262511E-3</v>
      </c>
      <c r="FT52" s="13">
        <f t="shared" si="140"/>
        <v>-2.5071088242324961</v>
      </c>
      <c r="FU52" s="12">
        <f t="shared" si="117"/>
        <v>3.1012887969041891E-3</v>
      </c>
      <c r="FV52" s="22"/>
      <c r="FW52" s="11">
        <f t="shared" si="141"/>
        <v>0.6</v>
      </c>
      <c r="FX52" s="10">
        <f t="shared" si="142"/>
        <v>0.36223630417007335</v>
      </c>
      <c r="FY52" s="10">
        <f t="shared" si="143"/>
        <v>5.0390425183973839</v>
      </c>
      <c r="FZ52" s="5">
        <f t="shared" si="144"/>
        <v>-10.285940310711366</v>
      </c>
      <c r="GA52" s="10">
        <f t="shared" si="145"/>
        <v>0.21362833198078932</v>
      </c>
      <c r="GB52" s="9">
        <f t="shared" si="118"/>
        <v>12.155752280962105</v>
      </c>
      <c r="GC52" s="8">
        <f t="shared" si="119"/>
        <v>-6.8918486249771096</v>
      </c>
      <c r="GD52" s="8">
        <f t="shared" si="120"/>
        <v>2.9035131743558873E-2</v>
      </c>
      <c r="GE52" s="7">
        <f t="shared" si="121"/>
        <v>3.8121954634297017E-3</v>
      </c>
      <c r="GF52" s="6">
        <f t="shared" si="146"/>
        <v>8.8256064395532907E-2</v>
      </c>
      <c r="GG52" s="5">
        <f t="shared" si="147"/>
        <v>0.51575743523379192</v>
      </c>
      <c r="GH52" s="4">
        <f t="shared" si="148"/>
        <v>0.54309102937478981</v>
      </c>
      <c r="GI52" s="4">
        <f t="shared" si="149"/>
        <v>0.11181576977811693</v>
      </c>
      <c r="GJ52" s="4">
        <f t="shared" si="150"/>
        <v>3.4040722902028975E-4</v>
      </c>
      <c r="GK52" s="1"/>
    </row>
    <row r="53" spans="1:193" x14ac:dyDescent="0.4">
      <c r="A53" s="34"/>
      <c r="B53" s="21"/>
      <c r="C53" s="21"/>
      <c r="D53" s="34"/>
      <c r="E53" s="34"/>
      <c r="F53" s="20" t="s">
        <v>84</v>
      </c>
      <c r="G53" s="19">
        <v>950</v>
      </c>
      <c r="H53" s="18">
        <v>1</v>
      </c>
      <c r="I53" s="17">
        <v>1</v>
      </c>
      <c r="J53" s="16">
        <v>52.63</v>
      </c>
      <c r="K53" s="16">
        <v>1.18</v>
      </c>
      <c r="L53" s="16">
        <v>17.13</v>
      </c>
      <c r="M53" s="16">
        <v>0</v>
      </c>
      <c r="N53" s="16">
        <f t="shared" si="153"/>
        <v>6.3739999999999997</v>
      </c>
      <c r="O53" s="16">
        <v>0</v>
      </c>
      <c r="P53" s="16">
        <v>2.71</v>
      </c>
      <c r="Q53" s="16">
        <v>5.74</v>
      </c>
      <c r="R53" s="16">
        <v>4.38</v>
      </c>
      <c r="S53" s="16">
        <v>1.74</v>
      </c>
      <c r="T53" s="16">
        <v>0</v>
      </c>
      <c r="U53" s="15">
        <v>6</v>
      </c>
      <c r="V53" s="16"/>
      <c r="W53" s="28">
        <f t="shared" si="71"/>
        <v>53.767725062318682</v>
      </c>
      <c r="X53" s="24">
        <f t="shared" si="155"/>
        <v>1.2055085611540193</v>
      </c>
      <c r="Y53" s="24">
        <f t="shared" si="155"/>
        <v>17.500306485227416</v>
      </c>
      <c r="Z53" s="24">
        <f t="shared" si="154"/>
        <v>0</v>
      </c>
      <c r="AA53" s="24">
        <f t="shared" si="154"/>
        <v>6.5117894650811179</v>
      </c>
      <c r="AB53" s="24">
        <f t="shared" si="154"/>
        <v>0</v>
      </c>
      <c r="AC53" s="24">
        <f t="shared" si="154"/>
        <v>2.7685832209554171</v>
      </c>
      <c r="AD53" s="24">
        <f t="shared" si="154"/>
        <v>5.8640840178170093</v>
      </c>
      <c r="AE53" s="24">
        <f t="shared" si="154"/>
        <v>4.4746843202157667</v>
      </c>
      <c r="AF53" s="24">
        <f t="shared" si="154"/>
        <v>1.777614318989825</v>
      </c>
      <c r="AG53" s="24">
        <f t="shared" si="154"/>
        <v>0</v>
      </c>
      <c r="AH53" s="24">
        <f t="shared" si="154"/>
        <v>6.1297045482407766</v>
      </c>
      <c r="AI53" s="14">
        <f t="shared" si="72"/>
        <v>100.00000000000004</v>
      </c>
      <c r="AJ53" s="26"/>
      <c r="AK53" s="50">
        <f t="shared" si="73"/>
        <v>0.89478657118187188</v>
      </c>
      <c r="AL53" s="47">
        <f t="shared" si="74"/>
        <v>1.5087716660250553E-2</v>
      </c>
      <c r="AM53" s="47">
        <f t="shared" si="75"/>
        <v>0.17163894159697349</v>
      </c>
      <c r="AN53" s="49">
        <f t="shared" si="76"/>
        <v>0</v>
      </c>
      <c r="AO53" s="49">
        <f t="shared" si="77"/>
        <v>9.0630333543230593E-2</v>
      </c>
      <c r="AP53" s="47">
        <f t="shared" si="78"/>
        <v>0</v>
      </c>
      <c r="AQ53" s="47">
        <f t="shared" si="79"/>
        <v>6.8665258456235542E-2</v>
      </c>
      <c r="AR53" s="47">
        <f t="shared" si="80"/>
        <v>0.10456640545322771</v>
      </c>
      <c r="AS53" s="47">
        <f t="shared" si="81"/>
        <v>7.2195616654013667E-2</v>
      </c>
      <c r="AT53" s="47">
        <f t="shared" si="82"/>
        <v>1.8870640328979033E-2</v>
      </c>
      <c r="AU53" s="47">
        <f t="shared" si="83"/>
        <v>0</v>
      </c>
      <c r="AV53" s="47">
        <f t="shared" si="84"/>
        <v>0.34016118469704643</v>
      </c>
      <c r="AW53" s="47">
        <f t="shared" si="85"/>
        <v>1.4364414838747823</v>
      </c>
      <c r="AX53" s="47">
        <f t="shared" si="86"/>
        <v>6.837908918236775E-2</v>
      </c>
      <c r="AY53" s="46">
        <f t="shared" si="87"/>
        <v>1.112915644762784E-2</v>
      </c>
      <c r="AZ53" s="26"/>
      <c r="BA53" s="23">
        <f t="shared" si="88"/>
        <v>0.62291891540767586</v>
      </c>
      <c r="BB53" s="13">
        <f t="shared" si="6"/>
        <v>1.0503537268745283E-2</v>
      </c>
      <c r="BC53" s="13">
        <f t="shared" si="7"/>
        <v>0.11948898964821014</v>
      </c>
      <c r="BD53" s="13">
        <f t="shared" si="8"/>
        <v>0</v>
      </c>
      <c r="BE53" s="13">
        <f t="shared" si="9"/>
        <v>6.309364813020886E-2</v>
      </c>
      <c r="BF53" s="13">
        <f t="shared" si="10"/>
        <v>4.7603115024160987E-2</v>
      </c>
      <c r="BG53" s="13">
        <f t="shared" si="11"/>
        <v>7.7477269854439772E-3</v>
      </c>
      <c r="BH53" s="13">
        <f t="shared" si="12"/>
        <v>0</v>
      </c>
      <c r="BI53" s="13">
        <f t="shared" si="13"/>
        <v>4.7802335999801326E-2</v>
      </c>
      <c r="BJ53" s="13">
        <f t="shared" si="14"/>
        <v>7.2795450860386732E-2</v>
      </c>
      <c r="BK53" s="13">
        <f t="shared" si="15"/>
        <v>5.0260047112581939E-2</v>
      </c>
      <c r="BL53" s="13">
        <f t="shared" si="16"/>
        <v>1.3137075572389989E-2</v>
      </c>
      <c r="BM53" s="13">
        <f t="shared" si="17"/>
        <v>0</v>
      </c>
      <c r="BN53" s="13">
        <f t="shared" si="18"/>
        <v>0.23680824350704913</v>
      </c>
      <c r="BO53" s="12">
        <f t="shared" si="89"/>
        <v>1.0000000000000002</v>
      </c>
      <c r="BP53" s="13"/>
      <c r="BQ53" s="23">
        <f t="shared" si="90"/>
        <v>1.7895731423637438</v>
      </c>
      <c r="BR53" s="13">
        <f t="shared" si="19"/>
        <v>3.0175433320501106E-2</v>
      </c>
      <c r="BS53" s="13">
        <f t="shared" si="20"/>
        <v>0.51471489662433578</v>
      </c>
      <c r="BT53" s="13">
        <f t="shared" si="21"/>
        <v>0</v>
      </c>
      <c r="BU53" s="13">
        <f t="shared" si="22"/>
        <v>9.0630333543230593E-2</v>
      </c>
      <c r="BV53" s="13">
        <f t="shared" si="91"/>
        <v>6.837908918236775E-2</v>
      </c>
      <c r="BW53" s="24">
        <f t="shared" si="92"/>
        <v>3.3387469342883523E-2</v>
      </c>
      <c r="BX53" s="13">
        <f t="shared" si="23"/>
        <v>0</v>
      </c>
      <c r="BY53" s="13">
        <f t="shared" si="24"/>
        <v>6.8699335507578591E-2</v>
      </c>
      <c r="BZ53" s="13">
        <f t="shared" si="25"/>
        <v>0.10452912687730855</v>
      </c>
      <c r="CA53" s="13">
        <f t="shared" si="26"/>
        <v>7.2172327745415585E-2</v>
      </c>
      <c r="CB53" s="13">
        <f t="shared" si="27"/>
        <v>1.8870640328979033E-2</v>
      </c>
      <c r="CC53" s="13">
        <f t="shared" si="28"/>
        <v>0</v>
      </c>
      <c r="CD53" s="13">
        <f t="shared" si="93"/>
        <v>0.34016118469704643</v>
      </c>
      <c r="CE53" s="12">
        <f t="shared" si="94"/>
        <v>3.0295264210081392</v>
      </c>
      <c r="CF53" s="13"/>
      <c r="CG53" s="23">
        <f t="shared" si="127"/>
        <v>0.59071052490383147</v>
      </c>
      <c r="CH53" s="13">
        <f t="shared" si="127"/>
        <v>9.9604456694124457E-3</v>
      </c>
      <c r="CI53" s="13">
        <f t="shared" si="127"/>
        <v>0.16989945790043762</v>
      </c>
      <c r="CJ53" s="13">
        <f t="shared" si="127"/>
        <v>0</v>
      </c>
      <c r="CK53" s="13">
        <f t="shared" si="127"/>
        <v>2.991567689086911E-2</v>
      </c>
      <c r="CL53" s="13">
        <f t="shared" si="127"/>
        <v>2.2570883920402702E-2</v>
      </c>
      <c r="CM53" s="13">
        <f t="shared" si="127"/>
        <v>1.102068927716205E-2</v>
      </c>
      <c r="CN53" s="13">
        <f t="shared" si="127"/>
        <v>0</v>
      </c>
      <c r="CO53" s="13">
        <f t="shared" si="127"/>
        <v>2.2676592298778313E-2</v>
      </c>
      <c r="CP53" s="13">
        <f t="shared" si="156"/>
        <v>3.4503454451644711E-2</v>
      </c>
      <c r="CQ53" s="13">
        <f t="shared" si="156"/>
        <v>2.3822973533070793E-2</v>
      </c>
      <c r="CR53" s="13">
        <f t="shared" si="156"/>
        <v>6.2289076596663004E-3</v>
      </c>
      <c r="CS53" s="13">
        <f t="shared" si="156"/>
        <v>0</v>
      </c>
      <c r="CT53" s="13">
        <f t="shared" si="156"/>
        <v>0.11228196669228935</v>
      </c>
      <c r="CU53" s="12">
        <f t="shared" si="30"/>
        <v>1.0000000000000002</v>
      </c>
      <c r="CV53" s="26"/>
      <c r="CW53" s="23">
        <f t="shared" si="31"/>
        <v>0.89478657118187188</v>
      </c>
      <c r="CX53" s="13">
        <f t="shared" si="32"/>
        <v>1.5087716660250553E-2</v>
      </c>
      <c r="CY53" s="13">
        <f t="shared" si="33"/>
        <v>0.34314326441622384</v>
      </c>
      <c r="CZ53" s="13">
        <f t="shared" si="34"/>
        <v>0</v>
      </c>
      <c r="DA53" s="13">
        <f t="shared" si="35"/>
        <v>7.9944289693593323E-2</v>
      </c>
      <c r="DB53" s="13">
        <f t="shared" si="36"/>
        <v>6.837908918236775E-2</v>
      </c>
      <c r="DC53" s="24">
        <f t="shared" si="37"/>
        <v>2.2258312895255681E-2</v>
      </c>
      <c r="DD53" s="13">
        <f t="shared" si="38"/>
        <v>0</v>
      </c>
      <c r="DE53" s="13">
        <f t="shared" si="39"/>
        <v>6.8699335507578591E-2</v>
      </c>
      <c r="DF53" s="13">
        <f t="shared" si="40"/>
        <v>0.10452912687730855</v>
      </c>
      <c r="DG53" s="13">
        <f t="shared" si="41"/>
        <v>0.14434465549083117</v>
      </c>
      <c r="DH53" s="13">
        <f t="shared" si="42"/>
        <v>3.7741280657958065E-2</v>
      </c>
      <c r="DI53" s="13">
        <f t="shared" si="43"/>
        <v>0</v>
      </c>
      <c r="DJ53" s="13">
        <f t="shared" si="95"/>
        <v>0.68032236939409285</v>
      </c>
      <c r="DK53" s="12">
        <f t="shared" si="96"/>
        <v>2.3685986098797089</v>
      </c>
      <c r="DL53" s="26"/>
      <c r="DM53" s="23">
        <f t="shared" si="152"/>
        <v>0.3777704535709891</v>
      </c>
      <c r="DN53" s="13">
        <f t="shared" si="152"/>
        <v>6.3698917145851037E-3</v>
      </c>
      <c r="DO53" s="13">
        <f t="shared" si="151"/>
        <v>0.14487185080027157</v>
      </c>
      <c r="DP53" s="13">
        <f t="shared" si="151"/>
        <v>0</v>
      </c>
      <c r="DQ53" s="13">
        <f t="shared" si="151"/>
        <v>3.3751725328274744E-2</v>
      </c>
      <c r="DR53" s="13">
        <f t="shared" si="151"/>
        <v>2.8869006718635386E-2</v>
      </c>
      <c r="DS53" s="13">
        <f t="shared" si="151"/>
        <v>9.3972498347392377E-3</v>
      </c>
      <c r="DT53" s="13">
        <f t="shared" si="151"/>
        <v>0</v>
      </c>
      <c r="DU53" s="13">
        <f t="shared" si="151"/>
        <v>2.9004211697594273E-2</v>
      </c>
      <c r="DV53" s="13">
        <f t="shared" si="151"/>
        <v>4.4131211781221612E-2</v>
      </c>
      <c r="DW53" s="13">
        <f t="shared" si="151"/>
        <v>6.0940952548377045E-2</v>
      </c>
      <c r="DX53" s="13">
        <f t="shared" si="151"/>
        <v>1.5934012838027794E-2</v>
      </c>
      <c r="DY53" s="13">
        <f t="shared" si="151"/>
        <v>0</v>
      </c>
      <c r="DZ53" s="13">
        <f t="shared" si="151"/>
        <v>0.28722568972065871</v>
      </c>
      <c r="EA53" s="12">
        <f t="shared" si="45"/>
        <v>1</v>
      </c>
      <c r="EB53" s="26"/>
      <c r="EC53" s="30">
        <f t="shared" si="46"/>
        <v>1223</v>
      </c>
      <c r="ED53" s="14">
        <f t="shared" si="98"/>
        <v>1000000000</v>
      </c>
      <c r="EE53" s="29"/>
      <c r="EF53" s="184">
        <f t="shared" si="122"/>
        <v>-9.8859403107113657</v>
      </c>
      <c r="EG53" s="13">
        <f t="shared" si="99"/>
        <v>1</v>
      </c>
      <c r="EH53" s="13">
        <f t="shared" si="100"/>
        <v>0.76223630417007371</v>
      </c>
      <c r="EI53" s="12">
        <f t="shared" si="47"/>
        <v>5.4390425183973843</v>
      </c>
      <c r="EJ53" s="29"/>
      <c r="EK53" s="28">
        <f t="shared" si="101"/>
        <v>-1.8158163113610695</v>
      </c>
      <c r="EL53" s="24">
        <f t="shared" si="102"/>
        <v>-0.78845693068218392</v>
      </c>
      <c r="EM53" s="24">
        <f t="shared" si="103"/>
        <v>0.16270503619548476</v>
      </c>
      <c r="EN53" s="24">
        <f t="shared" si="104"/>
        <v>4.7603115024160987E-2</v>
      </c>
      <c r="EO53" s="24">
        <f t="shared" si="105"/>
        <v>7.7452665530239381E-3</v>
      </c>
      <c r="EP53" s="24">
        <f t="shared" si="106"/>
        <v>0.2455165229006801</v>
      </c>
      <c r="EQ53" s="24">
        <f t="shared" si="107"/>
        <v>-1.8154986926343057</v>
      </c>
      <c r="ER53" s="24">
        <f t="shared" si="48"/>
        <v>-22.760936308186192</v>
      </c>
      <c r="ES53" s="25">
        <f t="shared" si="49"/>
        <v>-9.883168175504208</v>
      </c>
      <c r="ET53" s="26"/>
      <c r="EU53" s="23">
        <f t="shared" si="123"/>
        <v>-2.8406533634937396</v>
      </c>
      <c r="EV53" s="12">
        <f t="shared" si="50"/>
        <v>1.4411868326875688E-3</v>
      </c>
      <c r="EW53" s="26"/>
      <c r="EX53" s="27">
        <f t="shared" si="108"/>
        <v>0.44268836623770724</v>
      </c>
      <c r="EY53" s="26"/>
      <c r="EZ53" s="23">
        <f t="shared" si="128"/>
        <v>-7.6464466046828425</v>
      </c>
      <c r="FA53" s="13">
        <f t="shared" si="52"/>
        <v>14.627933562571194</v>
      </c>
      <c r="FB53" s="13">
        <f t="shared" si="129"/>
        <v>-25.250456749217264</v>
      </c>
      <c r="FC53" s="13">
        <f t="shared" si="130"/>
        <v>1.9983993371254698</v>
      </c>
      <c r="FD53" s="12">
        <f t="shared" si="55"/>
        <v>0.88062891618028616</v>
      </c>
      <c r="FE53" s="13"/>
      <c r="FF53" s="23">
        <f t="shared" si="131"/>
        <v>-6.8568172960954605</v>
      </c>
      <c r="FG53" s="13">
        <f t="shared" si="132"/>
        <v>12.720620206056534</v>
      </c>
      <c r="FH53" s="13">
        <f t="shared" si="133"/>
        <v>13.762131068747948</v>
      </c>
      <c r="FI53" s="24">
        <f t="shared" si="134"/>
        <v>0.38990255821458064</v>
      </c>
      <c r="FJ53" s="25">
        <f t="shared" si="135"/>
        <v>0.87549521733213154</v>
      </c>
      <c r="FK53" s="13"/>
      <c r="FL53" s="23">
        <f t="shared" si="110"/>
        <v>12.155752280962105</v>
      </c>
      <c r="FM53" s="13">
        <f t="shared" si="124"/>
        <v>-6.8998116497409194</v>
      </c>
      <c r="FN53" s="13">
        <f t="shared" si="136"/>
        <v>-0.71631669071970805</v>
      </c>
      <c r="FO53" s="13">
        <f t="shared" si="60"/>
        <v>0.16119274384814064</v>
      </c>
      <c r="FP53" s="23">
        <f t="shared" si="137"/>
        <v>-1.6092030357728575</v>
      </c>
      <c r="FQ53" s="13">
        <f t="shared" si="138"/>
        <v>2.4001916961168601E-2</v>
      </c>
      <c r="FR53" s="13">
        <f t="shared" si="139"/>
        <v>-1.2592439188472646</v>
      </c>
      <c r="FS53" s="13">
        <f t="shared" si="115"/>
        <v>5.2177480463905912E-2</v>
      </c>
      <c r="FT53" s="13">
        <f t="shared" si="140"/>
        <v>-1.6991457994686847</v>
      </c>
      <c r="FU53" s="12">
        <f t="shared" si="117"/>
        <v>1.9600063349679564E-2</v>
      </c>
      <c r="FV53" s="22"/>
      <c r="FW53" s="11">
        <f t="shared" si="141"/>
        <v>1</v>
      </c>
      <c r="FX53" s="10">
        <f t="shared" si="142"/>
        <v>0.76223630417007371</v>
      </c>
      <c r="FY53" s="10">
        <f t="shared" si="143"/>
        <v>5.4390425183973843</v>
      </c>
      <c r="FZ53" s="5">
        <f t="shared" si="144"/>
        <v>-9.8859403107113657</v>
      </c>
      <c r="GA53" s="10">
        <f t="shared" si="145"/>
        <v>0.2455165229006801</v>
      </c>
      <c r="GB53" s="9">
        <f t="shared" si="118"/>
        <v>12.155752280962105</v>
      </c>
      <c r="GC53" s="8">
        <f t="shared" si="119"/>
        <v>-6.8998116497409194</v>
      </c>
      <c r="GD53" s="8">
        <f t="shared" si="120"/>
        <v>0.16119274384814064</v>
      </c>
      <c r="GE53" s="7">
        <f t="shared" si="121"/>
        <v>2.4001916961168601E-2</v>
      </c>
      <c r="GF53" s="6">
        <f t="shared" si="146"/>
        <v>0.38990255821458064</v>
      </c>
      <c r="GG53" s="5">
        <f t="shared" si="147"/>
        <v>0.87549521733213154</v>
      </c>
      <c r="GH53" s="4">
        <f t="shared" si="148"/>
        <v>0.88062891618028616</v>
      </c>
      <c r="GI53" s="4">
        <f t="shared" si="149"/>
        <v>0.44268836623770724</v>
      </c>
      <c r="GJ53" s="4">
        <f t="shared" si="150"/>
        <v>1.4411868326875688E-3</v>
      </c>
      <c r="GK53" s="1"/>
    </row>
    <row r="54" spans="1:193" x14ac:dyDescent="0.4">
      <c r="A54" s="34"/>
      <c r="B54" s="21"/>
      <c r="C54" s="21"/>
      <c r="D54" s="34"/>
      <c r="E54" s="34"/>
      <c r="F54" s="20" t="s">
        <v>84</v>
      </c>
      <c r="G54" s="19">
        <v>950</v>
      </c>
      <c r="H54" s="18">
        <v>1</v>
      </c>
      <c r="I54" s="17">
        <v>1.4</v>
      </c>
      <c r="J54" s="16">
        <v>52.63</v>
      </c>
      <c r="K54" s="16">
        <v>1.18</v>
      </c>
      <c r="L54" s="16">
        <v>17.13</v>
      </c>
      <c r="M54" s="16">
        <v>0</v>
      </c>
      <c r="N54" s="16">
        <f t="shared" si="153"/>
        <v>6.3739999999999997</v>
      </c>
      <c r="O54" s="16">
        <v>0</v>
      </c>
      <c r="P54" s="16">
        <v>2.71</v>
      </c>
      <c r="Q54" s="16">
        <v>5.74</v>
      </c>
      <c r="R54" s="16">
        <v>4.38</v>
      </c>
      <c r="S54" s="16">
        <v>1.74</v>
      </c>
      <c r="T54" s="16">
        <v>0</v>
      </c>
      <c r="U54" s="15">
        <v>6</v>
      </c>
      <c r="V54" s="16"/>
      <c r="W54" s="28">
        <f t="shared" si="71"/>
        <v>53.767725062318682</v>
      </c>
      <c r="X54" s="24">
        <f t="shared" si="155"/>
        <v>1.2055085611540193</v>
      </c>
      <c r="Y54" s="24">
        <f t="shared" si="155"/>
        <v>17.500306485227416</v>
      </c>
      <c r="Z54" s="24">
        <f t="shared" si="154"/>
        <v>0</v>
      </c>
      <c r="AA54" s="24">
        <f t="shared" si="154"/>
        <v>6.5117894650811179</v>
      </c>
      <c r="AB54" s="24">
        <f t="shared" si="154"/>
        <v>0</v>
      </c>
      <c r="AC54" s="24">
        <f t="shared" si="154"/>
        <v>2.7685832209554171</v>
      </c>
      <c r="AD54" s="24">
        <f t="shared" si="154"/>
        <v>5.8640840178170093</v>
      </c>
      <c r="AE54" s="24">
        <f t="shared" si="154"/>
        <v>4.4746843202157667</v>
      </c>
      <c r="AF54" s="24">
        <f t="shared" si="154"/>
        <v>1.777614318989825</v>
      </c>
      <c r="AG54" s="24">
        <f t="shared" si="154"/>
        <v>0</v>
      </c>
      <c r="AH54" s="24">
        <f t="shared" si="154"/>
        <v>6.1297045482407766</v>
      </c>
      <c r="AI54" s="14">
        <f t="shared" si="72"/>
        <v>100.00000000000004</v>
      </c>
      <c r="AJ54" s="26"/>
      <c r="AK54" s="50">
        <f t="shared" si="73"/>
        <v>0.89478657118187188</v>
      </c>
      <c r="AL54" s="47">
        <f t="shared" si="74"/>
        <v>1.5087716660250553E-2</v>
      </c>
      <c r="AM54" s="47">
        <f t="shared" si="75"/>
        <v>0.17163894159697349</v>
      </c>
      <c r="AN54" s="49">
        <f t="shared" si="76"/>
        <v>0</v>
      </c>
      <c r="AO54" s="49">
        <f t="shared" si="77"/>
        <v>9.0630333543230593E-2</v>
      </c>
      <c r="AP54" s="47">
        <f t="shared" si="78"/>
        <v>0</v>
      </c>
      <c r="AQ54" s="47">
        <f t="shared" si="79"/>
        <v>6.8665258456235542E-2</v>
      </c>
      <c r="AR54" s="47">
        <f t="shared" si="80"/>
        <v>0.10456640545322771</v>
      </c>
      <c r="AS54" s="47">
        <f t="shared" si="81"/>
        <v>7.2195616654013667E-2</v>
      </c>
      <c r="AT54" s="47">
        <f t="shared" si="82"/>
        <v>1.8870640328979033E-2</v>
      </c>
      <c r="AU54" s="47">
        <f t="shared" si="83"/>
        <v>0</v>
      </c>
      <c r="AV54" s="47">
        <f t="shared" si="84"/>
        <v>0.34016118469704643</v>
      </c>
      <c r="AW54" s="47">
        <f t="shared" si="85"/>
        <v>1.4364414838747823</v>
      </c>
      <c r="AX54" s="47">
        <f t="shared" si="86"/>
        <v>6.5211518346529967E-2</v>
      </c>
      <c r="AY54" s="46">
        <f t="shared" si="87"/>
        <v>1.2713444985350542E-2</v>
      </c>
      <c r="AZ54" s="26"/>
      <c r="BA54" s="23">
        <f t="shared" si="88"/>
        <v>0.62291891540767586</v>
      </c>
      <c r="BB54" s="13">
        <f t="shared" si="6"/>
        <v>1.0503537268745283E-2</v>
      </c>
      <c r="BC54" s="13">
        <f t="shared" si="7"/>
        <v>0.11948898964821014</v>
      </c>
      <c r="BD54" s="13">
        <f t="shared" si="8"/>
        <v>0</v>
      </c>
      <c r="BE54" s="13">
        <f t="shared" si="9"/>
        <v>6.309364813020886E-2</v>
      </c>
      <c r="BF54" s="13">
        <f t="shared" si="10"/>
        <v>4.5397963703069019E-2</v>
      </c>
      <c r="BG54" s="13">
        <f t="shared" si="11"/>
        <v>8.8506529002881397E-3</v>
      </c>
      <c r="BH54" s="13">
        <f t="shared" si="12"/>
        <v>0</v>
      </c>
      <c r="BI54" s="13">
        <f t="shared" si="13"/>
        <v>4.7802335999801326E-2</v>
      </c>
      <c r="BJ54" s="13">
        <f t="shared" si="14"/>
        <v>7.2795450860386732E-2</v>
      </c>
      <c r="BK54" s="13">
        <f t="shared" si="15"/>
        <v>5.0260047112581939E-2</v>
      </c>
      <c r="BL54" s="13">
        <f t="shared" si="16"/>
        <v>1.3137075572389989E-2</v>
      </c>
      <c r="BM54" s="13">
        <f t="shared" si="17"/>
        <v>0</v>
      </c>
      <c r="BN54" s="13">
        <f t="shared" si="18"/>
        <v>0.23680824350704913</v>
      </c>
      <c r="BO54" s="12">
        <f t="shared" si="89"/>
        <v>1.0000000000000002</v>
      </c>
      <c r="BP54" s="13"/>
      <c r="BQ54" s="23">
        <f t="shared" si="90"/>
        <v>1.7895731423637438</v>
      </c>
      <c r="BR54" s="13">
        <f t="shared" si="19"/>
        <v>3.0175433320501106E-2</v>
      </c>
      <c r="BS54" s="13">
        <f t="shared" si="20"/>
        <v>0.51471489662433578</v>
      </c>
      <c r="BT54" s="13">
        <f t="shared" si="21"/>
        <v>0</v>
      </c>
      <c r="BU54" s="13">
        <f t="shared" si="22"/>
        <v>9.0630333543230593E-2</v>
      </c>
      <c r="BV54" s="13">
        <f t="shared" si="91"/>
        <v>6.5211518346529967E-2</v>
      </c>
      <c r="BW54" s="24">
        <f t="shared" si="92"/>
        <v>3.8140334956051625E-2</v>
      </c>
      <c r="BX54" s="13">
        <f t="shared" si="23"/>
        <v>0</v>
      </c>
      <c r="BY54" s="13">
        <f t="shared" si="24"/>
        <v>6.8699335507578591E-2</v>
      </c>
      <c r="BZ54" s="13">
        <f t="shared" si="25"/>
        <v>0.10452912687730855</v>
      </c>
      <c r="CA54" s="13">
        <f t="shared" si="26"/>
        <v>7.2172327745415585E-2</v>
      </c>
      <c r="CB54" s="13">
        <f t="shared" si="27"/>
        <v>1.8870640328979033E-2</v>
      </c>
      <c r="CC54" s="13">
        <f t="shared" si="28"/>
        <v>0</v>
      </c>
      <c r="CD54" s="13">
        <f t="shared" si="93"/>
        <v>0.34016118469704643</v>
      </c>
      <c r="CE54" s="12">
        <f t="shared" si="94"/>
        <v>3.0295264210081392</v>
      </c>
      <c r="CF54" s="13"/>
      <c r="CG54" s="23">
        <f t="shared" si="127"/>
        <v>0.59071052490383147</v>
      </c>
      <c r="CH54" s="13">
        <f t="shared" si="127"/>
        <v>9.9604456694124457E-3</v>
      </c>
      <c r="CI54" s="13">
        <f t="shared" si="127"/>
        <v>0.16989945790043762</v>
      </c>
      <c r="CJ54" s="13">
        <f t="shared" si="127"/>
        <v>0</v>
      </c>
      <c r="CK54" s="13">
        <f t="shared" si="127"/>
        <v>2.991567689086911E-2</v>
      </c>
      <c r="CL54" s="13">
        <f t="shared" si="127"/>
        <v>2.1525317585720034E-2</v>
      </c>
      <c r="CM54" s="13">
        <f t="shared" si="127"/>
        <v>1.2589536995475227E-2</v>
      </c>
      <c r="CN54" s="13">
        <f t="shared" si="127"/>
        <v>0</v>
      </c>
      <c r="CO54" s="13">
        <f t="shared" si="127"/>
        <v>2.2676592298778313E-2</v>
      </c>
      <c r="CP54" s="13">
        <f t="shared" si="156"/>
        <v>3.4503454451644711E-2</v>
      </c>
      <c r="CQ54" s="13">
        <f t="shared" si="156"/>
        <v>2.3822973533070793E-2</v>
      </c>
      <c r="CR54" s="13">
        <f t="shared" si="156"/>
        <v>6.2289076596663004E-3</v>
      </c>
      <c r="CS54" s="13">
        <f t="shared" si="156"/>
        <v>0</v>
      </c>
      <c r="CT54" s="13">
        <f t="shared" si="156"/>
        <v>0.11228196669228935</v>
      </c>
      <c r="CU54" s="12">
        <f t="shared" si="30"/>
        <v>1.0000000000000002</v>
      </c>
      <c r="CV54" s="26"/>
      <c r="CW54" s="23">
        <f t="shared" si="31"/>
        <v>0.89478657118187188</v>
      </c>
      <c r="CX54" s="13">
        <f t="shared" si="32"/>
        <v>1.5087716660250553E-2</v>
      </c>
      <c r="CY54" s="13">
        <f t="shared" si="33"/>
        <v>0.34314326441622384</v>
      </c>
      <c r="CZ54" s="13">
        <f t="shared" si="34"/>
        <v>0</v>
      </c>
      <c r="DA54" s="13">
        <f t="shared" si="35"/>
        <v>7.9944289693593323E-2</v>
      </c>
      <c r="DB54" s="13">
        <f t="shared" si="36"/>
        <v>6.5211518346529967E-2</v>
      </c>
      <c r="DC54" s="24">
        <f t="shared" si="37"/>
        <v>2.5426889970701083E-2</v>
      </c>
      <c r="DD54" s="13">
        <f t="shared" si="38"/>
        <v>0</v>
      </c>
      <c r="DE54" s="13">
        <f t="shared" si="39"/>
        <v>6.8699335507578591E-2</v>
      </c>
      <c r="DF54" s="13">
        <f t="shared" si="40"/>
        <v>0.10452912687730855</v>
      </c>
      <c r="DG54" s="13">
        <f t="shared" si="41"/>
        <v>0.14434465549083117</v>
      </c>
      <c r="DH54" s="13">
        <f t="shared" si="42"/>
        <v>3.7741280657958065E-2</v>
      </c>
      <c r="DI54" s="13">
        <f t="shared" si="43"/>
        <v>0</v>
      </c>
      <c r="DJ54" s="13">
        <f t="shared" si="95"/>
        <v>0.68032236939409285</v>
      </c>
      <c r="DK54" s="12">
        <f t="shared" si="96"/>
        <v>2.3685986098797089</v>
      </c>
      <c r="DL54" s="26"/>
      <c r="DM54" s="23">
        <f t="shared" si="152"/>
        <v>0.3777704535709891</v>
      </c>
      <c r="DN54" s="13">
        <f t="shared" si="152"/>
        <v>6.3698917145851037E-3</v>
      </c>
      <c r="DO54" s="13">
        <f t="shared" si="151"/>
        <v>0.14487185080027157</v>
      </c>
      <c r="DP54" s="13">
        <f t="shared" si="151"/>
        <v>0</v>
      </c>
      <c r="DQ54" s="13">
        <f t="shared" si="151"/>
        <v>3.3751725328274744E-2</v>
      </c>
      <c r="DR54" s="13">
        <f t="shared" si="151"/>
        <v>2.7531688178201619E-2</v>
      </c>
      <c r="DS54" s="13">
        <f t="shared" si="151"/>
        <v>1.0734993200047688E-2</v>
      </c>
      <c r="DT54" s="13">
        <f t="shared" si="151"/>
        <v>0</v>
      </c>
      <c r="DU54" s="13">
        <f t="shared" si="151"/>
        <v>2.9004211697594273E-2</v>
      </c>
      <c r="DV54" s="13">
        <f t="shared" si="151"/>
        <v>4.4131211781221612E-2</v>
      </c>
      <c r="DW54" s="13">
        <f t="shared" si="151"/>
        <v>6.0940952548377045E-2</v>
      </c>
      <c r="DX54" s="13">
        <f t="shared" si="151"/>
        <v>1.5934012838027794E-2</v>
      </c>
      <c r="DY54" s="13">
        <f t="shared" si="151"/>
        <v>0</v>
      </c>
      <c r="DZ54" s="13">
        <f t="shared" si="151"/>
        <v>0.28722568972065871</v>
      </c>
      <c r="EA54" s="12">
        <f t="shared" si="45"/>
        <v>1</v>
      </c>
      <c r="EB54" s="26"/>
      <c r="EC54" s="30">
        <f t="shared" si="46"/>
        <v>1223</v>
      </c>
      <c r="ED54" s="14">
        <f t="shared" si="98"/>
        <v>1000000000</v>
      </c>
      <c r="EE54" s="29"/>
      <c r="EF54" s="184">
        <f t="shared" si="122"/>
        <v>-9.4859403107113653</v>
      </c>
      <c r="EG54" s="13">
        <f t="shared" si="99"/>
        <v>1.4</v>
      </c>
      <c r="EH54" s="13">
        <f t="shared" si="100"/>
        <v>1.1622363041700741</v>
      </c>
      <c r="EI54" s="12">
        <f t="shared" si="47"/>
        <v>5.8390425183973846</v>
      </c>
      <c r="EJ54" s="29"/>
      <c r="EK54" s="28">
        <f t="shared" si="101"/>
        <v>-1.6352936400703364</v>
      </c>
      <c r="EL54" s="24">
        <f t="shared" si="102"/>
        <v>-0.71007105517600366</v>
      </c>
      <c r="EM54" s="24">
        <f t="shared" si="103"/>
        <v>0.19489513387517385</v>
      </c>
      <c r="EN54" s="24">
        <f t="shared" si="104"/>
        <v>4.5397963703069019E-2</v>
      </c>
      <c r="EO54" s="24">
        <f t="shared" si="105"/>
        <v>8.8478422135699203E-3</v>
      </c>
      <c r="EP54" s="24">
        <f t="shared" si="106"/>
        <v>0.28046697174049212</v>
      </c>
      <c r="EQ54" s="24">
        <f t="shared" si="107"/>
        <v>-1.6349760213435724</v>
      </c>
      <c r="ER54" s="24">
        <f t="shared" si="48"/>
        <v>-21.839902270988578</v>
      </c>
      <c r="ES54" s="25">
        <f t="shared" si="49"/>
        <v>-9.4832402392481878</v>
      </c>
      <c r="ET54" s="26"/>
      <c r="EU54" s="23">
        <f t="shared" si="123"/>
        <v>-2.2134533634937377</v>
      </c>
      <c r="EV54" s="12">
        <f t="shared" si="50"/>
        <v>6.0799232885444532E-3</v>
      </c>
      <c r="EW54" s="26"/>
      <c r="EX54" s="27">
        <f t="shared" si="108"/>
        <v>0.83366246918343812</v>
      </c>
      <c r="EY54" s="26"/>
      <c r="EZ54" s="23">
        <f t="shared" si="128"/>
        <v>-7.6464466046828425</v>
      </c>
      <c r="FA54" s="13">
        <f t="shared" si="52"/>
        <v>14.609891243750951</v>
      </c>
      <c r="FB54" s="13">
        <f t="shared" si="129"/>
        <v>-25.250456749217264</v>
      </c>
      <c r="FC54" s="13">
        <f t="shared" si="130"/>
        <v>3.8224250927004633</v>
      </c>
      <c r="FD54" s="12">
        <f t="shared" si="55"/>
        <v>0.97859357060046681</v>
      </c>
      <c r="FE54" s="13"/>
      <c r="FF54" s="23">
        <f t="shared" si="131"/>
        <v>-6.8783928951047697</v>
      </c>
      <c r="FG54" s="13">
        <f t="shared" si="132"/>
        <v>12.720620206056534</v>
      </c>
      <c r="FH54" s="13">
        <f t="shared" si="133"/>
        <v>13.762131068747948</v>
      </c>
      <c r="FI54" s="24">
        <f t="shared" si="134"/>
        <v>0.80907731092257862</v>
      </c>
      <c r="FJ54" s="25">
        <f t="shared" si="135"/>
        <v>0.97900378418751532</v>
      </c>
      <c r="FK54" s="13"/>
      <c r="FL54" s="23">
        <f t="shared" si="110"/>
        <v>12.155752280962105</v>
      </c>
      <c r="FM54" s="13">
        <f t="shared" si="124"/>
        <v>-6.9085395776742908</v>
      </c>
      <c r="FN54" s="13">
        <f t="shared" si="136"/>
        <v>9.2411237213664066E-2</v>
      </c>
      <c r="FO54" s="13">
        <f t="shared" si="60"/>
        <v>0.55299637378543731</v>
      </c>
      <c r="FP54" s="23">
        <f t="shared" si="137"/>
        <v>-0.80047510783948539</v>
      </c>
      <c r="FQ54" s="13">
        <f t="shared" si="138"/>
        <v>0.13667775143699501</v>
      </c>
      <c r="FR54" s="13">
        <f t="shared" si="139"/>
        <v>-0.45051599091389249</v>
      </c>
      <c r="FS54" s="13">
        <f t="shared" si="115"/>
        <v>0.26166136534310247</v>
      </c>
      <c r="FT54" s="13">
        <f t="shared" si="140"/>
        <v>-0.8904178715353126</v>
      </c>
      <c r="FU54" s="12">
        <f t="shared" si="117"/>
        <v>0.11402581762171993</v>
      </c>
      <c r="FV54" s="22"/>
      <c r="FW54" s="11">
        <f t="shared" si="141"/>
        <v>1.4</v>
      </c>
      <c r="FX54" s="10">
        <f t="shared" si="142"/>
        <v>1.1622363041700741</v>
      </c>
      <c r="FY54" s="10">
        <f t="shared" si="143"/>
        <v>5.8390425183973846</v>
      </c>
      <c r="FZ54" s="5">
        <f t="shared" si="144"/>
        <v>-9.4859403107113653</v>
      </c>
      <c r="GA54" s="10">
        <f t="shared" si="145"/>
        <v>0.28046697174049212</v>
      </c>
      <c r="GB54" s="9">
        <f t="shared" si="118"/>
        <v>12.155752280962105</v>
      </c>
      <c r="GC54" s="8">
        <f t="shared" si="119"/>
        <v>-6.9085395776742908</v>
      </c>
      <c r="GD54" s="8">
        <f t="shared" si="120"/>
        <v>0.55299637378543731</v>
      </c>
      <c r="GE54" s="7">
        <f t="shared" si="121"/>
        <v>0.13667775143699501</v>
      </c>
      <c r="GF54" s="6">
        <f t="shared" si="146"/>
        <v>0.80907731092257862</v>
      </c>
      <c r="GG54" s="5">
        <f t="shared" si="147"/>
        <v>0.97900378418751532</v>
      </c>
      <c r="GH54" s="4">
        <f t="shared" si="148"/>
        <v>0.97859357060046681</v>
      </c>
      <c r="GI54" s="4">
        <f t="shared" si="149"/>
        <v>0.83366246918343812</v>
      </c>
      <c r="GJ54" s="4">
        <f t="shared" si="150"/>
        <v>6.0799232885444532E-3</v>
      </c>
      <c r="GK54" s="1"/>
    </row>
    <row r="55" spans="1:193" x14ac:dyDescent="0.4">
      <c r="A55" s="34"/>
      <c r="B55" s="21"/>
      <c r="C55" s="21"/>
      <c r="D55" s="34"/>
      <c r="E55" s="34"/>
      <c r="F55" s="20" t="s">
        <v>84</v>
      </c>
      <c r="G55" s="19">
        <v>950</v>
      </c>
      <c r="H55" s="18">
        <v>1</v>
      </c>
      <c r="I55" s="17">
        <v>1.8</v>
      </c>
      <c r="J55" s="16">
        <v>52.63</v>
      </c>
      <c r="K55" s="16">
        <v>1.18</v>
      </c>
      <c r="L55" s="16">
        <v>17.13</v>
      </c>
      <c r="M55" s="16">
        <v>0</v>
      </c>
      <c r="N55" s="16">
        <f t="shared" si="153"/>
        <v>6.3739999999999997</v>
      </c>
      <c r="O55" s="16">
        <v>0</v>
      </c>
      <c r="P55" s="16">
        <v>2.71</v>
      </c>
      <c r="Q55" s="16">
        <v>5.74</v>
      </c>
      <c r="R55" s="16">
        <v>4.38</v>
      </c>
      <c r="S55" s="16">
        <v>1.74</v>
      </c>
      <c r="T55" s="16">
        <v>0</v>
      </c>
      <c r="U55" s="15">
        <v>6</v>
      </c>
      <c r="V55" s="16"/>
      <c r="W55" s="28">
        <f t="shared" si="71"/>
        <v>53.767725062318682</v>
      </c>
      <c r="X55" s="24">
        <f t="shared" si="155"/>
        <v>1.2055085611540193</v>
      </c>
      <c r="Y55" s="24">
        <f t="shared" si="155"/>
        <v>17.500306485227416</v>
      </c>
      <c r="Z55" s="24">
        <f t="shared" si="154"/>
        <v>0</v>
      </c>
      <c r="AA55" s="24">
        <f t="shared" si="154"/>
        <v>6.5117894650811179</v>
      </c>
      <c r="AB55" s="24">
        <f t="shared" si="154"/>
        <v>0</v>
      </c>
      <c r="AC55" s="24">
        <f t="shared" si="154"/>
        <v>2.7685832209554171</v>
      </c>
      <c r="AD55" s="24">
        <f t="shared" si="154"/>
        <v>5.8640840178170093</v>
      </c>
      <c r="AE55" s="24">
        <f t="shared" si="154"/>
        <v>4.4746843202157667</v>
      </c>
      <c r="AF55" s="24">
        <f t="shared" si="154"/>
        <v>1.777614318989825</v>
      </c>
      <c r="AG55" s="24">
        <f t="shared" si="154"/>
        <v>0</v>
      </c>
      <c r="AH55" s="24">
        <f t="shared" si="154"/>
        <v>6.1297045482407766</v>
      </c>
      <c r="AI55" s="14">
        <f t="shared" si="72"/>
        <v>100.00000000000004</v>
      </c>
      <c r="AJ55" s="26"/>
      <c r="AK55" s="50">
        <f t="shared" si="73"/>
        <v>0.89478657118187188</v>
      </c>
      <c r="AL55" s="47">
        <f t="shared" si="74"/>
        <v>1.5087716660250553E-2</v>
      </c>
      <c r="AM55" s="47">
        <f t="shared" si="75"/>
        <v>0.17163894159697349</v>
      </c>
      <c r="AN55" s="49">
        <f t="shared" si="76"/>
        <v>0</v>
      </c>
      <c r="AO55" s="49">
        <f t="shared" si="77"/>
        <v>9.0630333543230593E-2</v>
      </c>
      <c r="AP55" s="47">
        <f t="shared" si="78"/>
        <v>0</v>
      </c>
      <c r="AQ55" s="47">
        <f t="shared" si="79"/>
        <v>6.8665258456235542E-2</v>
      </c>
      <c r="AR55" s="47">
        <f t="shared" si="80"/>
        <v>0.10456640545322771</v>
      </c>
      <c r="AS55" s="47">
        <f t="shared" si="81"/>
        <v>7.2195616654013667E-2</v>
      </c>
      <c r="AT55" s="47">
        <f t="shared" si="82"/>
        <v>1.8870640328979033E-2</v>
      </c>
      <c r="AU55" s="47">
        <f t="shared" si="83"/>
        <v>0</v>
      </c>
      <c r="AV55" s="47">
        <f t="shared" si="84"/>
        <v>0.34016118469704643</v>
      </c>
      <c r="AW55" s="47">
        <f t="shared" si="85"/>
        <v>1.4364414838747823</v>
      </c>
      <c r="AX55" s="47">
        <f t="shared" si="86"/>
        <v>6.178325773983534E-2</v>
      </c>
      <c r="AY55" s="46">
        <f t="shared" si="87"/>
        <v>1.4428119815053621E-2</v>
      </c>
      <c r="AZ55" s="26"/>
      <c r="BA55" s="23">
        <f>IF(OR(AW55="",$AK55=""),"",AK55/$AW55)</f>
        <v>0.62291891540767586</v>
      </c>
      <c r="BB55" s="13">
        <f t="shared" si="6"/>
        <v>1.0503537268745283E-2</v>
      </c>
      <c r="BC55" s="13">
        <f t="shared" si="7"/>
        <v>0.11948898964821014</v>
      </c>
      <c r="BD55" s="13">
        <f t="shared" si="8"/>
        <v>0</v>
      </c>
      <c r="BE55" s="13">
        <f t="shared" si="9"/>
        <v>6.309364813020886E-2</v>
      </c>
      <c r="BF55" s="13">
        <f t="shared" si="10"/>
        <v>4.301132933948399E-2</v>
      </c>
      <c r="BG55" s="13">
        <f t="shared" si="11"/>
        <v>1.0044349162162843E-2</v>
      </c>
      <c r="BH55" s="13">
        <f t="shared" si="12"/>
        <v>0</v>
      </c>
      <c r="BI55" s="13">
        <f t="shared" si="13"/>
        <v>4.7802335999801326E-2</v>
      </c>
      <c r="BJ55" s="13">
        <f t="shared" si="14"/>
        <v>7.2795450860386732E-2</v>
      </c>
      <c r="BK55" s="13">
        <f t="shared" si="15"/>
        <v>5.0260047112581939E-2</v>
      </c>
      <c r="BL55" s="13">
        <f t="shared" si="16"/>
        <v>1.3137075572389989E-2</v>
      </c>
      <c r="BM55" s="13">
        <f t="shared" si="17"/>
        <v>0</v>
      </c>
      <c r="BN55" s="13">
        <f t="shared" si="18"/>
        <v>0.23680824350704913</v>
      </c>
      <c r="BO55" s="12">
        <f t="shared" si="89"/>
        <v>1.0000000000000002</v>
      </c>
      <c r="BP55" s="13"/>
      <c r="BQ55" s="23">
        <f>IF(W55="","",W55/(60.09/2))</f>
        <v>1.7895731423637438</v>
      </c>
      <c r="BR55" s="13">
        <f t="shared" si="19"/>
        <v>3.0175433320501106E-2</v>
      </c>
      <c r="BS55" s="13">
        <f t="shared" si="20"/>
        <v>0.51471489662433578</v>
      </c>
      <c r="BT55" s="13">
        <f t="shared" si="21"/>
        <v>0</v>
      </c>
      <c r="BU55" s="13">
        <f t="shared" si="22"/>
        <v>9.0630333543230593E-2</v>
      </c>
      <c r="BV55" s="13">
        <f t="shared" si="91"/>
        <v>6.178325773983534E-2</v>
      </c>
      <c r="BW55" s="24">
        <f t="shared" si="92"/>
        <v>4.3284359445160868E-2</v>
      </c>
      <c r="BX55" s="13">
        <f t="shared" si="23"/>
        <v>0</v>
      </c>
      <c r="BY55" s="13">
        <f t="shared" si="24"/>
        <v>6.8699335507578591E-2</v>
      </c>
      <c r="BZ55" s="13">
        <f t="shared" si="25"/>
        <v>0.10452912687730855</v>
      </c>
      <c r="CA55" s="13">
        <f t="shared" si="26"/>
        <v>7.2172327745415585E-2</v>
      </c>
      <c r="CB55" s="13">
        <f t="shared" si="27"/>
        <v>1.8870640328979033E-2</v>
      </c>
      <c r="CC55" s="13">
        <f t="shared" si="28"/>
        <v>0</v>
      </c>
      <c r="CD55" s="13">
        <f t="shared" si="93"/>
        <v>0.34016118469704643</v>
      </c>
      <c r="CE55" s="12">
        <f t="shared" si="94"/>
        <v>3.0295264210081392</v>
      </c>
      <c r="CF55" s="13"/>
      <c r="CG55" s="23">
        <f t="shared" si="127"/>
        <v>0.59071052490383147</v>
      </c>
      <c r="CH55" s="13">
        <f t="shared" si="127"/>
        <v>9.9604456694124457E-3</v>
      </c>
      <c r="CI55" s="13">
        <f t="shared" si="127"/>
        <v>0.16989945790043762</v>
      </c>
      <c r="CJ55" s="13">
        <f t="shared" si="127"/>
        <v>0</v>
      </c>
      <c r="CK55" s="13">
        <f t="shared" si="127"/>
        <v>2.991567689086911E-2</v>
      </c>
      <c r="CL55" s="13">
        <f t="shared" si="127"/>
        <v>2.0393701573751467E-2</v>
      </c>
      <c r="CM55" s="13">
        <f t="shared" si="127"/>
        <v>1.4287500232711976E-2</v>
      </c>
      <c r="CN55" s="13">
        <f t="shared" si="127"/>
        <v>0</v>
      </c>
      <c r="CO55" s="13">
        <f t="shared" si="127"/>
        <v>2.2676592298778313E-2</v>
      </c>
      <c r="CP55" s="13">
        <f t="shared" si="156"/>
        <v>3.4503454451644711E-2</v>
      </c>
      <c r="CQ55" s="13">
        <f t="shared" si="156"/>
        <v>2.3822973533070793E-2</v>
      </c>
      <c r="CR55" s="13">
        <f t="shared" si="156"/>
        <v>6.2289076596663004E-3</v>
      </c>
      <c r="CS55" s="13">
        <f t="shared" si="156"/>
        <v>0</v>
      </c>
      <c r="CT55" s="13">
        <f t="shared" si="156"/>
        <v>0.11228196669228935</v>
      </c>
      <c r="CU55" s="12">
        <f t="shared" si="30"/>
        <v>1.0000000000000002</v>
      </c>
      <c r="CV55" s="26"/>
      <c r="CW55" s="23">
        <f t="shared" si="31"/>
        <v>0.89478657118187188</v>
      </c>
      <c r="CX55" s="13">
        <f t="shared" si="32"/>
        <v>1.5087716660250553E-2</v>
      </c>
      <c r="CY55" s="13">
        <f t="shared" si="33"/>
        <v>0.34314326441622384</v>
      </c>
      <c r="CZ55" s="13">
        <f t="shared" si="34"/>
        <v>0</v>
      </c>
      <c r="DA55" s="13">
        <f t="shared" si="35"/>
        <v>7.9944289693593323E-2</v>
      </c>
      <c r="DB55" s="13">
        <f t="shared" si="36"/>
        <v>6.178325773983534E-2</v>
      </c>
      <c r="DC55" s="24">
        <f t="shared" si="37"/>
        <v>2.8856239630107243E-2</v>
      </c>
      <c r="DD55" s="13">
        <f t="shared" si="38"/>
        <v>0</v>
      </c>
      <c r="DE55" s="13">
        <f t="shared" si="39"/>
        <v>6.8699335507578591E-2</v>
      </c>
      <c r="DF55" s="13">
        <f t="shared" si="40"/>
        <v>0.10452912687730855</v>
      </c>
      <c r="DG55" s="13">
        <f t="shared" si="41"/>
        <v>0.14434465549083117</v>
      </c>
      <c r="DH55" s="13">
        <f t="shared" si="42"/>
        <v>3.7741280657958065E-2</v>
      </c>
      <c r="DI55" s="13">
        <f t="shared" si="43"/>
        <v>0</v>
      </c>
      <c r="DJ55" s="13">
        <f t="shared" si="95"/>
        <v>0.68032236939409285</v>
      </c>
      <c r="DK55" s="12">
        <f t="shared" si="96"/>
        <v>2.3685986098797089</v>
      </c>
      <c r="DL55" s="26"/>
      <c r="DM55" s="23">
        <f t="shared" si="152"/>
        <v>0.3777704535709891</v>
      </c>
      <c r="DN55" s="13">
        <f t="shared" si="152"/>
        <v>6.3698917145851037E-3</v>
      </c>
      <c r="DO55" s="13">
        <f t="shared" si="151"/>
        <v>0.14487185080027157</v>
      </c>
      <c r="DP55" s="13">
        <f t="shared" si="151"/>
        <v>0</v>
      </c>
      <c r="DQ55" s="13">
        <f t="shared" si="151"/>
        <v>3.3751725328274744E-2</v>
      </c>
      <c r="DR55" s="13">
        <f t="shared" si="151"/>
        <v>2.6084308874509157E-2</v>
      </c>
      <c r="DS55" s="13">
        <f t="shared" si="151"/>
        <v>1.2182832291526478E-2</v>
      </c>
      <c r="DT55" s="13">
        <f t="shared" si="151"/>
        <v>0</v>
      </c>
      <c r="DU55" s="13">
        <f t="shared" si="151"/>
        <v>2.9004211697594273E-2</v>
      </c>
      <c r="DV55" s="13">
        <f t="shared" si="151"/>
        <v>4.4131211781221612E-2</v>
      </c>
      <c r="DW55" s="13">
        <f t="shared" si="151"/>
        <v>6.0940952548377045E-2</v>
      </c>
      <c r="DX55" s="13">
        <f t="shared" si="151"/>
        <v>1.5934012838027794E-2</v>
      </c>
      <c r="DY55" s="13">
        <f t="shared" si="151"/>
        <v>0</v>
      </c>
      <c r="DZ55" s="13">
        <f t="shared" si="151"/>
        <v>0.28722568972065871</v>
      </c>
      <c r="EA55" s="12">
        <f t="shared" si="45"/>
        <v>1</v>
      </c>
      <c r="EB55" s="26"/>
      <c r="EC55" s="30">
        <f t="shared" si="46"/>
        <v>1223</v>
      </c>
      <c r="ED55" s="14">
        <f t="shared" si="98"/>
        <v>1000000000</v>
      </c>
      <c r="EE55" s="29"/>
      <c r="EF55" s="184">
        <f t="shared" si="122"/>
        <v>-9.085940310711365</v>
      </c>
      <c r="EG55" s="13">
        <f t="shared" si="99"/>
        <v>1.8</v>
      </c>
      <c r="EH55" s="13">
        <f t="shared" si="100"/>
        <v>1.5622363041700744</v>
      </c>
      <c r="EI55" s="12">
        <f t="shared" si="47"/>
        <v>6.239042518397385</v>
      </c>
      <c r="EJ55" s="29"/>
      <c r="EK55" s="28">
        <f t="shared" si="101"/>
        <v>-1.4547709687796033</v>
      </c>
      <c r="EL55" s="24">
        <f t="shared" si="102"/>
        <v>-0.6316851796698234</v>
      </c>
      <c r="EM55" s="24">
        <f t="shared" si="103"/>
        <v>0.23345382599334705</v>
      </c>
      <c r="EN55" s="24">
        <f t="shared" si="104"/>
        <v>4.3011329339483984E-2</v>
      </c>
      <c r="EO55" s="24">
        <f t="shared" si="105"/>
        <v>1.0041159395362436E-2</v>
      </c>
      <c r="EP55" s="24">
        <f t="shared" si="106"/>
        <v>0.31829382807727646</v>
      </c>
      <c r="EQ55" s="24">
        <f t="shared" si="107"/>
        <v>-1.4544533500528396</v>
      </c>
      <c r="ER55" s="24">
        <f t="shared" si="48"/>
        <v>-20.91886823379096</v>
      </c>
      <c r="ES55" s="25">
        <f t="shared" si="49"/>
        <v>-9.0833123029921676</v>
      </c>
      <c r="ET55" s="26"/>
      <c r="EU55" s="23">
        <f t="shared" si="123"/>
        <v>-1.5862533634937392</v>
      </c>
      <c r="EV55" s="12">
        <f t="shared" si="50"/>
        <v>2.5271459198851431E-2</v>
      </c>
      <c r="EW55" s="26"/>
      <c r="EX55" s="27">
        <f t="shared" si="108"/>
        <v>0.96934656996828439</v>
      </c>
      <c r="EY55" s="26"/>
      <c r="EZ55" s="23">
        <f t="shared" si="128"/>
        <v>-7.6464466046828425</v>
      </c>
      <c r="FA55" s="13">
        <f t="shared" si="52"/>
        <v>14.590364049547414</v>
      </c>
      <c r="FB55" s="13">
        <f t="shared" si="129"/>
        <v>-25.250456749217264</v>
      </c>
      <c r="FC55" s="13">
        <f t="shared" si="130"/>
        <v>5.644965972892166</v>
      </c>
      <c r="FD55" s="12">
        <f t="shared" si="55"/>
        <v>0.99647718540212071</v>
      </c>
      <c r="FE55" s="13"/>
      <c r="FF55" s="23">
        <f t="shared" si="131"/>
        <v>-6.9017441569968812</v>
      </c>
      <c r="FG55" s="13">
        <f t="shared" si="132"/>
        <v>12.720620206056534</v>
      </c>
      <c r="FH55" s="13">
        <f t="shared" si="133"/>
        <v>13.762131068747948</v>
      </c>
      <c r="FI55" s="24">
        <f t="shared" si="134"/>
        <v>0.96577128868944229</v>
      </c>
      <c r="FJ55" s="25">
        <f t="shared" si="135"/>
        <v>0.9967892334184083</v>
      </c>
      <c r="FK55" s="13"/>
      <c r="FL55" s="23">
        <f t="shared" si="110"/>
        <v>12.155752280962105</v>
      </c>
      <c r="FM55" s="13">
        <f t="shared" si="124"/>
        <v>-6.9179860410755749</v>
      </c>
      <c r="FN55" s="13">
        <f t="shared" si="136"/>
        <v>0.90185770061495063</v>
      </c>
      <c r="FO55" s="13">
        <f t="shared" si="60"/>
        <v>0.88860833809658057</v>
      </c>
      <c r="FP55" s="23">
        <f t="shared" si="137"/>
        <v>8.9713555618011753E-3</v>
      </c>
      <c r="FQ55" s="13">
        <f t="shared" si="138"/>
        <v>0.50516414375758179</v>
      </c>
      <c r="FR55" s="13">
        <f t="shared" si="139"/>
        <v>0.35893047248739407</v>
      </c>
      <c r="FS55" s="13">
        <f t="shared" si="115"/>
        <v>0.69560758002430023</v>
      </c>
      <c r="FT55" s="13">
        <f t="shared" si="140"/>
        <v>-8.0971408134026035E-2</v>
      </c>
      <c r="FU55" s="12">
        <f t="shared" si="117"/>
        <v>0.45352366383514464</v>
      </c>
      <c r="FV55" s="22"/>
      <c r="FW55" s="11">
        <f t="shared" si="141"/>
        <v>1.8</v>
      </c>
      <c r="FX55" s="10">
        <f t="shared" si="142"/>
        <v>1.5622363041700744</v>
      </c>
      <c r="FY55" s="10">
        <f t="shared" si="143"/>
        <v>6.239042518397385</v>
      </c>
      <c r="FZ55" s="5">
        <f t="shared" si="144"/>
        <v>-9.085940310711365</v>
      </c>
      <c r="GA55" s="10">
        <f t="shared" si="145"/>
        <v>0.31829382807727646</v>
      </c>
      <c r="GB55" s="9">
        <f t="shared" si="118"/>
        <v>12.155752280962105</v>
      </c>
      <c r="GC55" s="8">
        <f t="shared" si="119"/>
        <v>-6.9179860410755749</v>
      </c>
      <c r="GD55" s="8">
        <f t="shared" si="120"/>
        <v>0.88860833809658057</v>
      </c>
      <c r="GE55" s="7">
        <f t="shared" si="121"/>
        <v>0.50516414375758179</v>
      </c>
      <c r="GF55" s="6">
        <f t="shared" si="146"/>
        <v>0.96577128868944229</v>
      </c>
      <c r="GG55" s="5">
        <f t="shared" si="147"/>
        <v>0.9967892334184083</v>
      </c>
      <c r="GH55" s="4">
        <f t="shared" si="148"/>
        <v>0.99647718540212071</v>
      </c>
      <c r="GI55" s="4">
        <f t="shared" si="149"/>
        <v>0.96934656996828439</v>
      </c>
      <c r="GJ55" s="4">
        <f t="shared" si="150"/>
        <v>2.5271459198851431E-2</v>
      </c>
      <c r="GK55" s="1"/>
    </row>
    <row r="56" spans="1:193" x14ac:dyDescent="0.4">
      <c r="A56" s="34"/>
      <c r="B56" s="21"/>
      <c r="C56" s="21"/>
      <c r="D56" s="34"/>
      <c r="E56" s="34"/>
      <c r="F56" s="20" t="s">
        <v>84</v>
      </c>
      <c r="G56" s="19">
        <v>950</v>
      </c>
      <c r="H56" s="18">
        <v>1</v>
      </c>
      <c r="I56" s="17">
        <v>2.2000000000000002</v>
      </c>
      <c r="J56" s="16">
        <v>52.63</v>
      </c>
      <c r="K56" s="16">
        <v>1.18</v>
      </c>
      <c r="L56" s="16">
        <v>17.13</v>
      </c>
      <c r="M56" s="16">
        <v>0</v>
      </c>
      <c r="N56" s="16">
        <f t="shared" si="153"/>
        <v>6.3739999999999997</v>
      </c>
      <c r="O56" s="16">
        <v>0</v>
      </c>
      <c r="P56" s="16">
        <v>2.71</v>
      </c>
      <c r="Q56" s="16">
        <v>5.74</v>
      </c>
      <c r="R56" s="16">
        <v>4.38</v>
      </c>
      <c r="S56" s="16">
        <v>1.74</v>
      </c>
      <c r="T56" s="16">
        <v>0</v>
      </c>
      <c r="U56" s="15">
        <v>6</v>
      </c>
      <c r="V56" s="16"/>
      <c r="W56" s="28">
        <f t="shared" si="71"/>
        <v>53.767725062318682</v>
      </c>
      <c r="X56" s="24">
        <f t="shared" si="155"/>
        <v>1.2055085611540193</v>
      </c>
      <c r="Y56" s="24">
        <f t="shared" si="155"/>
        <v>17.500306485227416</v>
      </c>
      <c r="Z56" s="24">
        <f t="shared" si="154"/>
        <v>0</v>
      </c>
      <c r="AA56" s="24">
        <f t="shared" si="154"/>
        <v>6.5117894650811179</v>
      </c>
      <c r="AB56" s="24">
        <f t="shared" si="154"/>
        <v>0</v>
      </c>
      <c r="AC56" s="24">
        <f t="shared" si="154"/>
        <v>2.7685832209554171</v>
      </c>
      <c r="AD56" s="24">
        <f t="shared" si="154"/>
        <v>5.8640840178170093</v>
      </c>
      <c r="AE56" s="24">
        <f t="shared" si="154"/>
        <v>4.4746843202157667</v>
      </c>
      <c r="AF56" s="24">
        <f t="shared" si="154"/>
        <v>1.777614318989825</v>
      </c>
      <c r="AG56" s="24">
        <f t="shared" si="154"/>
        <v>0</v>
      </c>
      <c r="AH56" s="24">
        <f t="shared" si="154"/>
        <v>6.1297045482407766</v>
      </c>
      <c r="AI56" s="14">
        <f t="shared" si="72"/>
        <v>100.00000000000004</v>
      </c>
      <c r="AJ56" s="26"/>
      <c r="AK56" s="50">
        <f t="shared" si="73"/>
        <v>0.89478657118187188</v>
      </c>
      <c r="AL56" s="47">
        <f t="shared" si="74"/>
        <v>1.5087716660250553E-2</v>
      </c>
      <c r="AM56" s="47">
        <f t="shared" si="75"/>
        <v>0.17163894159697349</v>
      </c>
      <c r="AN56" s="49">
        <f t="shared" si="76"/>
        <v>0</v>
      </c>
      <c r="AO56" s="49">
        <f t="shared" si="77"/>
        <v>9.0630333543230593E-2</v>
      </c>
      <c r="AP56" s="47">
        <f t="shared" si="78"/>
        <v>0</v>
      </c>
      <c r="AQ56" s="47">
        <f t="shared" si="79"/>
        <v>6.8665258456235542E-2</v>
      </c>
      <c r="AR56" s="47">
        <f t="shared" si="80"/>
        <v>0.10456640545322771</v>
      </c>
      <c r="AS56" s="47">
        <f t="shared" si="81"/>
        <v>7.2195616654013667E-2</v>
      </c>
      <c r="AT56" s="47">
        <f t="shared" si="82"/>
        <v>1.8870640328979033E-2</v>
      </c>
      <c r="AU56" s="47">
        <f t="shared" si="83"/>
        <v>0</v>
      </c>
      <c r="AV56" s="47">
        <f t="shared" si="84"/>
        <v>0.34016118469704643</v>
      </c>
      <c r="AW56" s="47">
        <f t="shared" si="85"/>
        <v>1.4364414838747823</v>
      </c>
      <c r="AX56" s="47">
        <f t="shared" si="86"/>
        <v>5.8123112026104942E-2</v>
      </c>
      <c r="AY56" s="46">
        <f t="shared" si="87"/>
        <v>1.6258774029649661E-2</v>
      </c>
      <c r="AZ56" s="26"/>
      <c r="BA56" s="23">
        <f t="shared" si="88"/>
        <v>0.62291891540767586</v>
      </c>
      <c r="BB56" s="13">
        <f t="shared" si="6"/>
        <v>1.0503537268745283E-2</v>
      </c>
      <c r="BC56" s="13">
        <f t="shared" si="7"/>
        <v>0.11948898964821014</v>
      </c>
      <c r="BD56" s="13">
        <f t="shared" si="8"/>
        <v>0</v>
      </c>
      <c r="BE56" s="13">
        <f t="shared" si="9"/>
        <v>6.309364813020886E-2</v>
      </c>
      <c r="BF56" s="13">
        <f t="shared" si="10"/>
        <v>4.0463264726467378E-2</v>
      </c>
      <c r="BG56" s="13">
        <f t="shared" si="11"/>
        <v>1.131878618946024E-2</v>
      </c>
      <c r="BH56" s="13">
        <f t="shared" si="12"/>
        <v>0</v>
      </c>
      <c r="BI56" s="13">
        <f t="shared" si="13"/>
        <v>4.7802335999801326E-2</v>
      </c>
      <c r="BJ56" s="13">
        <f t="shared" si="14"/>
        <v>7.2795450860386732E-2</v>
      </c>
      <c r="BK56" s="13">
        <f t="shared" si="15"/>
        <v>5.0260047112581939E-2</v>
      </c>
      <c r="BL56" s="13">
        <f t="shared" si="16"/>
        <v>1.3137075572389989E-2</v>
      </c>
      <c r="BM56" s="13">
        <f t="shared" si="17"/>
        <v>0</v>
      </c>
      <c r="BN56" s="13">
        <f t="shared" si="18"/>
        <v>0.23680824350704913</v>
      </c>
      <c r="BO56" s="12">
        <f t="shared" si="89"/>
        <v>1.0000000000000002</v>
      </c>
      <c r="BP56" s="13"/>
      <c r="BQ56" s="23">
        <f t="shared" si="90"/>
        <v>1.7895731423637438</v>
      </c>
      <c r="BR56" s="13">
        <f t="shared" si="19"/>
        <v>3.0175433320501106E-2</v>
      </c>
      <c r="BS56" s="13">
        <f t="shared" si="20"/>
        <v>0.51471489662433578</v>
      </c>
      <c r="BT56" s="13">
        <f t="shared" si="21"/>
        <v>0</v>
      </c>
      <c r="BU56" s="13">
        <f t="shared" si="22"/>
        <v>9.0630333543230593E-2</v>
      </c>
      <c r="BV56" s="13">
        <f t="shared" si="91"/>
        <v>5.8123112026104942E-2</v>
      </c>
      <c r="BW56" s="24">
        <f t="shared" si="92"/>
        <v>4.8776322088948991E-2</v>
      </c>
      <c r="BX56" s="13">
        <f t="shared" si="23"/>
        <v>0</v>
      </c>
      <c r="BY56" s="13">
        <f t="shared" si="24"/>
        <v>6.8699335507578591E-2</v>
      </c>
      <c r="BZ56" s="13">
        <f t="shared" si="25"/>
        <v>0.10452912687730855</v>
      </c>
      <c r="CA56" s="13">
        <f t="shared" si="26"/>
        <v>7.2172327745415585E-2</v>
      </c>
      <c r="CB56" s="13">
        <f t="shared" si="27"/>
        <v>1.8870640328979033E-2</v>
      </c>
      <c r="CC56" s="13">
        <f t="shared" si="28"/>
        <v>0</v>
      </c>
      <c r="CD56" s="13">
        <f t="shared" si="93"/>
        <v>0.34016118469704643</v>
      </c>
      <c r="CE56" s="12">
        <f t="shared" si="94"/>
        <v>3.0295264210081392</v>
      </c>
      <c r="CF56" s="13"/>
      <c r="CG56" s="23">
        <f t="shared" si="127"/>
        <v>0.59071052490383147</v>
      </c>
      <c r="CH56" s="13">
        <f t="shared" si="127"/>
        <v>9.9604456694124457E-3</v>
      </c>
      <c r="CI56" s="13">
        <f t="shared" si="127"/>
        <v>0.16989945790043762</v>
      </c>
      <c r="CJ56" s="13">
        <f t="shared" si="127"/>
        <v>0</v>
      </c>
      <c r="CK56" s="13">
        <f t="shared" si="127"/>
        <v>2.991567689086911E-2</v>
      </c>
      <c r="CL56" s="13">
        <f t="shared" si="127"/>
        <v>1.9185543860272141E-2</v>
      </c>
      <c r="CM56" s="13">
        <f t="shared" si="127"/>
        <v>1.6100312494623379E-2</v>
      </c>
      <c r="CN56" s="13">
        <f t="shared" si="127"/>
        <v>0</v>
      </c>
      <c r="CO56" s="13">
        <f t="shared" si="127"/>
        <v>2.2676592298778313E-2</v>
      </c>
      <c r="CP56" s="13">
        <f t="shared" si="156"/>
        <v>3.4503454451644711E-2</v>
      </c>
      <c r="CQ56" s="13">
        <f t="shared" si="156"/>
        <v>2.3822973533070793E-2</v>
      </c>
      <c r="CR56" s="13">
        <f t="shared" si="156"/>
        <v>6.2289076596663004E-3</v>
      </c>
      <c r="CS56" s="13">
        <f t="shared" si="156"/>
        <v>0</v>
      </c>
      <c r="CT56" s="13">
        <f t="shared" si="156"/>
        <v>0.11228196669228935</v>
      </c>
      <c r="CU56" s="12">
        <f t="shared" si="30"/>
        <v>1.0000000000000002</v>
      </c>
      <c r="CV56" s="26"/>
      <c r="CW56" s="23">
        <f t="shared" si="31"/>
        <v>0.89478657118187188</v>
      </c>
      <c r="CX56" s="13">
        <f t="shared" si="32"/>
        <v>1.5087716660250553E-2</v>
      </c>
      <c r="CY56" s="13">
        <f t="shared" si="33"/>
        <v>0.34314326441622384</v>
      </c>
      <c r="CZ56" s="13">
        <f t="shared" si="34"/>
        <v>0</v>
      </c>
      <c r="DA56" s="13">
        <f t="shared" si="35"/>
        <v>7.9944289693593323E-2</v>
      </c>
      <c r="DB56" s="13">
        <f t="shared" si="36"/>
        <v>5.8123112026104942E-2</v>
      </c>
      <c r="DC56" s="24">
        <f t="shared" si="37"/>
        <v>3.2517548059299323E-2</v>
      </c>
      <c r="DD56" s="13">
        <f t="shared" si="38"/>
        <v>0</v>
      </c>
      <c r="DE56" s="13">
        <f t="shared" si="39"/>
        <v>6.8699335507578591E-2</v>
      </c>
      <c r="DF56" s="13">
        <f t="shared" si="40"/>
        <v>0.10452912687730855</v>
      </c>
      <c r="DG56" s="13">
        <f t="shared" si="41"/>
        <v>0.14434465549083117</v>
      </c>
      <c r="DH56" s="13">
        <f t="shared" si="42"/>
        <v>3.7741280657958065E-2</v>
      </c>
      <c r="DI56" s="13">
        <f t="shared" si="43"/>
        <v>0</v>
      </c>
      <c r="DJ56" s="13">
        <f t="shared" si="95"/>
        <v>0.68032236939409285</v>
      </c>
      <c r="DK56" s="12">
        <f t="shared" si="96"/>
        <v>2.3685986098797089</v>
      </c>
      <c r="DL56" s="26"/>
      <c r="DM56" s="23">
        <f t="shared" si="152"/>
        <v>0.3777704535709891</v>
      </c>
      <c r="DN56" s="13">
        <f t="shared" si="152"/>
        <v>6.3698917145851037E-3</v>
      </c>
      <c r="DO56" s="13">
        <f t="shared" si="151"/>
        <v>0.14487185080027157</v>
      </c>
      <c r="DP56" s="13">
        <f t="shared" si="151"/>
        <v>0</v>
      </c>
      <c r="DQ56" s="13">
        <f t="shared" si="151"/>
        <v>3.3751725328274744E-2</v>
      </c>
      <c r="DR56" s="13">
        <f t="shared" si="151"/>
        <v>2.453902986502925E-2</v>
      </c>
      <c r="DS56" s="13">
        <f t="shared" si="151"/>
        <v>1.372860218851127E-2</v>
      </c>
      <c r="DT56" s="13">
        <f t="shared" si="151"/>
        <v>0</v>
      </c>
      <c r="DU56" s="13">
        <f t="shared" si="151"/>
        <v>2.9004211697594273E-2</v>
      </c>
      <c r="DV56" s="13">
        <f t="shared" si="151"/>
        <v>4.4131211781221612E-2</v>
      </c>
      <c r="DW56" s="13">
        <f t="shared" si="151"/>
        <v>6.0940952548377045E-2</v>
      </c>
      <c r="DX56" s="13">
        <f t="shared" si="151"/>
        <v>1.5934012838027794E-2</v>
      </c>
      <c r="DY56" s="13">
        <f t="shared" si="151"/>
        <v>0</v>
      </c>
      <c r="DZ56" s="13">
        <f t="shared" si="151"/>
        <v>0.28722568972065871</v>
      </c>
      <c r="EA56" s="12">
        <f t="shared" si="45"/>
        <v>1</v>
      </c>
      <c r="EB56" s="26"/>
      <c r="EC56" s="30">
        <f t="shared" si="46"/>
        <v>1223</v>
      </c>
      <c r="ED56" s="14">
        <f t="shared" si="98"/>
        <v>1000000000</v>
      </c>
      <c r="EE56" s="29"/>
      <c r="EF56" s="184">
        <f t="shared" si="122"/>
        <v>-8.6859403107113664</v>
      </c>
      <c r="EG56" s="13">
        <f t="shared" si="99"/>
        <v>2.2000000000000002</v>
      </c>
      <c r="EH56" s="13">
        <f t="shared" si="100"/>
        <v>1.962236304170073</v>
      </c>
      <c r="EI56" s="12">
        <f t="shared" si="47"/>
        <v>6.6390425183973836</v>
      </c>
      <c r="EJ56" s="29"/>
      <c r="EK56" s="28">
        <f t="shared" si="101"/>
        <v>-1.2742482974888709</v>
      </c>
      <c r="EL56" s="24">
        <f t="shared" si="102"/>
        <v>-0.55329930416364348</v>
      </c>
      <c r="EM56" s="24">
        <f t="shared" si="103"/>
        <v>0.27964109614885746</v>
      </c>
      <c r="EN56" s="24">
        <f t="shared" si="104"/>
        <v>4.0463264726467385E-2</v>
      </c>
      <c r="EO56" s="24">
        <f t="shared" si="105"/>
        <v>1.1315191701870739E-2</v>
      </c>
      <c r="EP56" s="24">
        <f t="shared" si="106"/>
        <v>0.35867926604970218</v>
      </c>
      <c r="EQ56" s="24">
        <f t="shared" si="107"/>
        <v>-1.273930678762107</v>
      </c>
      <c r="ER56" s="24">
        <f t="shared" si="48"/>
        <v>-19.997834196593342</v>
      </c>
      <c r="ES56" s="25">
        <f t="shared" si="49"/>
        <v>-8.6833843667361457</v>
      </c>
      <c r="ET56" s="26"/>
      <c r="EU56" s="23">
        <f t="shared" si="123"/>
        <v>-0.95905336349374082</v>
      </c>
      <c r="EV56" s="12">
        <f t="shared" si="50"/>
        <v>9.9007442059749207E-2</v>
      </c>
      <c r="EW56" s="26"/>
      <c r="EX56" s="27">
        <f t="shared" si="108"/>
        <v>0.99501312126331209</v>
      </c>
      <c r="EY56" s="26"/>
      <c r="EZ56" s="23">
        <f t="shared" si="128"/>
        <v>-7.6464466046828425</v>
      </c>
      <c r="FA56" s="13">
        <f t="shared" si="52"/>
        <v>14.569516049828348</v>
      </c>
      <c r="FB56" s="13">
        <f t="shared" si="129"/>
        <v>-25.250456749217264</v>
      </c>
      <c r="FC56" s="13">
        <f t="shared" si="130"/>
        <v>7.4661860475683284</v>
      </c>
      <c r="FD56" s="12">
        <f t="shared" si="55"/>
        <v>0.99942822099155271</v>
      </c>
      <c r="FE56" s="13"/>
      <c r="FF56" s="23">
        <f t="shared" si="131"/>
        <v>-6.926674881620821</v>
      </c>
      <c r="FG56" s="13">
        <f t="shared" si="132"/>
        <v>12.720620206056534</v>
      </c>
      <c r="FH56" s="13">
        <f t="shared" si="133"/>
        <v>13.762131068747948</v>
      </c>
      <c r="FI56" s="24">
        <f t="shared" si="134"/>
        <v>0.99472420128158434</v>
      </c>
      <c r="FJ56" s="25">
        <f t="shared" si="135"/>
        <v>0.99951820157247295</v>
      </c>
      <c r="FK56" s="13"/>
      <c r="FL56" s="23">
        <f t="shared" si="110"/>
        <v>12.155752280962105</v>
      </c>
      <c r="FM56" s="13">
        <f t="shared" si="124"/>
        <v>-6.9280717072493223</v>
      </c>
      <c r="FN56" s="13">
        <f t="shared" si="136"/>
        <v>1.7119433667886952</v>
      </c>
      <c r="FO56" s="13">
        <f t="shared" si="60"/>
        <v>0.98095823717256569</v>
      </c>
      <c r="FP56" s="23">
        <f t="shared" si="137"/>
        <v>0.81905702173554573</v>
      </c>
      <c r="FQ56" s="13">
        <f t="shared" si="138"/>
        <v>0.86829288926420967</v>
      </c>
      <c r="FR56" s="13">
        <f t="shared" si="139"/>
        <v>1.1690161386611386</v>
      </c>
      <c r="FS56" s="13">
        <f t="shared" si="115"/>
        <v>0.93653861444663289</v>
      </c>
      <c r="FT56" s="13">
        <f t="shared" si="140"/>
        <v>0.72911425803971852</v>
      </c>
      <c r="FU56" s="12">
        <f t="shared" si="117"/>
        <v>0.84275187692181519</v>
      </c>
      <c r="FV56" s="22"/>
      <c r="FW56" s="11">
        <f t="shared" si="141"/>
        <v>2.2000000000000002</v>
      </c>
      <c r="FX56" s="10">
        <f t="shared" si="142"/>
        <v>1.962236304170073</v>
      </c>
      <c r="FY56" s="10">
        <f t="shared" si="143"/>
        <v>6.6390425183973836</v>
      </c>
      <c r="FZ56" s="5">
        <f t="shared" si="144"/>
        <v>-8.6859403107113664</v>
      </c>
      <c r="GA56" s="10">
        <f t="shared" si="145"/>
        <v>0.35867926604970218</v>
      </c>
      <c r="GB56" s="9">
        <f t="shared" si="118"/>
        <v>12.155752280962105</v>
      </c>
      <c r="GC56" s="8">
        <f t="shared" si="119"/>
        <v>-6.9280717072493223</v>
      </c>
      <c r="GD56" s="8">
        <f t="shared" si="120"/>
        <v>0.98095823717256569</v>
      </c>
      <c r="GE56" s="7">
        <f t="shared" si="121"/>
        <v>0.86829288926420967</v>
      </c>
      <c r="GF56" s="6">
        <f t="shared" si="146"/>
        <v>0.99472420128158434</v>
      </c>
      <c r="GG56" s="5">
        <f t="shared" si="147"/>
        <v>0.99951820157247295</v>
      </c>
      <c r="GH56" s="4">
        <f t="shared" si="148"/>
        <v>0.99942822099155271</v>
      </c>
      <c r="GI56" s="4">
        <f t="shared" si="149"/>
        <v>0.99501312126331209</v>
      </c>
      <c r="GJ56" s="4">
        <f t="shared" si="150"/>
        <v>9.9007442059749207E-2</v>
      </c>
      <c r="GK56" s="1"/>
    </row>
    <row r="57" spans="1:193" x14ac:dyDescent="0.4">
      <c r="A57" s="34"/>
      <c r="B57" s="21"/>
      <c r="C57" s="21"/>
      <c r="D57" s="34"/>
      <c r="E57" s="34"/>
      <c r="F57" s="20" t="s">
        <v>84</v>
      </c>
      <c r="G57" s="19">
        <v>950</v>
      </c>
      <c r="H57" s="18">
        <v>1</v>
      </c>
      <c r="I57" s="17">
        <v>2.6</v>
      </c>
      <c r="J57" s="16">
        <v>52.63</v>
      </c>
      <c r="K57" s="16">
        <v>1.18</v>
      </c>
      <c r="L57" s="16">
        <v>17.13</v>
      </c>
      <c r="M57" s="16">
        <v>0</v>
      </c>
      <c r="N57" s="16">
        <f t="shared" si="153"/>
        <v>6.3739999999999997</v>
      </c>
      <c r="O57" s="16">
        <v>0</v>
      </c>
      <c r="P57" s="16">
        <v>2.71</v>
      </c>
      <c r="Q57" s="16">
        <v>5.74</v>
      </c>
      <c r="R57" s="16">
        <v>4.38</v>
      </c>
      <c r="S57" s="16">
        <v>1.74</v>
      </c>
      <c r="T57" s="16">
        <v>0</v>
      </c>
      <c r="U57" s="15">
        <v>6</v>
      </c>
      <c r="V57" s="16"/>
      <c r="W57" s="28">
        <f t="shared" si="71"/>
        <v>53.767725062318682</v>
      </c>
      <c r="X57" s="24">
        <f t="shared" si="155"/>
        <v>1.2055085611540193</v>
      </c>
      <c r="Y57" s="24">
        <f t="shared" si="155"/>
        <v>17.500306485227416</v>
      </c>
      <c r="Z57" s="24">
        <f t="shared" si="154"/>
        <v>0</v>
      </c>
      <c r="AA57" s="24">
        <f t="shared" si="154"/>
        <v>6.5117894650811179</v>
      </c>
      <c r="AB57" s="24">
        <f t="shared" si="154"/>
        <v>0</v>
      </c>
      <c r="AC57" s="24">
        <f t="shared" si="154"/>
        <v>2.7685832209554171</v>
      </c>
      <c r="AD57" s="24">
        <f t="shared" si="154"/>
        <v>5.8640840178170093</v>
      </c>
      <c r="AE57" s="24">
        <f t="shared" si="154"/>
        <v>4.4746843202157667</v>
      </c>
      <c r="AF57" s="24">
        <f t="shared" si="154"/>
        <v>1.777614318989825</v>
      </c>
      <c r="AG57" s="24">
        <f t="shared" si="154"/>
        <v>0</v>
      </c>
      <c r="AH57" s="24">
        <f t="shared" si="154"/>
        <v>6.1297045482407766</v>
      </c>
      <c r="AI57" s="14">
        <f t="shared" si="72"/>
        <v>100.00000000000004</v>
      </c>
      <c r="AJ57" s="26"/>
      <c r="AK57" s="50">
        <f t="shared" si="73"/>
        <v>0.89478657118187188</v>
      </c>
      <c r="AL57" s="47">
        <f t="shared" si="74"/>
        <v>1.5087716660250553E-2</v>
      </c>
      <c r="AM57" s="47">
        <f t="shared" si="75"/>
        <v>0.17163894159697349</v>
      </c>
      <c r="AN57" s="49">
        <f t="shared" si="76"/>
        <v>0</v>
      </c>
      <c r="AO57" s="49">
        <f t="shared" si="77"/>
        <v>9.0630333543230593E-2</v>
      </c>
      <c r="AP57" s="47">
        <f t="shared" si="78"/>
        <v>0</v>
      </c>
      <c r="AQ57" s="47">
        <f t="shared" si="79"/>
        <v>6.8665258456235542E-2</v>
      </c>
      <c r="AR57" s="47">
        <f t="shared" si="80"/>
        <v>0.10456640545322771</v>
      </c>
      <c r="AS57" s="47">
        <f t="shared" si="81"/>
        <v>7.2195616654013667E-2</v>
      </c>
      <c r="AT57" s="47">
        <f t="shared" si="82"/>
        <v>1.8870640328979033E-2</v>
      </c>
      <c r="AU57" s="47">
        <f t="shared" si="83"/>
        <v>0</v>
      </c>
      <c r="AV57" s="47">
        <f t="shared" si="84"/>
        <v>0.34016118469704643</v>
      </c>
      <c r="AW57" s="47">
        <f t="shared" si="85"/>
        <v>1.4364414838747823</v>
      </c>
      <c r="AX57" s="47">
        <f t="shared" si="86"/>
        <v>5.4271857207465066E-2</v>
      </c>
      <c r="AY57" s="46">
        <f t="shared" si="87"/>
        <v>1.8185013151436096E-2</v>
      </c>
      <c r="AZ57" s="26"/>
      <c r="BA57" s="23">
        <f>IF(OR(AW57="",$AK57=""),"",AK57/$AW57)</f>
        <v>0.62291891540767586</v>
      </c>
      <c r="BB57" s="13">
        <f t="shared" si="6"/>
        <v>1.0503537268745283E-2</v>
      </c>
      <c r="BC57" s="13">
        <f t="shared" si="7"/>
        <v>0.11948898964821014</v>
      </c>
      <c r="BD57" s="13">
        <f t="shared" si="8"/>
        <v>0</v>
      </c>
      <c r="BE57" s="13">
        <f t="shared" si="9"/>
        <v>6.309364813020886E-2</v>
      </c>
      <c r="BF57" s="13">
        <f t="shared" si="10"/>
        <v>3.7782156681431554E-2</v>
      </c>
      <c r="BG57" s="13">
        <f t="shared" si="11"/>
        <v>1.2659766064665758E-2</v>
      </c>
      <c r="BH57" s="13">
        <f t="shared" si="12"/>
        <v>0</v>
      </c>
      <c r="BI57" s="13">
        <f t="shared" si="13"/>
        <v>4.7802335999801326E-2</v>
      </c>
      <c r="BJ57" s="13">
        <f t="shared" si="14"/>
        <v>7.2795450860386732E-2</v>
      </c>
      <c r="BK57" s="13">
        <f t="shared" si="15"/>
        <v>5.0260047112581939E-2</v>
      </c>
      <c r="BL57" s="13">
        <f t="shared" si="16"/>
        <v>1.3137075572389989E-2</v>
      </c>
      <c r="BM57" s="13">
        <f t="shared" si="17"/>
        <v>0</v>
      </c>
      <c r="BN57" s="13">
        <f t="shared" si="18"/>
        <v>0.23680824350704913</v>
      </c>
      <c r="BO57" s="12">
        <f t="shared" si="89"/>
        <v>1.0000000000000002</v>
      </c>
      <c r="BP57" s="13"/>
      <c r="BQ57" s="23">
        <f t="shared" si="90"/>
        <v>1.7895731423637438</v>
      </c>
      <c r="BR57" s="13">
        <f t="shared" si="19"/>
        <v>3.0175433320501106E-2</v>
      </c>
      <c r="BS57" s="13">
        <f t="shared" si="20"/>
        <v>0.51471489662433578</v>
      </c>
      <c r="BT57" s="13">
        <f t="shared" si="21"/>
        <v>0</v>
      </c>
      <c r="BU57" s="13">
        <f t="shared" si="22"/>
        <v>9.0630333543230593E-2</v>
      </c>
      <c r="BV57" s="13">
        <f t="shared" si="91"/>
        <v>5.4271857207465066E-2</v>
      </c>
      <c r="BW57" s="24">
        <f t="shared" si="92"/>
        <v>5.4555039454308285E-2</v>
      </c>
      <c r="BX57" s="13">
        <f t="shared" si="23"/>
        <v>0</v>
      </c>
      <c r="BY57" s="13">
        <f t="shared" si="24"/>
        <v>6.8699335507578591E-2</v>
      </c>
      <c r="BZ57" s="13">
        <f t="shared" si="25"/>
        <v>0.10452912687730855</v>
      </c>
      <c r="CA57" s="13">
        <f t="shared" si="26"/>
        <v>7.2172327745415585E-2</v>
      </c>
      <c r="CB57" s="13">
        <f t="shared" si="27"/>
        <v>1.8870640328979033E-2</v>
      </c>
      <c r="CC57" s="13">
        <f t="shared" si="28"/>
        <v>0</v>
      </c>
      <c r="CD57" s="13">
        <f t="shared" si="93"/>
        <v>0.34016118469704643</v>
      </c>
      <c r="CE57" s="12">
        <f t="shared" si="94"/>
        <v>3.0295264210081392</v>
      </c>
      <c r="CF57" s="13"/>
      <c r="CG57" s="23">
        <f t="shared" si="127"/>
        <v>0.59071052490383147</v>
      </c>
      <c r="CH57" s="13">
        <f t="shared" si="127"/>
        <v>9.9604456694124457E-3</v>
      </c>
      <c r="CI57" s="13">
        <f t="shared" si="127"/>
        <v>0.16989945790043762</v>
      </c>
      <c r="CJ57" s="13">
        <f t="shared" si="127"/>
        <v>0</v>
      </c>
      <c r="CK57" s="13">
        <f t="shared" si="127"/>
        <v>2.991567689086911E-2</v>
      </c>
      <c r="CL57" s="13">
        <f t="shared" si="127"/>
        <v>1.7914303975406477E-2</v>
      </c>
      <c r="CM57" s="13">
        <f t="shared" si="127"/>
        <v>1.8007778072506111E-2</v>
      </c>
      <c r="CN57" s="13">
        <f t="shared" si="127"/>
        <v>0</v>
      </c>
      <c r="CO57" s="13">
        <f t="shared" si="127"/>
        <v>2.2676592298778313E-2</v>
      </c>
      <c r="CP57" s="13">
        <f t="shared" si="156"/>
        <v>3.4503454451644711E-2</v>
      </c>
      <c r="CQ57" s="13">
        <f t="shared" si="156"/>
        <v>2.3822973533070793E-2</v>
      </c>
      <c r="CR57" s="13">
        <f t="shared" si="156"/>
        <v>6.2289076596663004E-3</v>
      </c>
      <c r="CS57" s="13">
        <f t="shared" si="156"/>
        <v>0</v>
      </c>
      <c r="CT57" s="13">
        <f t="shared" si="156"/>
        <v>0.11228196669228935</v>
      </c>
      <c r="CU57" s="12">
        <f t="shared" si="30"/>
        <v>1.0000000000000002</v>
      </c>
      <c r="CV57" s="26"/>
      <c r="CW57" s="23">
        <f t="shared" si="31"/>
        <v>0.89478657118187188</v>
      </c>
      <c r="CX57" s="13">
        <f t="shared" si="32"/>
        <v>1.5087716660250553E-2</v>
      </c>
      <c r="CY57" s="13">
        <f t="shared" si="33"/>
        <v>0.34314326441622384</v>
      </c>
      <c r="CZ57" s="13">
        <f t="shared" si="34"/>
        <v>0</v>
      </c>
      <c r="DA57" s="13">
        <f t="shared" si="35"/>
        <v>7.9944289693593323E-2</v>
      </c>
      <c r="DB57" s="13">
        <f t="shared" si="36"/>
        <v>5.4271857207465066E-2</v>
      </c>
      <c r="DC57" s="24">
        <f t="shared" si="37"/>
        <v>3.6370026302872192E-2</v>
      </c>
      <c r="DD57" s="13">
        <f t="shared" si="38"/>
        <v>0</v>
      </c>
      <c r="DE57" s="13">
        <f t="shared" si="39"/>
        <v>6.8699335507578591E-2</v>
      </c>
      <c r="DF57" s="13">
        <f t="shared" si="40"/>
        <v>0.10452912687730855</v>
      </c>
      <c r="DG57" s="13">
        <f t="shared" si="41"/>
        <v>0.14434465549083117</v>
      </c>
      <c r="DH57" s="13">
        <f t="shared" si="42"/>
        <v>3.7741280657958065E-2</v>
      </c>
      <c r="DI57" s="13">
        <f t="shared" si="43"/>
        <v>0</v>
      </c>
      <c r="DJ57" s="13">
        <f t="shared" si="95"/>
        <v>0.68032236939409285</v>
      </c>
      <c r="DK57" s="12">
        <f t="shared" si="96"/>
        <v>2.3685986098797089</v>
      </c>
      <c r="DL57" s="26"/>
      <c r="DM57" s="23">
        <f t="shared" si="152"/>
        <v>0.3777704535709891</v>
      </c>
      <c r="DN57" s="13">
        <f t="shared" si="152"/>
        <v>6.3698917145851037E-3</v>
      </c>
      <c r="DO57" s="13">
        <f t="shared" si="151"/>
        <v>0.14487185080027157</v>
      </c>
      <c r="DP57" s="13">
        <f t="shared" si="151"/>
        <v>0</v>
      </c>
      <c r="DQ57" s="13">
        <f t="shared" si="151"/>
        <v>3.3751725328274744E-2</v>
      </c>
      <c r="DR57" s="13">
        <f t="shared" si="151"/>
        <v>2.2913066393390014E-2</v>
      </c>
      <c r="DS57" s="13">
        <f t="shared" si="151"/>
        <v>1.5355082178621759E-2</v>
      </c>
      <c r="DT57" s="13">
        <f t="shared" si="151"/>
        <v>0</v>
      </c>
      <c r="DU57" s="13">
        <f t="shared" si="151"/>
        <v>2.9004211697594273E-2</v>
      </c>
      <c r="DV57" s="13">
        <f t="shared" si="151"/>
        <v>4.4131211781221612E-2</v>
      </c>
      <c r="DW57" s="13">
        <f t="shared" si="151"/>
        <v>6.0940952548377045E-2</v>
      </c>
      <c r="DX57" s="13">
        <f t="shared" si="151"/>
        <v>1.5934012838027794E-2</v>
      </c>
      <c r="DY57" s="13">
        <f t="shared" si="151"/>
        <v>0</v>
      </c>
      <c r="DZ57" s="13">
        <f t="shared" si="151"/>
        <v>0.28722568972065871</v>
      </c>
      <c r="EA57" s="12">
        <f t="shared" si="45"/>
        <v>1</v>
      </c>
      <c r="EB57" s="26"/>
      <c r="EC57" s="30">
        <f t="shared" si="46"/>
        <v>1223</v>
      </c>
      <c r="ED57" s="14">
        <f t="shared" si="98"/>
        <v>1000000000</v>
      </c>
      <c r="EE57" s="29"/>
      <c r="EF57" s="184">
        <f t="shared" si="122"/>
        <v>-8.2859403107113661</v>
      </c>
      <c r="EG57" s="13">
        <f t="shared" si="99"/>
        <v>2.6</v>
      </c>
      <c r="EH57" s="13">
        <f t="shared" si="100"/>
        <v>2.3622363041700734</v>
      </c>
      <c r="EI57" s="12">
        <f t="shared" si="47"/>
        <v>7.0390425183973839</v>
      </c>
      <c r="EJ57" s="29"/>
      <c r="EK57" s="28">
        <f t="shared" si="101"/>
        <v>-1.0937256261981361</v>
      </c>
      <c r="EL57" s="24">
        <f t="shared" si="102"/>
        <v>-0.4749134286574625</v>
      </c>
      <c r="EM57" s="24">
        <f t="shared" si="103"/>
        <v>0.33496620722576304</v>
      </c>
      <c r="EN57" s="24">
        <f t="shared" si="104"/>
        <v>3.7782156681431554E-2</v>
      </c>
      <c r="EO57" s="24">
        <f t="shared" si="105"/>
        <v>1.2655745724388649E-2</v>
      </c>
      <c r="EP57" s="24">
        <f t="shared" si="106"/>
        <v>0.40117337004417586</v>
      </c>
      <c r="EQ57" s="24">
        <f t="shared" si="107"/>
        <v>-1.0934080074713723</v>
      </c>
      <c r="ER57" s="24">
        <f t="shared" si="48"/>
        <v>-19.07680015939572</v>
      </c>
      <c r="ES57" s="25">
        <f t="shared" si="49"/>
        <v>-8.2834564304801219</v>
      </c>
      <c r="ET57" s="26"/>
      <c r="EU57" s="23">
        <f t="shared" si="123"/>
        <v>-0.33185336349373529</v>
      </c>
      <c r="EV57" s="12">
        <f t="shared" si="50"/>
        <v>0.31775230696003387</v>
      </c>
      <c r="EW57" s="26"/>
      <c r="EX57" s="27">
        <f t="shared" si="108"/>
        <v>0.99920630222183082</v>
      </c>
      <c r="EY57" s="26"/>
      <c r="EZ57" s="23">
        <f t="shared" si="128"/>
        <v>-7.6464466046828425</v>
      </c>
      <c r="FA57" s="13">
        <f t="shared" si="52"/>
        <v>14.547579502582192</v>
      </c>
      <c r="FB57" s="13">
        <f t="shared" si="129"/>
        <v>-25.250456749217264</v>
      </c>
      <c r="FC57" s="13">
        <f t="shared" si="130"/>
        <v>9.2863175747174154</v>
      </c>
      <c r="FD57" s="12">
        <f t="shared" si="55"/>
        <v>0.99990732485591149</v>
      </c>
      <c r="FE57" s="13"/>
      <c r="FF57" s="23">
        <f t="shared" si="131"/>
        <v>-6.952907327225363</v>
      </c>
      <c r="FG57" s="13">
        <f t="shared" si="132"/>
        <v>12.720620206056534</v>
      </c>
      <c r="FH57" s="13">
        <f t="shared" si="133"/>
        <v>13.762131068747948</v>
      </c>
      <c r="FI57" s="24">
        <f t="shared" si="134"/>
        <v>0.99920930397158436</v>
      </c>
      <c r="FJ57" s="25">
        <f t="shared" si="135"/>
        <v>0.99992808640620312</v>
      </c>
      <c r="FK57" s="13"/>
      <c r="FL57" s="23">
        <f t="shared" si="110"/>
        <v>12.155752280962105</v>
      </c>
      <c r="FM57" s="13">
        <f t="shared" si="124"/>
        <v>-6.9386842446305206</v>
      </c>
      <c r="FN57" s="13">
        <f t="shared" si="136"/>
        <v>2.5225559041698951</v>
      </c>
      <c r="FO57" s="13">
        <f t="shared" si="60"/>
        <v>0.99700675547482709</v>
      </c>
      <c r="FP57" s="23">
        <f t="shared" si="137"/>
        <v>1.6296695591167456</v>
      </c>
      <c r="FQ57" s="13">
        <f t="shared" si="138"/>
        <v>0.97707763037092299</v>
      </c>
      <c r="FR57" s="13">
        <f t="shared" si="139"/>
        <v>1.9796286760423385</v>
      </c>
      <c r="FS57" s="13">
        <f t="shared" si="115"/>
        <v>0.98962845400459387</v>
      </c>
      <c r="FT57" s="13">
        <f t="shared" si="140"/>
        <v>1.5397267954209184</v>
      </c>
      <c r="FU57" s="12">
        <f t="shared" si="117"/>
        <v>0.97195098788088752</v>
      </c>
      <c r="FV57" s="22"/>
      <c r="FW57" s="11">
        <f t="shared" si="141"/>
        <v>2.6</v>
      </c>
      <c r="FX57" s="10">
        <f t="shared" si="142"/>
        <v>2.3622363041700734</v>
      </c>
      <c r="FY57" s="10">
        <f t="shared" si="143"/>
        <v>7.0390425183973839</v>
      </c>
      <c r="FZ57" s="5">
        <f t="shared" si="144"/>
        <v>-8.2859403107113661</v>
      </c>
      <c r="GA57" s="10">
        <f t="shared" si="145"/>
        <v>0.40117337004417586</v>
      </c>
      <c r="GB57" s="9">
        <f t="shared" si="118"/>
        <v>12.155752280962105</v>
      </c>
      <c r="GC57" s="8">
        <f t="shared" si="119"/>
        <v>-6.9386842446305206</v>
      </c>
      <c r="GD57" s="8">
        <f t="shared" si="120"/>
        <v>0.99700675547482709</v>
      </c>
      <c r="GE57" s="7">
        <f t="shared" si="121"/>
        <v>0.97707763037092299</v>
      </c>
      <c r="GF57" s="6">
        <f t="shared" si="146"/>
        <v>0.99920930397158436</v>
      </c>
      <c r="GG57" s="5">
        <f t="shared" si="147"/>
        <v>0.99992808640620312</v>
      </c>
      <c r="GH57" s="4">
        <f t="shared" si="148"/>
        <v>0.99990732485591149</v>
      </c>
      <c r="GI57" s="4">
        <f t="shared" si="149"/>
        <v>0.99920630222183082</v>
      </c>
      <c r="GJ57" s="4">
        <f t="shared" si="150"/>
        <v>0.31775230696003387</v>
      </c>
      <c r="GK57" s="1"/>
    </row>
    <row r="58" spans="1:193" x14ac:dyDescent="0.4">
      <c r="A58" s="34"/>
      <c r="B58" s="21"/>
      <c r="C58" s="21"/>
      <c r="D58" s="34"/>
      <c r="E58" s="34"/>
      <c r="F58" s="20" t="s">
        <v>84</v>
      </c>
      <c r="G58" s="19">
        <v>950</v>
      </c>
      <c r="H58" s="18">
        <v>1</v>
      </c>
      <c r="I58" s="17">
        <v>3</v>
      </c>
      <c r="J58" s="16">
        <v>52.63</v>
      </c>
      <c r="K58" s="16">
        <v>1.18</v>
      </c>
      <c r="L58" s="16">
        <v>17.13</v>
      </c>
      <c r="M58" s="16">
        <v>0</v>
      </c>
      <c r="N58" s="16">
        <f t="shared" si="153"/>
        <v>6.3739999999999997</v>
      </c>
      <c r="O58" s="16">
        <v>0</v>
      </c>
      <c r="P58" s="16">
        <v>2.71</v>
      </c>
      <c r="Q58" s="16">
        <v>5.74</v>
      </c>
      <c r="R58" s="16">
        <v>4.38</v>
      </c>
      <c r="S58" s="16">
        <v>1.74</v>
      </c>
      <c r="T58" s="16">
        <v>0</v>
      </c>
      <c r="U58" s="15">
        <v>6</v>
      </c>
      <c r="V58" s="16"/>
      <c r="W58" s="28">
        <f t="shared" si="71"/>
        <v>53.767725062318682</v>
      </c>
      <c r="X58" s="24">
        <f t="shared" si="155"/>
        <v>1.2055085611540193</v>
      </c>
      <c r="Y58" s="24">
        <f t="shared" si="155"/>
        <v>17.500306485227416</v>
      </c>
      <c r="Z58" s="24">
        <f t="shared" si="154"/>
        <v>0</v>
      </c>
      <c r="AA58" s="24">
        <f t="shared" si="154"/>
        <v>6.5117894650811179</v>
      </c>
      <c r="AB58" s="24">
        <f t="shared" si="154"/>
        <v>0</v>
      </c>
      <c r="AC58" s="24">
        <f t="shared" si="154"/>
        <v>2.7685832209554171</v>
      </c>
      <c r="AD58" s="24">
        <f t="shared" si="154"/>
        <v>5.8640840178170093</v>
      </c>
      <c r="AE58" s="24">
        <f t="shared" si="154"/>
        <v>4.4746843202157667</v>
      </c>
      <c r="AF58" s="24">
        <f t="shared" si="154"/>
        <v>1.777614318989825</v>
      </c>
      <c r="AG58" s="24">
        <f t="shared" si="154"/>
        <v>0</v>
      </c>
      <c r="AH58" s="24">
        <f t="shared" si="154"/>
        <v>6.1297045482407766</v>
      </c>
      <c r="AI58" s="14">
        <f t="shared" si="72"/>
        <v>100.00000000000004</v>
      </c>
      <c r="AJ58" s="26"/>
      <c r="AK58" s="50">
        <f t="shared" si="73"/>
        <v>0.89478657118187188</v>
      </c>
      <c r="AL58" s="47">
        <f t="shared" si="74"/>
        <v>1.5087716660250553E-2</v>
      </c>
      <c r="AM58" s="47">
        <f t="shared" si="75"/>
        <v>0.17163894159697349</v>
      </c>
      <c r="AN58" s="49">
        <f t="shared" si="76"/>
        <v>0</v>
      </c>
      <c r="AO58" s="49">
        <f t="shared" si="77"/>
        <v>9.0630333543230593E-2</v>
      </c>
      <c r="AP58" s="47">
        <f t="shared" si="78"/>
        <v>0</v>
      </c>
      <c r="AQ58" s="47">
        <f t="shared" si="79"/>
        <v>6.8665258456235542E-2</v>
      </c>
      <c r="AR58" s="47">
        <f t="shared" si="80"/>
        <v>0.10456640545322771</v>
      </c>
      <c r="AS58" s="47">
        <f t="shared" si="81"/>
        <v>7.2195616654013667E-2</v>
      </c>
      <c r="AT58" s="47">
        <f t="shared" si="82"/>
        <v>1.8870640328979033E-2</v>
      </c>
      <c r="AU58" s="47">
        <f t="shared" si="83"/>
        <v>0</v>
      </c>
      <c r="AV58" s="47">
        <f t="shared" si="84"/>
        <v>0.34016118469704643</v>
      </c>
      <c r="AW58" s="47">
        <f t="shared" si="85"/>
        <v>1.4364414838747823</v>
      </c>
      <c r="AX58" s="47">
        <f t="shared" si="86"/>
        <v>5.0281075660330493E-2</v>
      </c>
      <c r="AY58" s="46">
        <f t="shared" si="87"/>
        <v>2.0181037799140097E-2</v>
      </c>
      <c r="AZ58" s="26"/>
      <c r="BA58" s="23">
        <f t="shared" si="88"/>
        <v>0.62291891540767586</v>
      </c>
      <c r="BB58" s="13">
        <f t="shared" si="6"/>
        <v>1.0503537268745283E-2</v>
      </c>
      <c r="BC58" s="13">
        <f t="shared" si="7"/>
        <v>0.11948898964821014</v>
      </c>
      <c r="BD58" s="13">
        <f t="shared" si="8"/>
        <v>0</v>
      </c>
      <c r="BE58" s="13">
        <f t="shared" si="9"/>
        <v>6.309364813020886E-2</v>
      </c>
      <c r="BF58" s="13">
        <f t="shared" si="10"/>
        <v>3.5003915039196684E-2</v>
      </c>
      <c r="BG58" s="13">
        <f t="shared" si="11"/>
        <v>1.4049328166645541E-2</v>
      </c>
      <c r="BH58" s="13">
        <f t="shared" si="12"/>
        <v>0</v>
      </c>
      <c r="BI58" s="13">
        <f t="shared" si="13"/>
        <v>4.7802335999801326E-2</v>
      </c>
      <c r="BJ58" s="13">
        <f t="shared" si="14"/>
        <v>7.2795450860386732E-2</v>
      </c>
      <c r="BK58" s="13">
        <f t="shared" si="15"/>
        <v>5.0260047112581939E-2</v>
      </c>
      <c r="BL58" s="13">
        <f t="shared" si="16"/>
        <v>1.3137075572389989E-2</v>
      </c>
      <c r="BM58" s="13">
        <f t="shared" si="17"/>
        <v>0</v>
      </c>
      <c r="BN58" s="13">
        <f t="shared" si="18"/>
        <v>0.23680824350704913</v>
      </c>
      <c r="BO58" s="12">
        <f t="shared" si="89"/>
        <v>1.0000000000000002</v>
      </c>
      <c r="BP58" s="13"/>
      <c r="BQ58" s="23">
        <f t="shared" si="90"/>
        <v>1.7895731423637438</v>
      </c>
      <c r="BR58" s="13">
        <f t="shared" si="19"/>
        <v>3.0175433320501106E-2</v>
      </c>
      <c r="BS58" s="13">
        <f t="shared" si="20"/>
        <v>0.51471489662433578</v>
      </c>
      <c r="BT58" s="13">
        <f t="shared" si="21"/>
        <v>0</v>
      </c>
      <c r="BU58" s="13">
        <f t="shared" si="22"/>
        <v>9.0630333543230593E-2</v>
      </c>
      <c r="BV58" s="13">
        <f t="shared" si="91"/>
        <v>5.0281075660330493E-2</v>
      </c>
      <c r="BW58" s="24">
        <f t="shared" si="92"/>
        <v>6.0543113397420294E-2</v>
      </c>
      <c r="BX58" s="13">
        <f t="shared" si="23"/>
        <v>0</v>
      </c>
      <c r="BY58" s="13">
        <f t="shared" si="24"/>
        <v>6.8699335507578591E-2</v>
      </c>
      <c r="BZ58" s="13">
        <f t="shared" si="25"/>
        <v>0.10452912687730855</v>
      </c>
      <c r="CA58" s="13">
        <f t="shared" si="26"/>
        <v>7.2172327745415585E-2</v>
      </c>
      <c r="CB58" s="13">
        <f t="shared" si="27"/>
        <v>1.8870640328979033E-2</v>
      </c>
      <c r="CC58" s="13">
        <f t="shared" si="28"/>
        <v>0</v>
      </c>
      <c r="CD58" s="13">
        <f t="shared" si="93"/>
        <v>0.34016118469704643</v>
      </c>
      <c r="CE58" s="12">
        <f t="shared" si="94"/>
        <v>3.0295264210081392</v>
      </c>
      <c r="CF58" s="13"/>
      <c r="CG58" s="23">
        <f t="shared" si="127"/>
        <v>0.59071052490383147</v>
      </c>
      <c r="CH58" s="13">
        <f t="shared" si="127"/>
        <v>9.9604456694124457E-3</v>
      </c>
      <c r="CI58" s="13">
        <f t="shared" si="127"/>
        <v>0.16989945790043762</v>
      </c>
      <c r="CJ58" s="13">
        <f t="shared" si="127"/>
        <v>0</v>
      </c>
      <c r="CK58" s="13">
        <f t="shared" si="127"/>
        <v>2.991567689086911E-2</v>
      </c>
      <c r="CL58" s="13">
        <f t="shared" si="127"/>
        <v>1.6597008466953195E-2</v>
      </c>
      <c r="CM58" s="13">
        <f t="shared" si="127"/>
        <v>1.9984349031448054E-2</v>
      </c>
      <c r="CN58" s="13">
        <f t="shared" si="127"/>
        <v>0</v>
      </c>
      <c r="CO58" s="13">
        <f t="shared" si="127"/>
        <v>2.2676592298778313E-2</v>
      </c>
      <c r="CP58" s="13">
        <f t="shared" si="156"/>
        <v>3.4503454451644711E-2</v>
      </c>
      <c r="CQ58" s="13">
        <f t="shared" si="156"/>
        <v>2.3822973533070793E-2</v>
      </c>
      <c r="CR58" s="13">
        <f t="shared" si="156"/>
        <v>6.2289076596663004E-3</v>
      </c>
      <c r="CS58" s="13">
        <f t="shared" si="156"/>
        <v>0</v>
      </c>
      <c r="CT58" s="13">
        <f t="shared" si="156"/>
        <v>0.11228196669228935</v>
      </c>
      <c r="CU58" s="12">
        <f t="shared" si="30"/>
        <v>1.0000000000000002</v>
      </c>
      <c r="CV58" s="26"/>
      <c r="CW58" s="23">
        <f t="shared" si="31"/>
        <v>0.89478657118187188</v>
      </c>
      <c r="CX58" s="13">
        <f t="shared" si="32"/>
        <v>1.5087716660250553E-2</v>
      </c>
      <c r="CY58" s="13">
        <f t="shared" si="33"/>
        <v>0.34314326441622384</v>
      </c>
      <c r="CZ58" s="13">
        <f t="shared" si="34"/>
        <v>0</v>
      </c>
      <c r="DA58" s="13">
        <f t="shared" si="35"/>
        <v>7.9944289693593323E-2</v>
      </c>
      <c r="DB58" s="13">
        <f t="shared" si="36"/>
        <v>5.0281075660330493E-2</v>
      </c>
      <c r="DC58" s="24">
        <f t="shared" si="37"/>
        <v>4.0362075598280193E-2</v>
      </c>
      <c r="DD58" s="13">
        <f t="shared" si="38"/>
        <v>0</v>
      </c>
      <c r="DE58" s="13">
        <f t="shared" si="39"/>
        <v>6.8699335507578591E-2</v>
      </c>
      <c r="DF58" s="13">
        <f t="shared" si="40"/>
        <v>0.10452912687730855</v>
      </c>
      <c r="DG58" s="13">
        <f t="shared" si="41"/>
        <v>0.14434465549083117</v>
      </c>
      <c r="DH58" s="13">
        <f t="shared" si="42"/>
        <v>3.7741280657958065E-2</v>
      </c>
      <c r="DI58" s="13">
        <f t="shared" si="43"/>
        <v>0</v>
      </c>
      <c r="DJ58" s="13">
        <f t="shared" si="95"/>
        <v>0.68032236939409285</v>
      </c>
      <c r="DK58" s="12">
        <f t="shared" si="96"/>
        <v>2.3685986098797089</v>
      </c>
      <c r="DL58" s="26"/>
      <c r="DM58" s="23">
        <f t="shared" si="152"/>
        <v>0.3777704535709891</v>
      </c>
      <c r="DN58" s="13">
        <f t="shared" si="152"/>
        <v>6.3698917145851037E-3</v>
      </c>
      <c r="DO58" s="13">
        <f t="shared" si="151"/>
        <v>0.14487185080027157</v>
      </c>
      <c r="DP58" s="13">
        <f t="shared" si="151"/>
        <v>0</v>
      </c>
      <c r="DQ58" s="13">
        <f t="shared" si="151"/>
        <v>3.3751725328274744E-2</v>
      </c>
      <c r="DR58" s="13">
        <f t="shared" si="151"/>
        <v>2.1228196052552804E-2</v>
      </c>
      <c r="DS58" s="13">
        <f t="shared" si="151"/>
        <v>1.7040487750826644E-2</v>
      </c>
      <c r="DT58" s="13">
        <f t="shared" si="151"/>
        <v>0</v>
      </c>
      <c r="DU58" s="13">
        <f t="shared" si="151"/>
        <v>2.9004211697594273E-2</v>
      </c>
      <c r="DV58" s="13">
        <f t="shared" si="151"/>
        <v>4.4131211781221612E-2</v>
      </c>
      <c r="DW58" s="13">
        <f t="shared" si="151"/>
        <v>6.0940952548377045E-2</v>
      </c>
      <c r="DX58" s="13">
        <f t="shared" si="151"/>
        <v>1.5934012838027794E-2</v>
      </c>
      <c r="DY58" s="13">
        <f t="shared" si="151"/>
        <v>0</v>
      </c>
      <c r="DZ58" s="13">
        <f t="shared" si="151"/>
        <v>0.28722568972065871</v>
      </c>
      <c r="EA58" s="12">
        <f t="shared" si="45"/>
        <v>1</v>
      </c>
      <c r="EB58" s="26"/>
      <c r="EC58" s="30">
        <f t="shared" si="46"/>
        <v>1223</v>
      </c>
      <c r="ED58" s="14">
        <f t="shared" si="98"/>
        <v>1000000000</v>
      </c>
      <c r="EE58" s="29"/>
      <c r="EF58" s="184">
        <f t="shared" si="122"/>
        <v>-7.8859403107113657</v>
      </c>
      <c r="EG58" s="13">
        <f t="shared" si="99"/>
        <v>3</v>
      </c>
      <c r="EH58" s="13">
        <f t="shared" si="100"/>
        <v>2.7622363041700737</v>
      </c>
      <c r="EI58" s="12">
        <f t="shared" si="47"/>
        <v>7.4390425183973843</v>
      </c>
      <c r="EJ58" s="29"/>
      <c r="EK58" s="28">
        <f t="shared" si="101"/>
        <v>-0.91320295490740278</v>
      </c>
      <c r="EL58" s="24">
        <f t="shared" si="102"/>
        <v>-0.39652755315128213</v>
      </c>
      <c r="EM58" s="24">
        <f t="shared" si="103"/>
        <v>0.40123701962420272</v>
      </c>
      <c r="EN58" s="24">
        <f t="shared" si="104"/>
        <v>3.5003915039196684E-2</v>
      </c>
      <c r="EO58" s="24">
        <f t="shared" si="105"/>
        <v>1.4044866545506084E-2</v>
      </c>
      <c r="EP58" s="24">
        <f t="shared" si="106"/>
        <v>0.4452069887137019</v>
      </c>
      <c r="EQ58" s="24">
        <f t="shared" si="107"/>
        <v>-0.91288533618063883</v>
      </c>
      <c r="ER58" s="24">
        <f t="shared" si="48"/>
        <v>-18.155766122198095</v>
      </c>
      <c r="ES58" s="25">
        <f t="shared" si="49"/>
        <v>-7.8835284942240973</v>
      </c>
      <c r="ET58" s="26"/>
      <c r="EU58" s="23">
        <f t="shared" si="123"/>
        <v>0.29534663650626314</v>
      </c>
      <c r="EV58" s="12">
        <f t="shared" si="50"/>
        <v>0.66375225882657019</v>
      </c>
      <c r="EW58" s="26"/>
      <c r="EX58" s="27">
        <f t="shared" si="108"/>
        <v>0.99987412330575753</v>
      </c>
      <c r="EY58" s="26"/>
      <c r="EZ58" s="23">
        <f t="shared" si="128"/>
        <v>-7.6464466046828425</v>
      </c>
      <c r="FA58" s="13">
        <f t="shared" si="52"/>
        <v>14.524848218343589</v>
      </c>
      <c r="FB58" s="13">
        <f t="shared" si="129"/>
        <v>-25.250456749217264</v>
      </c>
      <c r="FC58" s="13">
        <f t="shared" si="130"/>
        <v>11.105654364874049</v>
      </c>
      <c r="FD58" s="12">
        <f t="shared" si="55"/>
        <v>0.99998497311145418</v>
      </c>
      <c r="FE58" s="13"/>
      <c r="FF58" s="23">
        <f t="shared" si="131"/>
        <v>-6.9800901454975079</v>
      </c>
      <c r="FG58" s="13">
        <f t="shared" si="132"/>
        <v>12.720620206056534</v>
      </c>
      <c r="FH58" s="13">
        <f t="shared" si="133"/>
        <v>13.762131068747948</v>
      </c>
      <c r="FI58" s="24">
        <f t="shared" si="134"/>
        <v>0.99988220710107656</v>
      </c>
      <c r="FJ58" s="25">
        <f t="shared" si="135"/>
        <v>0.9999892933216129</v>
      </c>
      <c r="FK58" s="13"/>
      <c r="FL58" s="23">
        <f t="shared" si="110"/>
        <v>12.155752280962105</v>
      </c>
      <c r="FM58" s="13">
        <f t="shared" si="124"/>
        <v>-6.9496815283608395</v>
      </c>
      <c r="FN58" s="13">
        <f t="shared" si="136"/>
        <v>3.3335531879002147</v>
      </c>
      <c r="FO58" s="13">
        <f t="shared" si="60"/>
        <v>0.99953629115575882</v>
      </c>
      <c r="FP58" s="23">
        <f t="shared" si="137"/>
        <v>2.4406668428470653</v>
      </c>
      <c r="FQ58" s="13">
        <f t="shared" si="138"/>
        <v>0.99638788477731344</v>
      </c>
      <c r="FR58" s="13">
        <f t="shared" si="139"/>
        <v>2.7906259597726581</v>
      </c>
      <c r="FS58" s="13">
        <f t="shared" si="115"/>
        <v>0.9983831442315807</v>
      </c>
      <c r="FT58" s="13">
        <f t="shared" si="140"/>
        <v>2.350724079151238</v>
      </c>
      <c r="FU58" s="12">
        <f t="shared" si="117"/>
        <v>0.995560403138117</v>
      </c>
      <c r="FV58" s="22"/>
      <c r="FW58" s="11">
        <f t="shared" si="141"/>
        <v>3</v>
      </c>
      <c r="FX58" s="10">
        <f t="shared" si="142"/>
        <v>2.7622363041700737</v>
      </c>
      <c r="FY58" s="10">
        <f t="shared" si="143"/>
        <v>7.4390425183973843</v>
      </c>
      <c r="FZ58" s="5">
        <f t="shared" si="144"/>
        <v>-7.8859403107113657</v>
      </c>
      <c r="GA58" s="10">
        <f t="shared" si="145"/>
        <v>0.4452069887137019</v>
      </c>
      <c r="GB58" s="9">
        <f t="shared" si="118"/>
        <v>12.155752280962105</v>
      </c>
      <c r="GC58" s="8">
        <f t="shared" si="119"/>
        <v>-6.9496815283608395</v>
      </c>
      <c r="GD58" s="8">
        <f t="shared" si="120"/>
        <v>0.99953629115575882</v>
      </c>
      <c r="GE58" s="7">
        <f t="shared" si="121"/>
        <v>0.99638788477731344</v>
      </c>
      <c r="GF58" s="6">
        <f t="shared" si="146"/>
        <v>0.99988220710107656</v>
      </c>
      <c r="GG58" s="5">
        <f t="shared" si="147"/>
        <v>0.9999892933216129</v>
      </c>
      <c r="GH58" s="4">
        <f t="shared" si="148"/>
        <v>0.99998497311145418</v>
      </c>
      <c r="GI58" s="4">
        <f t="shared" si="149"/>
        <v>0.99987412330575753</v>
      </c>
      <c r="GJ58" s="4">
        <f t="shared" si="150"/>
        <v>0.66375225882657019</v>
      </c>
      <c r="GK58" s="1"/>
    </row>
    <row r="59" spans="1:193" x14ac:dyDescent="0.4">
      <c r="A59" s="34"/>
      <c r="B59" s="33"/>
      <c r="C59" s="33"/>
      <c r="D59" s="34"/>
      <c r="E59" s="34"/>
      <c r="F59" s="20" t="s">
        <v>84</v>
      </c>
      <c r="G59" s="19">
        <v>950</v>
      </c>
      <c r="H59" s="18">
        <v>1</v>
      </c>
      <c r="I59" s="17">
        <v>3.4</v>
      </c>
      <c r="J59" s="16">
        <v>52.63</v>
      </c>
      <c r="K59" s="16">
        <v>1.18</v>
      </c>
      <c r="L59" s="16">
        <v>17.13</v>
      </c>
      <c r="M59" s="16">
        <v>0</v>
      </c>
      <c r="N59" s="16">
        <f t="shared" si="153"/>
        <v>6.3739999999999997</v>
      </c>
      <c r="O59" s="16">
        <v>0</v>
      </c>
      <c r="P59" s="16">
        <v>2.71</v>
      </c>
      <c r="Q59" s="16">
        <v>5.74</v>
      </c>
      <c r="R59" s="16">
        <v>4.38</v>
      </c>
      <c r="S59" s="16">
        <v>1.74</v>
      </c>
      <c r="T59" s="16">
        <v>0</v>
      </c>
      <c r="U59" s="15">
        <v>6</v>
      </c>
      <c r="V59" s="16"/>
      <c r="W59" s="28">
        <f t="shared" si="71"/>
        <v>53.767725062318682</v>
      </c>
      <c r="X59" s="24">
        <f t="shared" si="155"/>
        <v>1.2055085611540193</v>
      </c>
      <c r="Y59" s="24">
        <f t="shared" si="155"/>
        <v>17.500306485227416</v>
      </c>
      <c r="Z59" s="24">
        <f t="shared" si="154"/>
        <v>0</v>
      </c>
      <c r="AA59" s="24">
        <f t="shared" si="154"/>
        <v>6.5117894650811179</v>
      </c>
      <c r="AB59" s="24">
        <f t="shared" si="154"/>
        <v>0</v>
      </c>
      <c r="AC59" s="24">
        <f t="shared" si="154"/>
        <v>2.7685832209554171</v>
      </c>
      <c r="AD59" s="24">
        <f t="shared" si="154"/>
        <v>5.8640840178170093</v>
      </c>
      <c r="AE59" s="24">
        <f t="shared" si="154"/>
        <v>4.4746843202157667</v>
      </c>
      <c r="AF59" s="24">
        <f t="shared" si="154"/>
        <v>1.777614318989825</v>
      </c>
      <c r="AG59" s="24">
        <f t="shared" si="154"/>
        <v>0</v>
      </c>
      <c r="AH59" s="24">
        <f t="shared" si="154"/>
        <v>6.1297045482407766</v>
      </c>
      <c r="AI59" s="14">
        <f t="shared" si="72"/>
        <v>100.00000000000004</v>
      </c>
      <c r="AJ59" s="26"/>
      <c r="AK59" s="50">
        <f t="shared" si="73"/>
        <v>0.89478657118187188</v>
      </c>
      <c r="AL59" s="47">
        <f t="shared" si="74"/>
        <v>1.5087716660250553E-2</v>
      </c>
      <c r="AM59" s="47">
        <f t="shared" si="75"/>
        <v>0.17163894159697349</v>
      </c>
      <c r="AN59" s="49">
        <f t="shared" si="76"/>
        <v>0</v>
      </c>
      <c r="AO59" s="49">
        <f t="shared" si="77"/>
        <v>9.0630333543230593E-2</v>
      </c>
      <c r="AP59" s="47">
        <f t="shared" si="78"/>
        <v>0</v>
      </c>
      <c r="AQ59" s="47">
        <f t="shared" si="79"/>
        <v>6.8665258456235542E-2</v>
      </c>
      <c r="AR59" s="47">
        <f t="shared" si="80"/>
        <v>0.10456640545322771</v>
      </c>
      <c r="AS59" s="47">
        <f t="shared" si="81"/>
        <v>7.2195616654013667E-2</v>
      </c>
      <c r="AT59" s="47">
        <f t="shared" si="82"/>
        <v>1.8870640328979033E-2</v>
      </c>
      <c r="AU59" s="47">
        <f t="shared" si="83"/>
        <v>0</v>
      </c>
      <c r="AV59" s="47">
        <f t="shared" si="84"/>
        <v>0.34016118469704643</v>
      </c>
      <c r="AW59" s="47">
        <f t="shared" si="85"/>
        <v>1.4364414838747823</v>
      </c>
      <c r="AX59" s="47">
        <f t="shared" si="86"/>
        <v>4.6210774710710112E-2</v>
      </c>
      <c r="AY59" s="46">
        <f t="shared" si="87"/>
        <v>2.2216834778518414E-2</v>
      </c>
      <c r="AZ59" s="26"/>
      <c r="BA59" s="23">
        <f t="shared" si="88"/>
        <v>0.62291891540767586</v>
      </c>
      <c r="BB59" s="13">
        <f t="shared" si="6"/>
        <v>1.0503537268745283E-2</v>
      </c>
      <c r="BC59" s="13">
        <f t="shared" si="7"/>
        <v>0.11948898964821014</v>
      </c>
      <c r="BD59" s="13">
        <f t="shared" si="8"/>
        <v>0</v>
      </c>
      <c r="BE59" s="13">
        <f t="shared" si="9"/>
        <v>6.309364813020886E-2</v>
      </c>
      <c r="BF59" s="13">
        <f t="shared" si="10"/>
        <v>3.2170314787941898E-2</v>
      </c>
      <c r="BG59" s="13">
        <f t="shared" si="11"/>
        <v>1.5466578365997054E-2</v>
      </c>
      <c r="BH59" s="13">
        <f t="shared" si="12"/>
        <v>0</v>
      </c>
      <c r="BI59" s="13">
        <f t="shared" si="13"/>
        <v>4.7802335999801326E-2</v>
      </c>
      <c r="BJ59" s="13">
        <f t="shared" si="14"/>
        <v>7.2795450860386732E-2</v>
      </c>
      <c r="BK59" s="13">
        <f t="shared" si="15"/>
        <v>5.0260047112581939E-2</v>
      </c>
      <c r="BL59" s="13">
        <f t="shared" si="16"/>
        <v>1.3137075572389989E-2</v>
      </c>
      <c r="BM59" s="13">
        <f t="shared" si="17"/>
        <v>0</v>
      </c>
      <c r="BN59" s="13">
        <f t="shared" si="18"/>
        <v>0.23680824350704913</v>
      </c>
      <c r="BO59" s="12">
        <f t="shared" si="89"/>
        <v>1.0000000000000002</v>
      </c>
      <c r="BP59" s="13"/>
      <c r="BQ59" s="23">
        <f t="shared" si="90"/>
        <v>1.7895731423637438</v>
      </c>
      <c r="BR59" s="13">
        <f t="shared" si="19"/>
        <v>3.0175433320501106E-2</v>
      </c>
      <c r="BS59" s="13">
        <f t="shared" si="20"/>
        <v>0.51471489662433578</v>
      </c>
      <c r="BT59" s="13">
        <f t="shared" si="21"/>
        <v>0</v>
      </c>
      <c r="BU59" s="13">
        <f t="shared" si="22"/>
        <v>9.0630333543230593E-2</v>
      </c>
      <c r="BV59" s="13">
        <f t="shared" si="91"/>
        <v>4.6210774710710112E-2</v>
      </c>
      <c r="BW59" s="24">
        <f t="shared" si="92"/>
        <v>6.665050433555525E-2</v>
      </c>
      <c r="BX59" s="13">
        <f t="shared" si="23"/>
        <v>0</v>
      </c>
      <c r="BY59" s="13">
        <f t="shared" si="24"/>
        <v>6.8699335507578591E-2</v>
      </c>
      <c r="BZ59" s="13">
        <f t="shared" si="25"/>
        <v>0.10452912687730855</v>
      </c>
      <c r="CA59" s="13">
        <f t="shared" si="26"/>
        <v>7.2172327745415585E-2</v>
      </c>
      <c r="CB59" s="13">
        <f t="shared" si="27"/>
        <v>1.8870640328979033E-2</v>
      </c>
      <c r="CC59" s="13">
        <f t="shared" si="28"/>
        <v>0</v>
      </c>
      <c r="CD59" s="13">
        <f t="shared" si="93"/>
        <v>0.34016118469704643</v>
      </c>
      <c r="CE59" s="12">
        <f t="shared" si="94"/>
        <v>3.0295264210081392</v>
      </c>
      <c r="CF59" s="13"/>
      <c r="CG59" s="23">
        <f t="shared" si="127"/>
        <v>0.59071052490383147</v>
      </c>
      <c r="CH59" s="13">
        <f t="shared" si="127"/>
        <v>9.9604456694124457E-3</v>
      </c>
      <c r="CI59" s="13">
        <f t="shared" si="127"/>
        <v>0.16989945790043762</v>
      </c>
      <c r="CJ59" s="13">
        <f t="shared" si="127"/>
        <v>0</v>
      </c>
      <c r="CK59" s="13">
        <f t="shared" si="127"/>
        <v>2.991567689086911E-2</v>
      </c>
      <c r="CL59" s="13">
        <f t="shared" si="127"/>
        <v>1.5253464828780894E-2</v>
      </c>
      <c r="CM59" s="13">
        <f t="shared" si="127"/>
        <v>2.200030469230101E-2</v>
      </c>
      <c r="CN59" s="13">
        <f t="shared" si="127"/>
        <v>0</v>
      </c>
      <c r="CO59" s="13">
        <f t="shared" si="127"/>
        <v>2.2676592298778313E-2</v>
      </c>
      <c r="CP59" s="13">
        <f t="shared" si="156"/>
        <v>3.4503454451644711E-2</v>
      </c>
      <c r="CQ59" s="13">
        <f t="shared" si="156"/>
        <v>2.3822973533070793E-2</v>
      </c>
      <c r="CR59" s="13">
        <f t="shared" si="156"/>
        <v>6.2289076596663004E-3</v>
      </c>
      <c r="CS59" s="13">
        <f t="shared" si="156"/>
        <v>0</v>
      </c>
      <c r="CT59" s="13">
        <f t="shared" si="156"/>
        <v>0.11228196669228935</v>
      </c>
      <c r="CU59" s="12">
        <f t="shared" si="30"/>
        <v>1.0000000000000002</v>
      </c>
      <c r="CV59" s="26"/>
      <c r="CW59" s="23">
        <f t="shared" si="31"/>
        <v>0.89478657118187188</v>
      </c>
      <c r="CX59" s="13">
        <f t="shared" si="32"/>
        <v>1.5087716660250553E-2</v>
      </c>
      <c r="CY59" s="13">
        <f t="shared" si="33"/>
        <v>0.34314326441622384</v>
      </c>
      <c r="CZ59" s="13">
        <f t="shared" si="34"/>
        <v>0</v>
      </c>
      <c r="DA59" s="13">
        <f t="shared" si="35"/>
        <v>7.9944289693593323E-2</v>
      </c>
      <c r="DB59" s="13">
        <f t="shared" si="36"/>
        <v>4.6210774710710112E-2</v>
      </c>
      <c r="DC59" s="24">
        <f t="shared" si="37"/>
        <v>4.4433669557036828E-2</v>
      </c>
      <c r="DD59" s="13">
        <f t="shared" si="38"/>
        <v>0</v>
      </c>
      <c r="DE59" s="13">
        <f t="shared" si="39"/>
        <v>6.8699335507578591E-2</v>
      </c>
      <c r="DF59" s="13">
        <f t="shared" si="40"/>
        <v>0.10452912687730855</v>
      </c>
      <c r="DG59" s="13">
        <f t="shared" si="41"/>
        <v>0.14434465549083117</v>
      </c>
      <c r="DH59" s="13">
        <f t="shared" si="42"/>
        <v>3.7741280657958065E-2</v>
      </c>
      <c r="DI59" s="13">
        <f t="shared" si="43"/>
        <v>0</v>
      </c>
      <c r="DJ59" s="13">
        <f t="shared" si="95"/>
        <v>0.68032236939409285</v>
      </c>
      <c r="DK59" s="12">
        <f t="shared" si="96"/>
        <v>2.3685986098797089</v>
      </c>
      <c r="DL59" s="26"/>
      <c r="DM59" s="23">
        <f t="shared" si="152"/>
        <v>0.3777704535709891</v>
      </c>
      <c r="DN59" s="13">
        <f t="shared" si="152"/>
        <v>6.3698917145851037E-3</v>
      </c>
      <c r="DO59" s="13">
        <f t="shared" si="151"/>
        <v>0.14487185080027157</v>
      </c>
      <c r="DP59" s="13">
        <f t="shared" si="151"/>
        <v>0</v>
      </c>
      <c r="DQ59" s="13">
        <f t="shared" si="151"/>
        <v>3.3751725328274744E-2</v>
      </c>
      <c r="DR59" s="13">
        <f t="shared" si="151"/>
        <v>1.9509753369760258E-2</v>
      </c>
      <c r="DS59" s="13">
        <f t="shared" si="151"/>
        <v>1.8759476329884964E-2</v>
      </c>
      <c r="DT59" s="13">
        <f t="shared" si="151"/>
        <v>0</v>
      </c>
      <c r="DU59" s="13">
        <f t="shared" si="151"/>
        <v>2.9004211697594273E-2</v>
      </c>
      <c r="DV59" s="13">
        <f t="shared" si="151"/>
        <v>4.4131211781221612E-2</v>
      </c>
      <c r="DW59" s="13">
        <f t="shared" si="151"/>
        <v>6.0940952548377045E-2</v>
      </c>
      <c r="DX59" s="13">
        <f t="shared" si="151"/>
        <v>1.5934012838027794E-2</v>
      </c>
      <c r="DY59" s="13">
        <f t="shared" si="151"/>
        <v>0</v>
      </c>
      <c r="DZ59" s="13">
        <f t="shared" si="151"/>
        <v>0.28722568972065871</v>
      </c>
      <c r="EA59" s="12">
        <f t="shared" si="45"/>
        <v>1</v>
      </c>
      <c r="EB59" s="26"/>
      <c r="EC59" s="30">
        <f t="shared" si="46"/>
        <v>1223</v>
      </c>
      <c r="ED59" s="14">
        <f t="shared" si="98"/>
        <v>1000000000</v>
      </c>
      <c r="EE59" s="29"/>
      <c r="EF59" s="184">
        <f t="shared" si="122"/>
        <v>-7.4859403107113653</v>
      </c>
      <c r="EG59" s="13">
        <f t="shared" si="99"/>
        <v>3.4</v>
      </c>
      <c r="EH59" s="13">
        <f t="shared" si="100"/>
        <v>3.1622363041700741</v>
      </c>
      <c r="EI59" s="12">
        <f t="shared" si="47"/>
        <v>7.8390425183973846</v>
      </c>
      <c r="EJ59" s="29"/>
      <c r="EK59" s="28">
        <f t="shared" si="101"/>
        <v>-0.7326802836166697</v>
      </c>
      <c r="EL59" s="24">
        <f t="shared" si="102"/>
        <v>-0.31814167764510193</v>
      </c>
      <c r="EM59" s="24">
        <f t="shared" si="103"/>
        <v>0.48061906677173188</v>
      </c>
      <c r="EN59" s="24">
        <f t="shared" si="104"/>
        <v>3.2170314787941898E-2</v>
      </c>
      <c r="EO59" s="24">
        <f t="shared" si="105"/>
        <v>1.5461666671133481E-2</v>
      </c>
      <c r="EP59" s="24">
        <f t="shared" si="106"/>
        <v>0.49011801122118115</v>
      </c>
      <c r="EQ59" s="24">
        <f t="shared" si="107"/>
        <v>-0.73236266488990598</v>
      </c>
      <c r="ER59" s="24">
        <f t="shared" si="48"/>
        <v>-17.234732085000481</v>
      </c>
      <c r="ES59" s="25">
        <f t="shared" si="49"/>
        <v>-7.4836005579680771</v>
      </c>
      <c r="ET59" s="26"/>
      <c r="EU59" s="23">
        <f t="shared" si="123"/>
        <v>0.92254663650626512</v>
      </c>
      <c r="EV59" s="12">
        <f t="shared" si="50"/>
        <v>0.89323715393406622</v>
      </c>
      <c r="EW59" s="26"/>
      <c r="EX59" s="27">
        <f t="shared" si="108"/>
        <v>0.99998004777494953</v>
      </c>
      <c r="EY59" s="26"/>
      <c r="EZ59" s="23">
        <f t="shared" si="128"/>
        <v>-7.6464466046828425</v>
      </c>
      <c r="FA59" s="13">
        <f t="shared" si="52"/>
        <v>14.501663995722101</v>
      </c>
      <c r="FB59" s="13">
        <f t="shared" si="129"/>
        <v>-25.250456749217264</v>
      </c>
      <c r="FC59" s="13">
        <f t="shared" si="130"/>
        <v>12.92453821664779</v>
      </c>
      <c r="FD59" s="12">
        <f t="shared" si="55"/>
        <v>0.99999756250736138</v>
      </c>
      <c r="FE59" s="13"/>
      <c r="FF59" s="23">
        <f t="shared" si="131"/>
        <v>-7.0078146024039309</v>
      </c>
      <c r="FG59" s="13">
        <f t="shared" si="132"/>
        <v>12.720620206056534</v>
      </c>
      <c r="FH59" s="13">
        <f t="shared" si="133"/>
        <v>13.762131068747948</v>
      </c>
      <c r="FI59" s="24">
        <f t="shared" si="134"/>
        <v>0.99998248386814526</v>
      </c>
      <c r="FJ59" s="25">
        <f t="shared" si="135"/>
        <v>0.99999840803227447</v>
      </c>
      <c r="FK59" s="13"/>
      <c r="FL59" s="23">
        <f t="shared" si="110"/>
        <v>12.155752280962105</v>
      </c>
      <c r="FM59" s="13">
        <f t="shared" si="124"/>
        <v>-6.9608981997177874</v>
      </c>
      <c r="FN59" s="13">
        <f t="shared" si="136"/>
        <v>4.1447698592571633</v>
      </c>
      <c r="FO59" s="13">
        <f t="shared" si="60"/>
        <v>0.99992835283283166</v>
      </c>
      <c r="FP59" s="23">
        <f t="shared" si="137"/>
        <v>3.2518835142040157</v>
      </c>
      <c r="FQ59" s="13">
        <f t="shared" si="138"/>
        <v>0.99944040556231539</v>
      </c>
      <c r="FR59" s="13">
        <f t="shared" si="139"/>
        <v>3.6018426311296086</v>
      </c>
      <c r="FS59" s="13">
        <f t="shared" si="115"/>
        <v>0.99974993739304341</v>
      </c>
      <c r="FT59" s="13">
        <f t="shared" si="140"/>
        <v>3.1619407505081849</v>
      </c>
      <c r="FU59" s="12">
        <f t="shared" si="117"/>
        <v>0.99931172779138733</v>
      </c>
      <c r="FV59" s="22"/>
      <c r="FW59" s="11">
        <f t="shared" si="141"/>
        <v>3.4</v>
      </c>
      <c r="FX59" s="10">
        <f t="shared" si="142"/>
        <v>3.1622363041700741</v>
      </c>
      <c r="FY59" s="10">
        <f t="shared" si="143"/>
        <v>7.8390425183973846</v>
      </c>
      <c r="FZ59" s="5">
        <f t="shared" si="144"/>
        <v>-7.4859403107113653</v>
      </c>
      <c r="GA59" s="10">
        <f t="shared" si="145"/>
        <v>0.49011801122118115</v>
      </c>
      <c r="GB59" s="9">
        <f t="shared" si="118"/>
        <v>12.155752280962105</v>
      </c>
      <c r="GC59" s="8">
        <f t="shared" si="119"/>
        <v>-6.9608981997177874</v>
      </c>
      <c r="GD59" s="8">
        <f t="shared" si="120"/>
        <v>0.99992835283283166</v>
      </c>
      <c r="GE59" s="7">
        <f t="shared" si="121"/>
        <v>0.99944040556231539</v>
      </c>
      <c r="GF59" s="6">
        <f t="shared" si="146"/>
        <v>0.99998248386814526</v>
      </c>
      <c r="GG59" s="5">
        <f t="shared" si="147"/>
        <v>0.99999840803227447</v>
      </c>
      <c r="GH59" s="4">
        <f t="shared" si="148"/>
        <v>0.99999756250736138</v>
      </c>
      <c r="GI59" s="4">
        <f t="shared" si="149"/>
        <v>0.99998004777494953</v>
      </c>
      <c r="GJ59" s="4">
        <f t="shared" si="150"/>
        <v>0.89323715393406622</v>
      </c>
      <c r="GK59" s="1"/>
    </row>
    <row r="60" spans="1:193" x14ac:dyDescent="0.4">
      <c r="A60" s="34"/>
      <c r="B60" s="33"/>
      <c r="C60" s="33"/>
      <c r="D60" s="34"/>
      <c r="E60" s="34"/>
      <c r="F60" s="20" t="s">
        <v>84</v>
      </c>
      <c r="G60" s="19">
        <v>950</v>
      </c>
      <c r="H60" s="18">
        <v>1</v>
      </c>
      <c r="I60" s="17">
        <v>3.8</v>
      </c>
      <c r="J60" s="16">
        <v>52.63</v>
      </c>
      <c r="K60" s="16">
        <v>1.18</v>
      </c>
      <c r="L60" s="16">
        <v>17.13</v>
      </c>
      <c r="M60" s="16">
        <v>0</v>
      </c>
      <c r="N60" s="16">
        <f t="shared" si="153"/>
        <v>6.3739999999999997</v>
      </c>
      <c r="O60" s="16">
        <v>0</v>
      </c>
      <c r="P60" s="16">
        <v>2.71</v>
      </c>
      <c r="Q60" s="16">
        <v>5.74</v>
      </c>
      <c r="R60" s="16">
        <v>4.38</v>
      </c>
      <c r="S60" s="16">
        <v>1.74</v>
      </c>
      <c r="T60" s="16">
        <v>0</v>
      </c>
      <c r="U60" s="15">
        <v>6</v>
      </c>
      <c r="V60" s="16"/>
      <c r="W60" s="28">
        <f t="shared" ref="W60:W61" si="157">IF(J60="","",J60/SUM($J60:$U60)*100)</f>
        <v>53.767725062318682</v>
      </c>
      <c r="X60" s="24">
        <f t="shared" ref="X60:X61" si="158">IF(K60="","",K60/SUM($J60:$U60)*100)</f>
        <v>1.2055085611540193</v>
      </c>
      <c r="Y60" s="24">
        <f t="shared" ref="Y60:Y61" si="159">IF(L60="","",L60/SUM($J60:$U60)*100)</f>
        <v>17.500306485227416</v>
      </c>
      <c r="Z60" s="24">
        <f t="shared" ref="Z60:Z61" si="160">IF(M60="","",M60/SUM($J60:$U60)*100)</f>
        <v>0</v>
      </c>
      <c r="AA60" s="24">
        <f t="shared" ref="AA60:AA61" si="161">IF(N60="","",N60/SUM($J60:$U60)*100)</f>
        <v>6.5117894650811179</v>
      </c>
      <c r="AB60" s="24">
        <f t="shared" ref="AB60:AB61" si="162">IF(O60="","",O60/SUM($J60:$U60)*100)</f>
        <v>0</v>
      </c>
      <c r="AC60" s="24">
        <f t="shared" ref="AC60:AC61" si="163">IF(P60="","",P60/SUM($J60:$U60)*100)</f>
        <v>2.7685832209554171</v>
      </c>
      <c r="AD60" s="24">
        <f t="shared" ref="AD60:AD61" si="164">IF(Q60="","",Q60/SUM($J60:$U60)*100)</f>
        <v>5.8640840178170093</v>
      </c>
      <c r="AE60" s="24">
        <f t="shared" ref="AE60:AE61" si="165">IF(R60="","",R60/SUM($J60:$U60)*100)</f>
        <v>4.4746843202157667</v>
      </c>
      <c r="AF60" s="24">
        <f t="shared" ref="AF60:AF61" si="166">IF(S60="","",S60/SUM($J60:$U60)*100)</f>
        <v>1.777614318989825</v>
      </c>
      <c r="AG60" s="24">
        <f t="shared" ref="AG60:AG61" si="167">IF(T60="","",T60/SUM($J60:$U60)*100)</f>
        <v>0</v>
      </c>
      <c r="AH60" s="24">
        <f t="shared" ref="AH60:AH61" si="168">IF(U60="","",U60/SUM($J60:$U60)*100)</f>
        <v>6.1297045482407766</v>
      </c>
      <c r="AI60" s="14">
        <f t="shared" ref="AI60:AI61" si="169">SUM(W60:AH60)</f>
        <v>100.00000000000004</v>
      </c>
      <c r="AJ60" s="26"/>
      <c r="AK60" s="50">
        <f t="shared" si="73"/>
        <v>0.89478657118187188</v>
      </c>
      <c r="AL60" s="47">
        <f t="shared" si="74"/>
        <v>1.5087716660250553E-2</v>
      </c>
      <c r="AM60" s="47">
        <f t="shared" si="75"/>
        <v>0.17163894159697349</v>
      </c>
      <c r="AN60" s="49">
        <f t="shared" si="76"/>
        <v>0</v>
      </c>
      <c r="AO60" s="49">
        <f t="shared" si="77"/>
        <v>9.0630333543230593E-2</v>
      </c>
      <c r="AP60" s="47">
        <f t="shared" si="78"/>
        <v>0</v>
      </c>
      <c r="AQ60" s="47">
        <f t="shared" si="79"/>
        <v>6.8665258456235542E-2</v>
      </c>
      <c r="AR60" s="47">
        <f t="shared" si="80"/>
        <v>0.10456640545322771</v>
      </c>
      <c r="AS60" s="47">
        <f t="shared" si="81"/>
        <v>7.2195616654013667E-2</v>
      </c>
      <c r="AT60" s="47">
        <f t="shared" si="82"/>
        <v>1.8870640328979033E-2</v>
      </c>
      <c r="AU60" s="47">
        <f t="shared" si="83"/>
        <v>0</v>
      </c>
      <c r="AV60" s="47">
        <f t="shared" si="84"/>
        <v>0.34016118469704643</v>
      </c>
      <c r="AW60" s="47">
        <f t="shared" si="85"/>
        <v>1.4364414838747823</v>
      </c>
      <c r="AX60" s="47">
        <f t="shared" si="86"/>
        <v>4.2125965051569909E-2</v>
      </c>
      <c r="AY60" s="46">
        <f t="shared" si="87"/>
        <v>2.4259888417141516E-2</v>
      </c>
      <c r="AZ60" s="26"/>
      <c r="BA60" s="23">
        <f t="shared" ref="BA60:BA61" si="170">IF(OR(AW60="",$AK60=""),"",AK60/$AW60)</f>
        <v>0.62291891540767586</v>
      </c>
      <c r="BB60" s="13">
        <f t="shared" ref="BB60:BB61" si="171">IF(OR(AW60="",$AL60=""),"",AL60/$AW60)</f>
        <v>1.0503537268745283E-2</v>
      </c>
      <c r="BC60" s="13">
        <f t="shared" ref="BC60:BC61" si="172">IF(OR(AW60="",$AM60=""),"",AM60/$AW60)</f>
        <v>0.11948898964821014</v>
      </c>
      <c r="BD60" s="13">
        <f t="shared" ref="BD60:BD61" si="173">IF(OR(AW60="",$AN60=""),"",AN60/$AW60)</f>
        <v>0</v>
      </c>
      <c r="BE60" s="13">
        <f t="shared" ref="BE60:BE61" si="174">IF(OR(AW60="",$AO60=""),"",AO60/$AW60)</f>
        <v>6.309364813020886E-2</v>
      </c>
      <c r="BF60" s="13">
        <f t="shared" ref="BF60:BF61" si="175">IF(OR(AW60="",$AX60=""),"",AX60/$AW60)</f>
        <v>2.9326614083809151E-2</v>
      </c>
      <c r="BG60" s="13">
        <f t="shared" ref="BG60:BG61" si="176">IF(OR(AW60="",$AY60=""),"",AY60/$AW60)</f>
        <v>1.6888880396088799E-2</v>
      </c>
      <c r="BH60" s="13">
        <f t="shared" ref="BH60:BH61" si="177">IF(OR(AW60="",$AP60=""),"",AP60/$AW60)</f>
        <v>0</v>
      </c>
      <c r="BI60" s="13">
        <f t="shared" ref="BI60:BI61" si="178">IF(OR(AW60="",$AQ60=""),"",AQ60/$AW60)</f>
        <v>4.7802335999801326E-2</v>
      </c>
      <c r="BJ60" s="13">
        <f t="shared" ref="BJ60:BJ61" si="179">IF(OR(AW60="",$AR60=""),"",AR60/$AW60)</f>
        <v>7.2795450860386732E-2</v>
      </c>
      <c r="BK60" s="13">
        <f t="shared" ref="BK60:BK61" si="180">IF(OR(AW60="",$AS60=""),"",AS60/$AW60)</f>
        <v>5.0260047112581939E-2</v>
      </c>
      <c r="BL60" s="13">
        <f t="shared" ref="BL60:BL61" si="181">IF(OR(AW60="",$AT60=""),"",AT60/$AW60)</f>
        <v>1.3137075572389989E-2</v>
      </c>
      <c r="BM60" s="13">
        <f t="shared" ref="BM60:BM61" si="182">IF(OR(AW60="",$AU60=""),"",AU60/$AW60)</f>
        <v>0</v>
      </c>
      <c r="BN60" s="13">
        <f t="shared" ref="BN60:BN61" si="183">IF(OR(AV60="",AW60=""),"",AV60/AW60)</f>
        <v>0.23680824350704913</v>
      </c>
      <c r="BO60" s="12">
        <f t="shared" ref="BO60:BO61" si="184">IF(SUM(BA60:BE60,BH60:BM60)=0,"",SUM(BA60:BE60,BH60:BM60))</f>
        <v>1.0000000000000002</v>
      </c>
      <c r="BP60" s="13"/>
      <c r="BQ60" s="23">
        <f t="shared" ref="BQ60:BQ61" si="185">IF(W60="","",W60/(60.09/2))</f>
        <v>1.7895731423637438</v>
      </c>
      <c r="BR60" s="13">
        <f t="shared" ref="BR60:BR61" si="186">IF(X60="","",X60/(79.9/2))</f>
        <v>3.0175433320501106E-2</v>
      </c>
      <c r="BS60" s="13">
        <f t="shared" ref="BS60:BS61" si="187">IF(Y60="","",Y60/(102/3))</f>
        <v>0.51471489662433578</v>
      </c>
      <c r="BT60" s="13">
        <f t="shared" ref="BT60:BT61" si="188">IF(Z60="","",Z60/(151.9922/3))</f>
        <v>0</v>
      </c>
      <c r="BU60" s="13">
        <f t="shared" ref="BU60:BU61" si="189">IF(AA60="","",AA60/(71.85))</f>
        <v>9.0630333543230593E-2</v>
      </c>
      <c r="BV60" s="13">
        <f t="shared" si="91"/>
        <v>4.2125965051569909E-2</v>
      </c>
      <c r="BW60" s="24">
        <f t="shared" ref="BW60:BW61" si="190">IF(AA60="","",$AA60*$EP60*1.111/(159.6/3))</f>
        <v>7.2779665251424555E-2</v>
      </c>
      <c r="BX60" s="13">
        <f t="shared" ref="BX60:BX61" si="191">IF(AB60="","",AB60/71)</f>
        <v>0</v>
      </c>
      <c r="BY60" s="13">
        <f t="shared" ref="BY60:BY61" si="192">IF(AC60="","",AC60/40.3)</f>
        <v>6.8699335507578591E-2</v>
      </c>
      <c r="BZ60" s="13">
        <f t="shared" ref="BZ60:BZ61" si="193">IF(AD60="","",AD60/56.1)</f>
        <v>0.10452912687730855</v>
      </c>
      <c r="CA60" s="13">
        <f t="shared" ref="CA60:CA61" si="194">IF(AE60="","",AE60/62)</f>
        <v>7.2172327745415585E-2</v>
      </c>
      <c r="CB60" s="13">
        <f t="shared" ref="CB60:CB61" si="195">IF(AF60="","",AF60/94.2)</f>
        <v>1.8870640328979033E-2</v>
      </c>
      <c r="CC60" s="13">
        <f t="shared" ref="CC60:CC61" si="196">IF(AG60="","",AG60/(70.97/5))</f>
        <v>0</v>
      </c>
      <c r="CD60" s="13">
        <f t="shared" ref="CD60:CD61" si="197">IF(AH60="","",AH60/(18.02))</f>
        <v>0.34016118469704643</v>
      </c>
      <c r="CE60" s="12">
        <f t="shared" ref="CE60:CE61" si="198">IF(SUM(BQ60:BU60,BX60:CD60)=0,"",SUM(BQ60:BU60,BX60:CD60))</f>
        <v>3.0295264210081392</v>
      </c>
      <c r="CF60" s="13"/>
      <c r="CG60" s="23">
        <f t="shared" ref="CG60:CG61" si="199">IF(OR($CE60="",BQ60=""),"",BQ60/$CE60)</f>
        <v>0.59071052490383147</v>
      </c>
      <c r="CH60" s="13">
        <f t="shared" ref="CH60:CH61" si="200">IF(OR($CE60="",BR60=""),"",BR60/$CE60)</f>
        <v>9.9604456694124457E-3</v>
      </c>
      <c r="CI60" s="13">
        <f t="shared" ref="CI60:CI61" si="201">IF(OR($CE60="",BS60=""),"",BS60/$CE60)</f>
        <v>0.16989945790043762</v>
      </c>
      <c r="CJ60" s="13">
        <f t="shared" ref="CJ60:CJ61" si="202">IF(OR($CE60="",BT60=""),"",BT60/$CE60)</f>
        <v>0</v>
      </c>
      <c r="CK60" s="13">
        <f t="shared" ref="CK60:CK61" si="203">IF(OR($CE60="",BU60=""),"",BU60/$CE60)</f>
        <v>2.991567689086911E-2</v>
      </c>
      <c r="CL60" s="13">
        <f t="shared" ref="CL60:CL61" si="204">IF(OR($CE60="",BV60=""),"",BV60/$CE60)</f>
        <v>1.3905132089111011E-2</v>
      </c>
      <c r="CM60" s="13">
        <f t="shared" ref="CM60:CM61" si="205">IF(OR($CE60="",BW60=""),"",BW60/$CE60)</f>
        <v>2.4023446287425206E-2</v>
      </c>
      <c r="CN60" s="13">
        <f t="shared" ref="CN60:CN61" si="206">IF(OR($CE60="",BX60=""),"",BX60/$CE60)</f>
        <v>0</v>
      </c>
      <c r="CO60" s="13">
        <f t="shared" ref="CO60:CO61" si="207">IF(OR($CE60="",BY60=""),"",BY60/$CE60)</f>
        <v>2.2676592298778313E-2</v>
      </c>
      <c r="CP60" s="13">
        <f t="shared" ref="CP60:CP61" si="208">IF(OR($CE60="",BZ60=""),"",BZ60/$CE60)</f>
        <v>3.4503454451644711E-2</v>
      </c>
      <c r="CQ60" s="13">
        <f t="shared" ref="CQ60:CQ61" si="209">IF(OR($CE60="",CA60=""),"",CA60/$CE60)</f>
        <v>2.3822973533070793E-2</v>
      </c>
      <c r="CR60" s="13">
        <f t="shared" ref="CR60:CR61" si="210">IF(OR($CE60="",CB60=""),"",CB60/$CE60)</f>
        <v>6.2289076596663004E-3</v>
      </c>
      <c r="CS60" s="13">
        <f t="shared" ref="CS60:CS61" si="211">IF(OR($CE60="",CC60=""),"",CC60/$CE60)</f>
        <v>0</v>
      </c>
      <c r="CT60" s="13">
        <f t="shared" ref="CT60:CT61" si="212">IF(OR($CE60="",CD60=""),"",CD60/$CE60)</f>
        <v>0.11228196669228935</v>
      </c>
      <c r="CU60" s="12">
        <f t="shared" ref="CU60:CU61" si="213">IF(SUM(CG60:CK60,CN60:CT60)=0,"",SUM(CG60:CK60,CN60:CT60))</f>
        <v>1.0000000000000002</v>
      </c>
      <c r="CV60" s="26"/>
      <c r="CW60" s="23">
        <f t="shared" ref="CW60:CW61" si="214">IF(W60="","",W60/60.09)</f>
        <v>0.89478657118187188</v>
      </c>
      <c r="CX60" s="13">
        <f t="shared" ref="CX60:CX61" si="215">IF(X60="","",X60/79.9)</f>
        <v>1.5087716660250553E-2</v>
      </c>
      <c r="CY60" s="13">
        <f t="shared" ref="CY60:CY61" si="216">IF(Y60="","",Y60/(102/2))</f>
        <v>0.34314326441622384</v>
      </c>
      <c r="CZ60" s="13">
        <f t="shared" ref="CZ60:CZ61" si="217">IF(Z60="","",Z60/(151.9922/2))</f>
        <v>0</v>
      </c>
      <c r="DA60" s="13">
        <f t="shared" ref="DA60:DA61" si="218">IF(Q60="","",Q60/71.8)</f>
        <v>7.9944289693593323E-2</v>
      </c>
      <c r="DB60" s="13">
        <f t="shared" si="36"/>
        <v>4.2125965051569909E-2</v>
      </c>
      <c r="DC60" s="24">
        <f t="shared" si="37"/>
        <v>4.8519776834283032E-2</v>
      </c>
      <c r="DD60" s="13">
        <f t="shared" ref="DD60:DD61" si="219">IF(AB60="","",AB60/71)</f>
        <v>0</v>
      </c>
      <c r="DE60" s="13">
        <f t="shared" ref="DE60:DE61" si="220">IF(AC60="","",AC60/40.3)</f>
        <v>6.8699335507578591E-2</v>
      </c>
      <c r="DF60" s="13">
        <f t="shared" ref="DF60:DF61" si="221">IF(AD60="","",AD60/56.1)</f>
        <v>0.10452912687730855</v>
      </c>
      <c r="DG60" s="13">
        <f t="shared" ref="DG60:DG61" si="222">IF(AE60="","",AE60/(62/2))</f>
        <v>0.14434465549083117</v>
      </c>
      <c r="DH60" s="13">
        <f t="shared" ref="DH60:DH61" si="223">IF(AF60="","",AF60/(94.2/2))</f>
        <v>3.7741280657958065E-2</v>
      </c>
      <c r="DI60" s="13">
        <f t="shared" ref="DI60:DI61" si="224">IF(AG60="","",AG60/(70.97/2))</f>
        <v>0</v>
      </c>
      <c r="DJ60" s="13">
        <f t="shared" ref="DJ60:DJ61" si="225">IF(AH60="","",AH60/(18.02/2))</f>
        <v>0.68032236939409285</v>
      </c>
      <c r="DK60" s="12">
        <f t="shared" ref="DK60:DK61" si="226">IF(SUM(CW60:DA60,DD60:DJ60)=0,"",SUM(CW60:DA60,DD60:DJ60))</f>
        <v>2.3685986098797089</v>
      </c>
      <c r="DL60" s="26"/>
      <c r="DM60" s="23">
        <f t="shared" ref="DM60:DM61" si="227">IF(OR($DK60="",CW60=""),"",CW60/$DK60)</f>
        <v>0.3777704535709891</v>
      </c>
      <c r="DN60" s="13">
        <f t="shared" ref="DN60:DN61" si="228">IF(OR($DK60="",CX60=""),"",CX60/$DK60)</f>
        <v>6.3698917145851037E-3</v>
      </c>
      <c r="DO60" s="13">
        <f t="shared" ref="DO60:DO61" si="229">IF(OR($DK60="",CY60=""),"",CY60/$DK60)</f>
        <v>0.14487185080027157</v>
      </c>
      <c r="DP60" s="13">
        <f t="shared" ref="DP60:DP61" si="230">IF(OR($DK60="",CZ60=""),"",CZ60/$DK60)</f>
        <v>0</v>
      </c>
      <c r="DQ60" s="13">
        <f t="shared" ref="DQ60:DQ61" si="231">IF(OR($DK60="",DA60=""),"",DA60/$DK60)</f>
        <v>3.3751725328274744E-2</v>
      </c>
      <c r="DR60" s="13">
        <f t="shared" ref="DR60:DR61" si="232">IF(OR($DK60="",DB60=""),"",DB60/$DK60)</f>
        <v>1.7785185246608461E-2</v>
      </c>
      <c r="DS60" s="13">
        <f t="shared" ref="DS60:DS61" si="233">IF(OR($DK60="",DC60=""),"",DC60/$DK60)</f>
        <v>2.0484592295166106E-2</v>
      </c>
      <c r="DT60" s="13">
        <f t="shared" ref="DT60:DT61" si="234">IF(OR($DK60="",DD60=""),"",DD60/$DK60)</f>
        <v>0</v>
      </c>
      <c r="DU60" s="13">
        <f t="shared" ref="DU60:DU61" si="235">IF(OR($DK60="",DE60=""),"",DE60/$DK60)</f>
        <v>2.9004211697594273E-2</v>
      </c>
      <c r="DV60" s="13">
        <f t="shared" ref="DV60:DV61" si="236">IF(OR($DK60="",DF60=""),"",DF60/$DK60)</f>
        <v>4.4131211781221612E-2</v>
      </c>
      <c r="DW60" s="13">
        <f t="shared" ref="DW60:DW61" si="237">IF(OR($DK60="",DG60=""),"",DG60/$DK60)</f>
        <v>6.0940952548377045E-2</v>
      </c>
      <c r="DX60" s="13">
        <f t="shared" ref="DX60:DX61" si="238">IF(OR($DK60="",DH60=""),"",DH60/$DK60)</f>
        <v>1.5934012838027794E-2</v>
      </c>
      <c r="DY60" s="13">
        <f t="shared" ref="DY60:DY61" si="239">IF(OR($DK60="",DI60=""),"",DI60/$DK60)</f>
        <v>0</v>
      </c>
      <c r="DZ60" s="13">
        <f t="shared" ref="DZ60:DZ61" si="240">IF(OR($DK60="",DJ60=""),"",DJ60/$DK60)</f>
        <v>0.28722568972065871</v>
      </c>
      <c r="EA60" s="12">
        <f t="shared" ref="EA60:EA61" si="241">IF($DK60="","",DK60/$DK60)</f>
        <v>1</v>
      </c>
      <c r="EB60" s="26"/>
      <c r="EC60" s="30">
        <f t="shared" ref="EC60:EC61" si="242">IF(G60="","",G60+273)</f>
        <v>1223</v>
      </c>
      <c r="ED60" s="14">
        <f t="shared" ref="ED60:ED61" si="243">IF(H60="","",H60*1000000000)</f>
        <v>1000000000</v>
      </c>
      <c r="EE60" s="29"/>
      <c r="EF60" s="184">
        <f t="shared" ref="EF60:EF61" si="244">IF(I60="","",-25096.3/(G60+273)+8.735+0.11*(H60*10000-1)/(273+G60)+I60)</f>
        <v>-7.0859403107113659</v>
      </c>
      <c r="EG60" s="13">
        <f t="shared" ref="EG60:EG61" si="245">IF(I60="","",I60)</f>
        <v>3.8</v>
      </c>
      <c r="EH60" s="13">
        <f t="shared" ref="EH60:EH61" si="246">IF(EF60="","",24930/($EC60)-9.36-0.046*($ED60/100000)/($EC60)+$EF60)</f>
        <v>3.5622363041700735</v>
      </c>
      <c r="EI60" s="12">
        <f t="shared" ref="EI60:EI61" si="247">IF(EF60="","",27489/($EC60)-6.702-0.055*($ED60/100000)/($EC60)+$EF60)</f>
        <v>8.2390425183973832</v>
      </c>
      <c r="EJ60" s="29"/>
      <c r="EK60" s="28">
        <f t="shared" si="101"/>
        <v>-0.55215761232593663</v>
      </c>
      <c r="EL60" s="24">
        <f t="shared" ref="EL60:EL61" si="248">IF(EK60="","",EK60/2.303)</f>
        <v>-0.2397558021389217</v>
      </c>
      <c r="EM60" s="24">
        <f t="shared" ref="EM60:EM61" si="249">IF(EK60="","",EXP(EK60))</f>
        <v>0.57570631832745478</v>
      </c>
      <c r="EN60" s="24">
        <f t="shared" ref="EN60:EN61" si="250">IF(OR(AA60=0,EM60=""),"",BE60/(1+2*EM60))</f>
        <v>2.9326614083809151E-2</v>
      </c>
      <c r="EO60" s="24">
        <f t="shared" ref="EO60:EO61" si="251">IF(OR(AA60=0,EM60=""),"",EM60*EN60)</f>
        <v>1.6883517023199849E-2</v>
      </c>
      <c r="EP60" s="24">
        <f t="shared" ref="EP60:EP61" si="252">IF(EN60="","",EO60*2/(EO60*2+EN60))</f>
        <v>0.53518912041214262</v>
      </c>
      <c r="EQ60" s="24">
        <f t="shared" ref="EQ60:EQ61" si="253">IF(AA60="","",LN(AY60/AX60))</f>
        <v>-0.5518399935991728</v>
      </c>
      <c r="ER60" s="24">
        <f t="shared" ref="ER60:ER61" si="254">IF(EQ60="","",(11492/$EC60-6.675+($BC60*-2.243+$BE60*-1.828+$BJ60*3.201+$BK60*5.854+$BL60*6.215)-3.36*(1-1673/$EC60-LN($EC60/1673))-0.000000701*($ED60/$EC60)-0.000000000154*(($EC60-1673)*$ED60/$EC60)+0.0000000000000000385*($ED60^2/$EC60)-$EQ60)/-0.196)</f>
        <v>-16.313698047802863</v>
      </c>
      <c r="ES60" s="25">
        <f t="shared" ref="ES60:ES61" si="255">IF(ER60="","",ER60/2.303)</f>
        <v>-7.0836726217120551</v>
      </c>
      <c r="ET60" s="26"/>
      <c r="EU60" s="23">
        <f t="shared" ref="EU60:EU61" si="256">IF(EP60="","",8*LOG(BG60/BF60)+8743600/(EC60)^2-27703/(EC60)+20.273)</f>
        <v>1.5497466365062635</v>
      </c>
      <c r="EV60" s="12">
        <f t="shared" ref="EV60:EV61" si="257">IF(EU60="","",1-1/(1+10^EU60))</f>
        <v>0.97257316794002036</v>
      </c>
      <c r="EW60" s="26"/>
      <c r="EX60" s="27">
        <f t="shared" ref="EX60:EX61" si="258">IF(EG60="","",1/(1+10^(2.1-2*EG60)))</f>
        <v>0.99999683773233983</v>
      </c>
      <c r="EY60" s="26"/>
      <c r="EZ60" s="23">
        <f t="shared" ref="EZ60:EZ61" si="259">IF(EA60="","",-23590/(EC60)+8.77+(1673/(EC60))*(6.7*(DW60+DX60)+1.8*DO60+4.9*DU60+8.1*DV60+5*DN60+8.9*(DQ60+DT60)-22.2*(DQ60+DT60)*DN60+7.2*(DQ60+DT60)*DM60)-2.06*ERF(-7.2*DQ60+DT60))</f>
        <v>-7.6464466046828425</v>
      </c>
      <c r="FA60" s="13">
        <f t="shared" si="52"/>
        <v>14.478397132245401</v>
      </c>
      <c r="FB60" s="13">
        <f t="shared" ref="FB60:FB61" si="260">IF(G60="","",-55921/(EC60)+25.07-0.6465*LN(EC60))</f>
        <v>-25.250456749217264</v>
      </c>
      <c r="FC60" s="13">
        <f t="shared" ref="FC60:FC61" si="261">IF(EZ60="","",(FA60-FB60-EZ60)+2*LN(10)*EF60)</f>
        <v>14.743339427566333</v>
      </c>
      <c r="FD60" s="12">
        <f t="shared" ref="FD60:FD61" si="262">IF(FC60="","",1-1/(1+EXP(FC60)))</f>
        <v>0.99999960458888781</v>
      </c>
      <c r="FE60" s="13"/>
      <c r="FF60" s="23">
        <f t="shared" ref="FF60:FF61" si="263">IF(CU60="","",0.225+(25237*CL60+5214*CP60+12705*CN60+19829*CR60-1109*CG60-8879)/(EC60))</f>
        <v>-7.0356378839665226</v>
      </c>
      <c r="FG60" s="13">
        <f t="shared" ref="FG60:FG61" si="264">IF(CU60="","",-12.948+(28649*CQ60+15602*CP60+9496*CO60+16016*CN60+4194*CI60+29244)/(EC60))</f>
        <v>12.720620206056534</v>
      </c>
      <c r="FH60" s="13">
        <f t="shared" ref="FH60:FH61" si="265">IF(CU60="","",-213.65+(25696*CQ60+15076*CP60+9543*CO60+16158*CN60+4316*CI60+68254)/(EC60)+55.03*LOG(EC60))</f>
        <v>13.762131068747948</v>
      </c>
      <c r="FI60" s="24">
        <f t="shared" ref="FI60:FI61" si="266">IF(FF60="","",1-1/(1+10^(FG60-$FF60+2*$EF60)))</f>
        <v>0.9999973961173938</v>
      </c>
      <c r="FJ60" s="25">
        <f t="shared" ref="FJ60:FJ61" si="267">IF(FH60="","",1-1/(1+10^(FH60-$FF60+2*$EF60)))</f>
        <v>0.99999976334724427</v>
      </c>
      <c r="FK60" s="13"/>
      <c r="FL60" s="23">
        <f t="shared" si="110"/>
        <v>12.155752280962105</v>
      </c>
      <c r="FM60" s="13">
        <f t="shared" si="124"/>
        <v>-6.9721550943260135</v>
      </c>
      <c r="FN60" s="13">
        <f t="shared" ref="FN60:FN61" si="268">IF($FL60="","",$FL60-$FM60+2*$EF60)</f>
        <v>4.9560267538653857</v>
      </c>
      <c r="FO60" s="13">
        <f t="shared" ref="FO60:FO61" si="269">IF($FN60="","",1-1/(1+10^FN60))</f>
        <v>0.99998893456629845</v>
      </c>
      <c r="FP60" s="23">
        <f t="shared" ref="FP60:FP61" si="270">IF($FL60="","",$FL60-$FM60+2*($EF60-(0.0546*($H60*10000)/($G60+273))))</f>
        <v>4.063140408812238</v>
      </c>
      <c r="FQ60" s="13">
        <f t="shared" si="138"/>
        <v>0.99991353864450772</v>
      </c>
      <c r="FR60" s="13">
        <f t="shared" ref="FR60:FR61" si="271">IF($FL60="","",$FL60-$FM60+2*($EF60-(0.0332*($H60*10000)/($G60+273))))</f>
        <v>4.4130995257378309</v>
      </c>
      <c r="FS60" s="13">
        <f t="shared" ref="FS60:FS61" si="272">IF($FT60="","",1-1/(1+10^FR60))</f>
        <v>0.99996137364756887</v>
      </c>
      <c r="FT60" s="13">
        <f t="shared" ref="FT60:FT61" si="273">IF($FL60="","",$FL60-$FM60+2*($EF60-(0.0601*($H60*10000)/($G60+273))))</f>
        <v>3.9731976451164073</v>
      </c>
      <c r="FU60" s="12">
        <f t="shared" ref="FU60:FU61" si="274">IF($FT60="","",1-1/(1+10^FT60))</f>
        <v>0.99989364542824211</v>
      </c>
      <c r="FV60" s="22"/>
      <c r="FW60" s="11">
        <f t="shared" si="141"/>
        <v>3.8</v>
      </c>
      <c r="FX60" s="10">
        <f t="shared" si="142"/>
        <v>3.5622363041700735</v>
      </c>
      <c r="FY60" s="10">
        <f t="shared" si="143"/>
        <v>8.2390425183973832</v>
      </c>
      <c r="FZ60" s="5">
        <f t="shared" si="144"/>
        <v>-7.0859403107113659</v>
      </c>
      <c r="GA60" s="10">
        <f t="shared" si="145"/>
        <v>0.53518912041214262</v>
      </c>
      <c r="GB60" s="9">
        <f t="shared" ref="GB60:GB95" si="275">FL60</f>
        <v>12.155752280962105</v>
      </c>
      <c r="GC60" s="8">
        <f t="shared" ref="GC60:GC95" si="276">FM60</f>
        <v>-6.9721550943260135</v>
      </c>
      <c r="GD60" s="8">
        <f t="shared" si="120"/>
        <v>0.99998893456629845</v>
      </c>
      <c r="GE60" s="7">
        <f t="shared" si="121"/>
        <v>0.99991353864450772</v>
      </c>
      <c r="GF60" s="6">
        <f t="shared" ref="GF60:GF95" si="277">FI60</f>
        <v>0.9999973961173938</v>
      </c>
      <c r="GG60" s="5">
        <f t="shared" ref="GG60:GG95" si="278">FJ60</f>
        <v>0.99999976334724427</v>
      </c>
      <c r="GH60" s="4">
        <f t="shared" ref="GH60:GH95" si="279">FD60</f>
        <v>0.99999960458888781</v>
      </c>
      <c r="GI60" s="4">
        <f t="shared" si="149"/>
        <v>0.99999683773233983</v>
      </c>
      <c r="GJ60" s="4">
        <f t="shared" si="150"/>
        <v>0.97257316794002036</v>
      </c>
      <c r="GK60" s="1"/>
    </row>
    <row r="61" spans="1:193" x14ac:dyDescent="0.4">
      <c r="A61" s="34"/>
      <c r="B61" s="33"/>
      <c r="C61" s="33"/>
      <c r="D61" s="34"/>
      <c r="E61" s="34"/>
      <c r="F61" s="20" t="s">
        <v>84</v>
      </c>
      <c r="G61" s="19">
        <v>850</v>
      </c>
      <c r="H61" s="18">
        <v>1</v>
      </c>
      <c r="I61" s="17">
        <v>-1</v>
      </c>
      <c r="J61" s="16">
        <v>52.63</v>
      </c>
      <c r="K61" s="16">
        <v>1.18</v>
      </c>
      <c r="L61" s="16">
        <v>17.13</v>
      </c>
      <c r="M61" s="16">
        <v>0</v>
      </c>
      <c r="N61" s="16">
        <f t="shared" si="153"/>
        <v>6.3739999999999997</v>
      </c>
      <c r="O61" s="16">
        <v>0</v>
      </c>
      <c r="P61" s="16">
        <v>2.71</v>
      </c>
      <c r="Q61" s="16">
        <v>5.74</v>
      </c>
      <c r="R61" s="16">
        <v>4.38</v>
      </c>
      <c r="S61" s="16">
        <v>1.74</v>
      </c>
      <c r="T61" s="16">
        <v>0</v>
      </c>
      <c r="U61" s="15">
        <v>6</v>
      </c>
      <c r="V61" s="16"/>
      <c r="W61" s="28">
        <f t="shared" si="157"/>
        <v>53.767725062318682</v>
      </c>
      <c r="X61" s="24">
        <f t="shared" si="158"/>
        <v>1.2055085611540193</v>
      </c>
      <c r="Y61" s="24">
        <f t="shared" si="159"/>
        <v>17.500306485227416</v>
      </c>
      <c r="Z61" s="24">
        <f t="shared" si="160"/>
        <v>0</v>
      </c>
      <c r="AA61" s="24">
        <f t="shared" si="161"/>
        <v>6.5117894650811179</v>
      </c>
      <c r="AB61" s="24">
        <f t="shared" si="162"/>
        <v>0</v>
      </c>
      <c r="AC61" s="24">
        <f t="shared" si="163"/>
        <v>2.7685832209554171</v>
      </c>
      <c r="AD61" s="24">
        <f t="shared" si="164"/>
        <v>5.8640840178170093</v>
      </c>
      <c r="AE61" s="24">
        <f t="shared" si="165"/>
        <v>4.4746843202157667</v>
      </c>
      <c r="AF61" s="24">
        <f t="shared" si="166"/>
        <v>1.777614318989825</v>
      </c>
      <c r="AG61" s="24">
        <f t="shared" si="167"/>
        <v>0</v>
      </c>
      <c r="AH61" s="24">
        <f t="shared" si="168"/>
        <v>6.1297045482407766</v>
      </c>
      <c r="AI61" s="14">
        <f t="shared" si="169"/>
        <v>100.00000000000004</v>
      </c>
      <c r="AJ61" s="26"/>
      <c r="AK61" s="50">
        <f t="shared" si="73"/>
        <v>0.89478657118187188</v>
      </c>
      <c r="AL61" s="47">
        <f t="shared" si="74"/>
        <v>1.5087716660250553E-2</v>
      </c>
      <c r="AM61" s="47">
        <f t="shared" si="75"/>
        <v>0.17163894159697349</v>
      </c>
      <c r="AN61" s="49">
        <f t="shared" si="76"/>
        <v>0</v>
      </c>
      <c r="AO61" s="49">
        <f t="shared" si="77"/>
        <v>9.0630333543230593E-2</v>
      </c>
      <c r="AP61" s="47">
        <f t="shared" si="78"/>
        <v>0</v>
      </c>
      <c r="AQ61" s="47">
        <f t="shared" si="79"/>
        <v>6.8665258456235542E-2</v>
      </c>
      <c r="AR61" s="47">
        <f t="shared" si="80"/>
        <v>0.10456640545322771</v>
      </c>
      <c r="AS61" s="47">
        <f t="shared" si="81"/>
        <v>7.2195616654013667E-2</v>
      </c>
      <c r="AT61" s="47">
        <f t="shared" si="82"/>
        <v>1.8870640328979033E-2</v>
      </c>
      <c r="AU61" s="47">
        <f t="shared" si="83"/>
        <v>0</v>
      </c>
      <c r="AV61" s="47">
        <f t="shared" si="84"/>
        <v>0.34016118469704643</v>
      </c>
      <c r="AW61" s="47">
        <f t="shared" si="85"/>
        <v>1.4364414838747823</v>
      </c>
      <c r="AX61" s="47">
        <f t="shared" si="86"/>
        <v>7.8671733666937235E-2</v>
      </c>
      <c r="AY61" s="46">
        <f t="shared" si="87"/>
        <v>5.9811993774127508E-3</v>
      </c>
      <c r="AZ61" s="26"/>
      <c r="BA61" s="23">
        <f t="shared" si="170"/>
        <v>0.62291891540767586</v>
      </c>
      <c r="BB61" s="13">
        <f t="shared" si="171"/>
        <v>1.0503537268745283E-2</v>
      </c>
      <c r="BC61" s="13">
        <f t="shared" si="172"/>
        <v>0.11948898964821014</v>
      </c>
      <c r="BD61" s="13">
        <f t="shared" si="173"/>
        <v>0</v>
      </c>
      <c r="BE61" s="13">
        <f t="shared" si="174"/>
        <v>6.309364813020886E-2</v>
      </c>
      <c r="BF61" s="13">
        <f t="shared" si="175"/>
        <v>5.4768491825174286E-2</v>
      </c>
      <c r="BG61" s="13">
        <f t="shared" si="176"/>
        <v>4.1639004752762662E-3</v>
      </c>
      <c r="BH61" s="13">
        <f t="shared" si="177"/>
        <v>0</v>
      </c>
      <c r="BI61" s="13">
        <f t="shared" si="178"/>
        <v>4.7802335999801326E-2</v>
      </c>
      <c r="BJ61" s="13">
        <f t="shared" si="179"/>
        <v>7.2795450860386732E-2</v>
      </c>
      <c r="BK61" s="13">
        <f t="shared" si="180"/>
        <v>5.0260047112581939E-2</v>
      </c>
      <c r="BL61" s="13">
        <f t="shared" si="181"/>
        <v>1.3137075572389989E-2</v>
      </c>
      <c r="BM61" s="13">
        <f t="shared" si="182"/>
        <v>0</v>
      </c>
      <c r="BN61" s="13">
        <f t="shared" si="183"/>
        <v>0.23680824350704913</v>
      </c>
      <c r="BO61" s="12">
        <f t="shared" si="184"/>
        <v>1.0000000000000002</v>
      </c>
      <c r="BP61" s="13"/>
      <c r="BQ61" s="23">
        <f t="shared" si="185"/>
        <v>1.7895731423637438</v>
      </c>
      <c r="BR61" s="13">
        <f t="shared" si="186"/>
        <v>3.0175433320501106E-2</v>
      </c>
      <c r="BS61" s="13">
        <f t="shared" si="187"/>
        <v>0.51471489662433578</v>
      </c>
      <c r="BT61" s="13">
        <f t="shared" si="188"/>
        <v>0</v>
      </c>
      <c r="BU61" s="13">
        <f t="shared" si="189"/>
        <v>9.0630333543230593E-2</v>
      </c>
      <c r="BV61" s="13">
        <f t="shared" si="91"/>
        <v>7.8671733666937235E-2</v>
      </c>
      <c r="BW61" s="24">
        <f t="shared" si="190"/>
        <v>1.7943598132238253E-2</v>
      </c>
      <c r="BX61" s="13">
        <f t="shared" si="191"/>
        <v>0</v>
      </c>
      <c r="BY61" s="13">
        <f t="shared" si="192"/>
        <v>6.8699335507578591E-2</v>
      </c>
      <c r="BZ61" s="13">
        <f t="shared" si="193"/>
        <v>0.10452912687730855</v>
      </c>
      <c r="CA61" s="13">
        <f t="shared" si="194"/>
        <v>7.2172327745415585E-2</v>
      </c>
      <c r="CB61" s="13">
        <f t="shared" si="195"/>
        <v>1.8870640328979033E-2</v>
      </c>
      <c r="CC61" s="13">
        <f t="shared" si="196"/>
        <v>0</v>
      </c>
      <c r="CD61" s="13">
        <f t="shared" si="197"/>
        <v>0.34016118469704643</v>
      </c>
      <c r="CE61" s="12">
        <f t="shared" si="198"/>
        <v>3.0295264210081392</v>
      </c>
      <c r="CF61" s="13"/>
      <c r="CG61" s="23">
        <f t="shared" si="199"/>
        <v>0.59071052490383147</v>
      </c>
      <c r="CH61" s="13">
        <f t="shared" si="200"/>
        <v>9.9604456694124457E-3</v>
      </c>
      <c r="CI61" s="13">
        <f t="shared" si="201"/>
        <v>0.16989945790043762</v>
      </c>
      <c r="CJ61" s="13">
        <f t="shared" si="202"/>
        <v>0</v>
      </c>
      <c r="CK61" s="13">
        <f t="shared" si="203"/>
        <v>2.991567689086911E-2</v>
      </c>
      <c r="CL61" s="13">
        <f t="shared" si="204"/>
        <v>2.596832730072628E-2</v>
      </c>
      <c r="CM61" s="13">
        <f t="shared" si="205"/>
        <v>5.9229053121336176E-3</v>
      </c>
      <c r="CN61" s="13">
        <f t="shared" si="206"/>
        <v>0</v>
      </c>
      <c r="CO61" s="13">
        <f t="shared" si="207"/>
        <v>2.2676592298778313E-2</v>
      </c>
      <c r="CP61" s="13">
        <f t="shared" si="208"/>
        <v>3.4503454451644711E-2</v>
      </c>
      <c r="CQ61" s="13">
        <f t="shared" si="209"/>
        <v>2.3822973533070793E-2</v>
      </c>
      <c r="CR61" s="13">
        <f t="shared" si="210"/>
        <v>6.2289076596663004E-3</v>
      </c>
      <c r="CS61" s="13">
        <f t="shared" si="211"/>
        <v>0</v>
      </c>
      <c r="CT61" s="13">
        <f t="shared" si="212"/>
        <v>0.11228196669228935</v>
      </c>
      <c r="CU61" s="12">
        <f t="shared" si="213"/>
        <v>1.0000000000000002</v>
      </c>
      <c r="CV61" s="26"/>
      <c r="CW61" s="23">
        <f t="shared" si="214"/>
        <v>0.89478657118187188</v>
      </c>
      <c r="CX61" s="13">
        <f t="shared" si="215"/>
        <v>1.5087716660250553E-2</v>
      </c>
      <c r="CY61" s="13">
        <f t="shared" si="216"/>
        <v>0.34314326441622384</v>
      </c>
      <c r="CZ61" s="13">
        <f t="shared" si="217"/>
        <v>0</v>
      </c>
      <c r="DA61" s="13">
        <f t="shared" si="218"/>
        <v>7.9944289693593323E-2</v>
      </c>
      <c r="DB61" s="13">
        <f t="shared" si="36"/>
        <v>7.8671733666937235E-2</v>
      </c>
      <c r="DC61" s="24">
        <f t="shared" si="37"/>
        <v>1.1962398754825502E-2</v>
      </c>
      <c r="DD61" s="13">
        <f t="shared" si="219"/>
        <v>0</v>
      </c>
      <c r="DE61" s="13">
        <f t="shared" si="220"/>
        <v>6.8699335507578591E-2</v>
      </c>
      <c r="DF61" s="13">
        <f t="shared" si="221"/>
        <v>0.10452912687730855</v>
      </c>
      <c r="DG61" s="13">
        <f t="shared" si="222"/>
        <v>0.14434465549083117</v>
      </c>
      <c r="DH61" s="13">
        <f t="shared" si="223"/>
        <v>3.7741280657958065E-2</v>
      </c>
      <c r="DI61" s="13">
        <f t="shared" si="224"/>
        <v>0</v>
      </c>
      <c r="DJ61" s="13">
        <f t="shared" si="225"/>
        <v>0.68032236939409285</v>
      </c>
      <c r="DK61" s="12">
        <f t="shared" si="226"/>
        <v>2.3685986098797089</v>
      </c>
      <c r="DL61" s="26"/>
      <c r="DM61" s="23">
        <f t="shared" si="227"/>
        <v>0.3777704535709891</v>
      </c>
      <c r="DN61" s="13">
        <f t="shared" si="228"/>
        <v>6.3698917145851037E-3</v>
      </c>
      <c r="DO61" s="13">
        <f t="shared" si="229"/>
        <v>0.14487185080027157</v>
      </c>
      <c r="DP61" s="13">
        <f t="shared" si="230"/>
        <v>0</v>
      </c>
      <c r="DQ61" s="13">
        <f t="shared" si="231"/>
        <v>3.3751725328274744E-2</v>
      </c>
      <c r="DR61" s="13">
        <f t="shared" si="232"/>
        <v>3.3214464172522939E-2</v>
      </c>
      <c r="DS61" s="13">
        <f t="shared" si="233"/>
        <v>5.0504119629762936E-3</v>
      </c>
      <c r="DT61" s="13">
        <f t="shared" si="234"/>
        <v>0</v>
      </c>
      <c r="DU61" s="13">
        <f t="shared" si="235"/>
        <v>2.9004211697594273E-2</v>
      </c>
      <c r="DV61" s="13">
        <f t="shared" si="236"/>
        <v>4.4131211781221612E-2</v>
      </c>
      <c r="DW61" s="13">
        <f t="shared" si="237"/>
        <v>6.0940952548377045E-2</v>
      </c>
      <c r="DX61" s="13">
        <f t="shared" si="238"/>
        <v>1.5934012838027794E-2</v>
      </c>
      <c r="DY61" s="13">
        <f t="shared" si="239"/>
        <v>0</v>
      </c>
      <c r="DZ61" s="13">
        <f t="shared" si="240"/>
        <v>0.28722568972065871</v>
      </c>
      <c r="EA61" s="12">
        <f t="shared" si="241"/>
        <v>1</v>
      </c>
      <c r="EB61" s="26"/>
      <c r="EC61" s="30">
        <f t="shared" si="242"/>
        <v>1123</v>
      </c>
      <c r="ED61" s="14">
        <f t="shared" si="243"/>
        <v>1000000000</v>
      </c>
      <c r="EE61" s="29"/>
      <c r="EF61" s="184">
        <f t="shared" si="244"/>
        <v>-13.63313000890472</v>
      </c>
      <c r="EG61" s="13">
        <f t="shared" si="245"/>
        <v>-1</v>
      </c>
      <c r="EH61" s="13">
        <f t="shared" si="246"/>
        <v>-1.2032813891362419</v>
      </c>
      <c r="EI61" s="12">
        <f t="shared" si="247"/>
        <v>3.6532938557435397</v>
      </c>
      <c r="EJ61" s="29"/>
      <c r="EK61" s="28">
        <f t="shared" si="101"/>
        <v>-2.5769804313934981</v>
      </c>
      <c r="EL61" s="24">
        <f t="shared" si="248"/>
        <v>-1.1189667526676066</v>
      </c>
      <c r="EM61" s="24">
        <f t="shared" si="249"/>
        <v>7.6003154620444838E-2</v>
      </c>
      <c r="EN61" s="24">
        <f t="shared" si="250"/>
        <v>5.4768491825174279E-2</v>
      </c>
      <c r="EO61" s="24">
        <f t="shared" si="251"/>
        <v>4.1625781525172897E-3</v>
      </c>
      <c r="EP61" s="24">
        <f t="shared" si="252"/>
        <v>0.131949198560426</v>
      </c>
      <c r="EQ61" s="24">
        <f t="shared" si="253"/>
        <v>-2.5766628126667346</v>
      </c>
      <c r="ER61" s="24">
        <f t="shared" si="254"/>
        <v>-31.388963639731795</v>
      </c>
      <c r="ES61" s="25">
        <f t="shared" si="255"/>
        <v>-13.629597759327744</v>
      </c>
      <c r="ET61" s="26"/>
      <c r="EU61" s="23">
        <f t="shared" si="256"/>
        <v>-6.4148352102850623</v>
      </c>
      <c r="EV61" s="12">
        <f t="shared" si="257"/>
        <v>3.8473759211843372E-7</v>
      </c>
      <c r="EW61" s="26"/>
      <c r="EX61" s="27">
        <f t="shared" si="258"/>
        <v>7.9426514400130776E-5</v>
      </c>
      <c r="EY61" s="26"/>
      <c r="EZ61" s="23">
        <f t="shared" si="259"/>
        <v>-9.1576126112573633</v>
      </c>
      <c r="FA61" s="13">
        <f t="shared" si="52"/>
        <v>16.70851540072459</v>
      </c>
      <c r="FB61" s="13">
        <f t="shared" si="260"/>
        <v>-29.266942087657817</v>
      </c>
      <c r="FC61" s="13">
        <f t="shared" si="261"/>
        <v>-7.6498137590678184</v>
      </c>
      <c r="FD61" s="12">
        <f t="shared" si="262"/>
        <v>4.7590620163062702E-4</v>
      </c>
      <c r="FE61" s="13"/>
      <c r="FF61" s="23">
        <f t="shared" si="263"/>
        <v>-7.4110830583575442</v>
      </c>
      <c r="FG61" s="13">
        <f t="shared" si="264"/>
        <v>15.006338835269048</v>
      </c>
      <c r="FH61" s="13">
        <f t="shared" si="265"/>
        <v>16.844649089315851</v>
      </c>
      <c r="FI61" s="24">
        <f t="shared" si="266"/>
        <v>1.4163015317758543E-5</v>
      </c>
      <c r="FJ61" s="25">
        <f t="shared" si="267"/>
        <v>9.7509839907039542E-4</v>
      </c>
      <c r="FK61" s="13"/>
      <c r="FL61" s="23">
        <f t="shared" si="110"/>
        <v>13.632709081663705</v>
      </c>
      <c r="FM61" s="13">
        <f t="shared" si="124"/>
        <v>-7.5509904244595578</v>
      </c>
      <c r="FN61" s="13">
        <f t="shared" si="268"/>
        <v>-6.0825605116861787</v>
      </c>
      <c r="FO61" s="13">
        <f t="shared" si="269"/>
        <v>8.2687360580813163E-7</v>
      </c>
      <c r="FP61" s="23">
        <f t="shared" si="270"/>
        <v>-7.0549558812320363</v>
      </c>
      <c r="FQ61" s="13">
        <f t="shared" si="138"/>
        <v>8.8113830232217083E-8</v>
      </c>
      <c r="FR61" s="13">
        <f t="shared" si="271"/>
        <v>-6.6738338865748688</v>
      </c>
      <c r="FS61" s="13">
        <f t="shared" si="272"/>
        <v>2.1191710930512642E-7</v>
      </c>
      <c r="FT61" s="13">
        <f t="shared" si="273"/>
        <v>-7.1529077957467315</v>
      </c>
      <c r="FU61" s="12">
        <f t="shared" si="274"/>
        <v>7.0322155321100865E-8</v>
      </c>
      <c r="FV61" s="22"/>
      <c r="FW61" s="11">
        <f t="shared" si="141"/>
        <v>-1</v>
      </c>
      <c r="FX61" s="10">
        <f t="shared" si="142"/>
        <v>-1.2032813891362419</v>
      </c>
      <c r="FY61" s="10">
        <f t="shared" si="143"/>
        <v>3.6532938557435397</v>
      </c>
      <c r="FZ61" s="5">
        <f t="shared" si="144"/>
        <v>-13.63313000890472</v>
      </c>
      <c r="GA61" s="10">
        <f t="shared" si="145"/>
        <v>0.131949198560426</v>
      </c>
      <c r="GB61" s="9">
        <f t="shared" si="275"/>
        <v>13.632709081663705</v>
      </c>
      <c r="GC61" s="8">
        <f t="shared" si="276"/>
        <v>-7.5509904244595578</v>
      </c>
      <c r="GD61" s="8">
        <f t="shared" si="120"/>
        <v>8.2687360580813163E-7</v>
      </c>
      <c r="GE61" s="7">
        <f t="shared" si="121"/>
        <v>8.8113830232217083E-8</v>
      </c>
      <c r="GF61" s="6">
        <f t="shared" si="277"/>
        <v>1.4163015317758543E-5</v>
      </c>
      <c r="GG61" s="5">
        <f t="shared" si="278"/>
        <v>9.7509839907039542E-4</v>
      </c>
      <c r="GH61" s="4">
        <f t="shared" si="279"/>
        <v>4.7590620163062702E-4</v>
      </c>
      <c r="GI61" s="4">
        <f t="shared" si="149"/>
        <v>7.9426514400130776E-5</v>
      </c>
      <c r="GJ61" s="4">
        <f t="shared" si="150"/>
        <v>3.8473759211843372E-7</v>
      </c>
      <c r="GK61" s="1"/>
    </row>
    <row r="62" spans="1:193" x14ac:dyDescent="0.4">
      <c r="A62" s="34"/>
      <c r="B62" s="21"/>
      <c r="C62" s="21"/>
      <c r="D62" s="34"/>
      <c r="E62" s="34"/>
      <c r="F62" s="20" t="s">
        <v>84</v>
      </c>
      <c r="G62" s="19">
        <v>850</v>
      </c>
      <c r="H62" s="18">
        <v>1</v>
      </c>
      <c r="I62" s="17">
        <v>-0.6</v>
      </c>
      <c r="J62" s="16">
        <v>52.63</v>
      </c>
      <c r="K62" s="16">
        <v>1.18</v>
      </c>
      <c r="L62" s="16">
        <v>17.13</v>
      </c>
      <c r="M62" s="16">
        <v>0</v>
      </c>
      <c r="N62" s="16">
        <f t="shared" si="153"/>
        <v>6.3739999999999997</v>
      </c>
      <c r="O62" s="16">
        <v>0</v>
      </c>
      <c r="P62" s="16">
        <v>2.71</v>
      </c>
      <c r="Q62" s="16">
        <v>5.74</v>
      </c>
      <c r="R62" s="16">
        <v>4.38</v>
      </c>
      <c r="S62" s="16">
        <v>1.74</v>
      </c>
      <c r="T62" s="16">
        <v>0</v>
      </c>
      <c r="U62" s="15">
        <v>6</v>
      </c>
      <c r="V62" s="16"/>
      <c r="W62" s="28">
        <f t="shared" si="71"/>
        <v>53.767725062318682</v>
      </c>
      <c r="X62" s="24">
        <f t="shared" si="155"/>
        <v>1.2055085611540193</v>
      </c>
      <c r="Y62" s="24">
        <f t="shared" si="155"/>
        <v>17.500306485227416</v>
      </c>
      <c r="Z62" s="24">
        <f t="shared" si="154"/>
        <v>0</v>
      </c>
      <c r="AA62" s="24">
        <f t="shared" si="154"/>
        <v>6.5117894650811179</v>
      </c>
      <c r="AB62" s="24">
        <f t="shared" si="154"/>
        <v>0</v>
      </c>
      <c r="AC62" s="24">
        <f t="shared" si="154"/>
        <v>2.7685832209554171</v>
      </c>
      <c r="AD62" s="24">
        <f t="shared" si="154"/>
        <v>5.8640840178170093</v>
      </c>
      <c r="AE62" s="24">
        <f t="shared" si="154"/>
        <v>4.4746843202157667</v>
      </c>
      <c r="AF62" s="24">
        <f t="shared" si="154"/>
        <v>1.777614318989825</v>
      </c>
      <c r="AG62" s="24">
        <f t="shared" si="154"/>
        <v>0</v>
      </c>
      <c r="AH62" s="24">
        <f t="shared" si="154"/>
        <v>6.1297045482407766</v>
      </c>
      <c r="AI62" s="14">
        <f t="shared" si="72"/>
        <v>100.00000000000004</v>
      </c>
      <c r="AJ62" s="26"/>
      <c r="AK62" s="50">
        <f t="shared" si="73"/>
        <v>0.89478657118187188</v>
      </c>
      <c r="AL62" s="47">
        <f t="shared" si="74"/>
        <v>1.5087716660250553E-2</v>
      </c>
      <c r="AM62" s="47">
        <f t="shared" si="75"/>
        <v>0.17163894159697349</v>
      </c>
      <c r="AN62" s="49">
        <f t="shared" si="76"/>
        <v>0</v>
      </c>
      <c r="AO62" s="49">
        <f t="shared" si="77"/>
        <v>9.0630333543230593E-2</v>
      </c>
      <c r="AP62" s="47">
        <f t="shared" si="78"/>
        <v>0</v>
      </c>
      <c r="AQ62" s="47">
        <f t="shared" si="79"/>
        <v>6.8665258456235542E-2</v>
      </c>
      <c r="AR62" s="47">
        <f t="shared" si="80"/>
        <v>0.10456640545322771</v>
      </c>
      <c r="AS62" s="47">
        <f t="shared" si="81"/>
        <v>7.2195616654013667E-2</v>
      </c>
      <c r="AT62" s="47">
        <f t="shared" si="82"/>
        <v>1.8870640328979033E-2</v>
      </c>
      <c r="AU62" s="47">
        <f t="shared" si="83"/>
        <v>0</v>
      </c>
      <c r="AV62" s="47">
        <f t="shared" si="84"/>
        <v>0.34016118469704643</v>
      </c>
      <c r="AW62" s="47">
        <f t="shared" si="85"/>
        <v>1.4364414838747823</v>
      </c>
      <c r="AX62" s="47">
        <f t="shared" si="86"/>
        <v>7.6670237045129361E-2</v>
      </c>
      <c r="AY62" s="46">
        <f t="shared" si="87"/>
        <v>6.9822655952049258E-3</v>
      </c>
      <c r="AZ62" s="26"/>
      <c r="BA62" s="23">
        <f t="shared" si="88"/>
        <v>0.62291891540767586</v>
      </c>
      <c r="BB62" s="13">
        <f t="shared" si="6"/>
        <v>1.0503537268745283E-2</v>
      </c>
      <c r="BC62" s="13">
        <f t="shared" si="7"/>
        <v>0.11948898964821014</v>
      </c>
      <c r="BD62" s="13">
        <f t="shared" si="8"/>
        <v>0</v>
      </c>
      <c r="BE62" s="13">
        <f t="shared" si="9"/>
        <v>6.309364813020886E-2</v>
      </c>
      <c r="BF62" s="13">
        <f t="shared" si="10"/>
        <v>5.3375120327430525E-2</v>
      </c>
      <c r="BG62" s="13">
        <f t="shared" si="11"/>
        <v>4.8608075397337837E-3</v>
      </c>
      <c r="BH62" s="13">
        <f t="shared" si="12"/>
        <v>0</v>
      </c>
      <c r="BI62" s="13">
        <f t="shared" si="13"/>
        <v>4.7802335999801326E-2</v>
      </c>
      <c r="BJ62" s="13">
        <f t="shared" si="14"/>
        <v>7.2795450860386732E-2</v>
      </c>
      <c r="BK62" s="13">
        <f t="shared" si="15"/>
        <v>5.0260047112581939E-2</v>
      </c>
      <c r="BL62" s="13">
        <f t="shared" si="16"/>
        <v>1.3137075572389989E-2</v>
      </c>
      <c r="BM62" s="13">
        <f t="shared" si="17"/>
        <v>0</v>
      </c>
      <c r="BN62" s="13">
        <f t="shared" si="18"/>
        <v>0.23680824350704913</v>
      </c>
      <c r="BO62" s="12">
        <f t="shared" si="89"/>
        <v>1.0000000000000002</v>
      </c>
      <c r="BP62" s="13"/>
      <c r="BQ62" s="23">
        <f t="shared" si="90"/>
        <v>1.7895731423637438</v>
      </c>
      <c r="BR62" s="13">
        <f t="shared" si="19"/>
        <v>3.0175433320501106E-2</v>
      </c>
      <c r="BS62" s="13">
        <f t="shared" si="20"/>
        <v>0.51471489662433578</v>
      </c>
      <c r="BT62" s="13">
        <f t="shared" si="21"/>
        <v>0</v>
      </c>
      <c r="BU62" s="13">
        <f t="shared" si="22"/>
        <v>9.0630333543230593E-2</v>
      </c>
      <c r="BV62" s="13">
        <f t="shared" si="91"/>
        <v>7.6670237045129361E-2</v>
      </c>
      <c r="BW62" s="24">
        <f t="shared" si="92"/>
        <v>2.0946796785614778E-2</v>
      </c>
      <c r="BX62" s="13">
        <f t="shared" si="23"/>
        <v>0</v>
      </c>
      <c r="BY62" s="13">
        <f t="shared" si="24"/>
        <v>6.8699335507578591E-2</v>
      </c>
      <c r="BZ62" s="13">
        <f t="shared" si="25"/>
        <v>0.10452912687730855</v>
      </c>
      <c r="CA62" s="13">
        <f t="shared" si="26"/>
        <v>7.2172327745415585E-2</v>
      </c>
      <c r="CB62" s="13">
        <f t="shared" si="27"/>
        <v>1.8870640328979033E-2</v>
      </c>
      <c r="CC62" s="13">
        <f t="shared" si="28"/>
        <v>0</v>
      </c>
      <c r="CD62" s="13">
        <f t="shared" si="93"/>
        <v>0.34016118469704643</v>
      </c>
      <c r="CE62" s="12">
        <f t="shared" si="94"/>
        <v>3.0295264210081392</v>
      </c>
      <c r="CF62" s="13"/>
      <c r="CG62" s="23">
        <f t="shared" ref="CG62:CT86" si="280">IF(OR($CE62="",BQ62=""),"",BQ62/$CE62)</f>
        <v>0.59071052490383147</v>
      </c>
      <c r="CH62" s="13">
        <f t="shared" si="280"/>
        <v>9.9604456694124457E-3</v>
      </c>
      <c r="CI62" s="13">
        <f t="shared" si="280"/>
        <v>0.16989945790043762</v>
      </c>
      <c r="CJ62" s="13">
        <f t="shared" si="280"/>
        <v>0</v>
      </c>
      <c r="CK62" s="13">
        <f t="shared" si="280"/>
        <v>2.991567689086911E-2</v>
      </c>
      <c r="CL62" s="13">
        <f t="shared" si="280"/>
        <v>2.5307664100059479E-2</v>
      </c>
      <c r="CM62" s="13">
        <f t="shared" si="280"/>
        <v>6.9142149216326314E-3</v>
      </c>
      <c r="CN62" s="13">
        <f t="shared" si="280"/>
        <v>0</v>
      </c>
      <c r="CO62" s="13">
        <f t="shared" si="280"/>
        <v>2.2676592298778313E-2</v>
      </c>
      <c r="CP62" s="13">
        <f t="shared" si="156"/>
        <v>3.4503454451644711E-2</v>
      </c>
      <c r="CQ62" s="13">
        <f t="shared" si="156"/>
        <v>2.3822973533070793E-2</v>
      </c>
      <c r="CR62" s="13">
        <f t="shared" si="156"/>
        <v>6.2289076596663004E-3</v>
      </c>
      <c r="CS62" s="13">
        <f t="shared" si="156"/>
        <v>0</v>
      </c>
      <c r="CT62" s="13">
        <f t="shared" si="156"/>
        <v>0.11228196669228935</v>
      </c>
      <c r="CU62" s="12">
        <f t="shared" si="30"/>
        <v>1.0000000000000002</v>
      </c>
      <c r="CV62" s="26"/>
      <c r="CW62" s="23">
        <f t="shared" si="31"/>
        <v>0.89478657118187188</v>
      </c>
      <c r="CX62" s="13">
        <f t="shared" si="32"/>
        <v>1.5087716660250553E-2</v>
      </c>
      <c r="CY62" s="13">
        <f t="shared" si="33"/>
        <v>0.34314326441622384</v>
      </c>
      <c r="CZ62" s="13">
        <f t="shared" si="34"/>
        <v>0</v>
      </c>
      <c r="DA62" s="13">
        <f t="shared" si="35"/>
        <v>7.9944289693593323E-2</v>
      </c>
      <c r="DB62" s="13">
        <f t="shared" si="36"/>
        <v>7.6670237045129361E-2</v>
      </c>
      <c r="DC62" s="24">
        <f t="shared" si="37"/>
        <v>1.3964531190409852E-2</v>
      </c>
      <c r="DD62" s="13">
        <f t="shared" si="38"/>
        <v>0</v>
      </c>
      <c r="DE62" s="13">
        <f t="shared" si="39"/>
        <v>6.8699335507578591E-2</v>
      </c>
      <c r="DF62" s="13">
        <f t="shared" si="40"/>
        <v>0.10452912687730855</v>
      </c>
      <c r="DG62" s="13">
        <f t="shared" si="41"/>
        <v>0.14434465549083117</v>
      </c>
      <c r="DH62" s="13">
        <f t="shared" si="42"/>
        <v>3.7741280657958065E-2</v>
      </c>
      <c r="DI62" s="13">
        <f t="shared" si="43"/>
        <v>0</v>
      </c>
      <c r="DJ62" s="13">
        <f t="shared" si="95"/>
        <v>0.68032236939409285</v>
      </c>
      <c r="DK62" s="12">
        <f t="shared" si="96"/>
        <v>2.3685986098797089</v>
      </c>
      <c r="DL62" s="26"/>
      <c r="DM62" s="23">
        <f t="shared" si="152"/>
        <v>0.3777704535709891</v>
      </c>
      <c r="DN62" s="13">
        <f t="shared" si="152"/>
        <v>6.3698917145851037E-3</v>
      </c>
      <c r="DO62" s="13">
        <f t="shared" si="151"/>
        <v>0.14487185080027157</v>
      </c>
      <c r="DP62" s="13">
        <f t="shared" si="151"/>
        <v>0</v>
      </c>
      <c r="DQ62" s="13">
        <f t="shared" si="151"/>
        <v>3.3751725328274744E-2</v>
      </c>
      <c r="DR62" s="13">
        <f t="shared" si="151"/>
        <v>3.2369451170548104E-2</v>
      </c>
      <c r="DS62" s="13">
        <f t="shared" si="151"/>
        <v>5.8956933995325828E-3</v>
      </c>
      <c r="DT62" s="13">
        <f t="shared" si="151"/>
        <v>0</v>
      </c>
      <c r="DU62" s="13">
        <f t="shared" si="151"/>
        <v>2.9004211697594273E-2</v>
      </c>
      <c r="DV62" s="13">
        <f t="shared" si="151"/>
        <v>4.4131211781221612E-2</v>
      </c>
      <c r="DW62" s="13">
        <f t="shared" si="151"/>
        <v>6.0940952548377045E-2</v>
      </c>
      <c r="DX62" s="13">
        <f t="shared" si="151"/>
        <v>1.5934012838027794E-2</v>
      </c>
      <c r="DY62" s="13">
        <f t="shared" si="151"/>
        <v>0</v>
      </c>
      <c r="DZ62" s="13">
        <f t="shared" si="151"/>
        <v>0.28722568972065871</v>
      </c>
      <c r="EA62" s="12">
        <f t="shared" si="45"/>
        <v>1</v>
      </c>
      <c r="EB62" s="26"/>
      <c r="EC62" s="30">
        <f t="shared" si="46"/>
        <v>1123</v>
      </c>
      <c r="ED62" s="14">
        <f t="shared" si="98"/>
        <v>1000000000</v>
      </c>
      <c r="EE62" s="29"/>
      <c r="EF62" s="184">
        <f t="shared" si="122"/>
        <v>-13.23313000890472</v>
      </c>
      <c r="EG62" s="13">
        <f t="shared" si="99"/>
        <v>-0.6</v>
      </c>
      <c r="EH62" s="13">
        <f t="shared" si="100"/>
        <v>-0.80328138913624159</v>
      </c>
      <c r="EI62" s="12">
        <f t="shared" si="47"/>
        <v>4.0532938557435401</v>
      </c>
      <c r="EJ62" s="29"/>
      <c r="EK62" s="28">
        <f t="shared" si="101"/>
        <v>-2.396457760102765</v>
      </c>
      <c r="EL62" s="24">
        <f t="shared" si="102"/>
        <v>-1.0405808771614264</v>
      </c>
      <c r="EM62" s="24">
        <f t="shared" si="103"/>
        <v>9.1039867855658915E-2</v>
      </c>
      <c r="EN62" s="24">
        <f t="shared" si="104"/>
        <v>5.3375120327430525E-2</v>
      </c>
      <c r="EO62" s="24">
        <f t="shared" si="105"/>
        <v>4.859263901389169E-3</v>
      </c>
      <c r="EP62" s="24">
        <f t="shared" si="106"/>
        <v>0.1540333788073536</v>
      </c>
      <c r="EQ62" s="24">
        <f t="shared" si="107"/>
        <v>-2.3961401413760011</v>
      </c>
      <c r="ER62" s="24">
        <f t="shared" si="48"/>
        <v>-30.467929602534173</v>
      </c>
      <c r="ES62" s="25">
        <f t="shared" si="49"/>
        <v>-13.229669823071722</v>
      </c>
      <c r="ET62" s="26"/>
      <c r="EU62" s="23">
        <f t="shared" si="123"/>
        <v>-5.7876352102850603</v>
      </c>
      <c r="EV62" s="12">
        <f t="shared" si="50"/>
        <v>1.6306624909256939E-6</v>
      </c>
      <c r="EW62" s="26"/>
      <c r="EX62" s="27">
        <f t="shared" si="108"/>
        <v>5.0093617081359819E-4</v>
      </c>
      <c r="EY62" s="26"/>
      <c r="EZ62" s="23">
        <f t="shared" ref="EZ62:EZ95" si="281">IF(EA62="","",-23590/(EC62)+8.77+(1673/(EC62))*(6.7*(DW62+DX62)+1.8*DO62+4.9*DU62+8.1*DV62+5*DN62+8.9*(DQ62+DT62)-22.2*(DQ62+DT62)*DN62+7.2*(DQ62+DT62)*DM62)-2.06*ERF(-7.2*DQ62+DT62))</f>
        <v>-9.1576126112573633</v>
      </c>
      <c r="FA62" s="13">
        <f t="shared" si="52"/>
        <v>16.696099804524604</v>
      </c>
      <c r="FB62" s="13">
        <f t="shared" ref="FB62:FB95" si="282">IF(G62="","",-55921/(EC62)+25.07-0.6465*LN(EC62))</f>
        <v>-29.266942087657817</v>
      </c>
      <c r="FC62" s="13">
        <f t="shared" ref="FC62:FC95" si="283">IF(EZ62="","",(FA62-FB62-EZ62)+2*LN(10)*EF62)</f>
        <v>-5.8201612808725685</v>
      </c>
      <c r="FD62" s="12">
        <f t="shared" si="55"/>
        <v>2.9583487702017353E-3</v>
      </c>
      <c r="FE62" s="13"/>
      <c r="FF62" s="23">
        <f t="shared" ref="FF62:FF95" si="284">IF(CU62="","",0.225+(25237*CL62+5214*CP62+12705*CN62+19829*CR62-1109*CG62-8879)/(EC62))</f>
        <v>-7.4259300371600618</v>
      </c>
      <c r="FG62" s="13">
        <f t="shared" ref="FG62:FG95" si="285">IF(CU62="","",-12.948+(28649*CQ62+15602*CP62+9496*CO62+16016*CN62+4194*CI62+29244)/(EC62))</f>
        <v>15.006338835269048</v>
      </c>
      <c r="FH62" s="13">
        <f t="shared" ref="FH62:FH95" si="286">IF(CU62="","",-213.65+(25696*CQ62+15076*CP62+9543*CO62+16158*CN62+4316*CI62+68254)/(EC62)+55.03*LOG(EC62))</f>
        <v>16.844649089315851</v>
      </c>
      <c r="FI62" s="24">
        <f t="shared" ref="FI62:FI95" si="287">IF(FF62="","",1-1/(1+10^(FG62-$FF62+2*$EF62)))</f>
        <v>9.2463152510102731E-5</v>
      </c>
      <c r="FJ62" s="25">
        <f t="shared" ref="FJ62:FJ95" si="288">IF(FH62="","",1-1/(1+10^(FH62-$FF62+2*$EF62)))</f>
        <v>6.3322826101428475E-3</v>
      </c>
      <c r="FK62" s="13"/>
      <c r="FL62" s="23">
        <f t="shared" si="110"/>
        <v>13.632709081663705</v>
      </c>
      <c r="FM62" s="13">
        <f t="shared" si="124"/>
        <v>-7.5567397959617564</v>
      </c>
      <c r="FN62" s="13">
        <f t="shared" ref="FN62:FN95" si="289">IF($FL62="","",$FL62-$FM62+2*$EF62)</f>
        <v>-5.2768111401839768</v>
      </c>
      <c r="FO62" s="13">
        <f t="shared" si="60"/>
        <v>5.2867230955211397E-6</v>
      </c>
      <c r="FP62" s="23">
        <f t="shared" ref="FP62:FP95" si="290">IF($FL62="","",$FL62-$FM62+2*($EF62-(0.0546*($H62*10000)/($G62+273))))</f>
        <v>-6.2492065097298344</v>
      </c>
      <c r="FQ62" s="13">
        <f t="shared" ref="FQ62:FQ95" si="291">IF($FP62="","",1-1/(1+10^FP62))</f>
        <v>5.6336938880630072E-7</v>
      </c>
      <c r="FR62" s="13">
        <f t="shared" ref="FR62:FR95" si="292">IF($FL62="","",$FL62-$FM62+2*($EF62-(0.0332*($H62*10000)/($G62+273))))</f>
        <v>-5.8680845150726668</v>
      </c>
      <c r="FS62" s="13">
        <f t="shared" si="115"/>
        <v>1.354923877983083E-6</v>
      </c>
      <c r="FT62" s="13">
        <f t="shared" ref="FT62:FT95" si="293">IF($FL62="","",$FL62-$FM62+2*($EF62-(0.0601*($H62*10000)/($G62+273))))</f>
        <v>-6.3471584242445296</v>
      </c>
      <c r="FU62" s="12">
        <f t="shared" si="117"/>
        <v>4.496156095212811E-7</v>
      </c>
      <c r="FV62" s="22"/>
      <c r="FW62" s="11">
        <f t="shared" si="141"/>
        <v>-0.6</v>
      </c>
      <c r="FX62" s="10">
        <f t="shared" si="142"/>
        <v>-0.80328138913624159</v>
      </c>
      <c r="FY62" s="10">
        <f t="shared" si="143"/>
        <v>4.0532938557435401</v>
      </c>
      <c r="FZ62" s="5">
        <f t="shared" si="144"/>
        <v>-13.23313000890472</v>
      </c>
      <c r="GA62" s="10">
        <f t="shared" si="145"/>
        <v>0.1540333788073536</v>
      </c>
      <c r="GB62" s="9">
        <f t="shared" si="275"/>
        <v>13.632709081663705</v>
      </c>
      <c r="GC62" s="8">
        <f t="shared" si="276"/>
        <v>-7.5567397959617564</v>
      </c>
      <c r="GD62" s="8">
        <f t="shared" si="120"/>
        <v>5.2867230955211397E-6</v>
      </c>
      <c r="GE62" s="7">
        <f t="shared" si="121"/>
        <v>5.6336938880630072E-7</v>
      </c>
      <c r="GF62" s="6">
        <f t="shared" si="277"/>
        <v>9.2463152510102731E-5</v>
      </c>
      <c r="GG62" s="5">
        <f t="shared" si="278"/>
        <v>6.3322826101428475E-3</v>
      </c>
      <c r="GH62" s="4">
        <f t="shared" si="279"/>
        <v>2.9583487702017353E-3</v>
      </c>
      <c r="GI62" s="4">
        <f t="shared" si="149"/>
        <v>5.0093617081359819E-4</v>
      </c>
      <c r="GJ62" s="4">
        <f t="shared" si="150"/>
        <v>1.6306624909256939E-6</v>
      </c>
      <c r="GK62" s="1"/>
    </row>
    <row r="63" spans="1:193" x14ac:dyDescent="0.4">
      <c r="A63" s="32"/>
      <c r="B63" s="33"/>
      <c r="C63" s="33"/>
      <c r="D63" s="32"/>
      <c r="E63" s="32"/>
      <c r="F63" s="20" t="s">
        <v>84</v>
      </c>
      <c r="G63" s="19">
        <v>850</v>
      </c>
      <c r="H63" s="18">
        <v>1</v>
      </c>
      <c r="I63" s="17">
        <v>-0.2</v>
      </c>
      <c r="J63" s="16">
        <v>52.63</v>
      </c>
      <c r="K63" s="16">
        <v>1.18</v>
      </c>
      <c r="L63" s="16">
        <v>17.13</v>
      </c>
      <c r="M63" s="16">
        <v>0</v>
      </c>
      <c r="N63" s="16">
        <f t="shared" si="153"/>
        <v>6.3739999999999997</v>
      </c>
      <c r="O63" s="16">
        <v>0</v>
      </c>
      <c r="P63" s="16">
        <v>2.71</v>
      </c>
      <c r="Q63" s="16">
        <v>5.74</v>
      </c>
      <c r="R63" s="16">
        <v>4.38</v>
      </c>
      <c r="S63" s="16">
        <v>1.74</v>
      </c>
      <c r="T63" s="16">
        <v>0</v>
      </c>
      <c r="U63" s="15">
        <v>6</v>
      </c>
      <c r="V63" s="16"/>
      <c r="W63" s="28">
        <f t="shared" si="71"/>
        <v>53.767725062318682</v>
      </c>
      <c r="X63" s="24">
        <f t="shared" si="155"/>
        <v>1.2055085611540193</v>
      </c>
      <c r="Y63" s="24">
        <f t="shared" si="155"/>
        <v>17.500306485227416</v>
      </c>
      <c r="Z63" s="24">
        <f t="shared" si="154"/>
        <v>0</v>
      </c>
      <c r="AA63" s="24">
        <f t="shared" si="154"/>
        <v>6.5117894650811179</v>
      </c>
      <c r="AB63" s="24">
        <f t="shared" si="154"/>
        <v>0</v>
      </c>
      <c r="AC63" s="24">
        <f t="shared" si="154"/>
        <v>2.7685832209554171</v>
      </c>
      <c r="AD63" s="24">
        <f t="shared" si="154"/>
        <v>5.8640840178170093</v>
      </c>
      <c r="AE63" s="24">
        <f t="shared" si="154"/>
        <v>4.4746843202157667</v>
      </c>
      <c r="AF63" s="24">
        <f t="shared" si="154"/>
        <v>1.777614318989825</v>
      </c>
      <c r="AG63" s="24">
        <f t="shared" si="154"/>
        <v>0</v>
      </c>
      <c r="AH63" s="24">
        <f t="shared" si="154"/>
        <v>6.1297045482407766</v>
      </c>
      <c r="AI63" s="14">
        <f t="shared" si="72"/>
        <v>100.00000000000004</v>
      </c>
      <c r="AJ63" s="26"/>
      <c r="AK63" s="50">
        <f t="shared" si="73"/>
        <v>0.89478657118187188</v>
      </c>
      <c r="AL63" s="47">
        <f t="shared" si="74"/>
        <v>1.5087716660250553E-2</v>
      </c>
      <c r="AM63" s="47">
        <f t="shared" si="75"/>
        <v>0.17163894159697349</v>
      </c>
      <c r="AN63" s="49">
        <f t="shared" si="76"/>
        <v>0</v>
      </c>
      <c r="AO63" s="49">
        <f t="shared" si="77"/>
        <v>9.0630333543230593E-2</v>
      </c>
      <c r="AP63" s="47">
        <f t="shared" si="78"/>
        <v>0</v>
      </c>
      <c r="AQ63" s="47">
        <f t="shared" si="79"/>
        <v>6.8665258456235542E-2</v>
      </c>
      <c r="AR63" s="47">
        <f t="shared" si="80"/>
        <v>0.10456640545322771</v>
      </c>
      <c r="AS63" s="47">
        <f t="shared" si="81"/>
        <v>7.2195616654013667E-2</v>
      </c>
      <c r="AT63" s="47">
        <f t="shared" si="82"/>
        <v>1.8870640328979033E-2</v>
      </c>
      <c r="AU63" s="47">
        <f t="shared" si="83"/>
        <v>0</v>
      </c>
      <c r="AV63" s="47">
        <f t="shared" si="84"/>
        <v>0.34016118469704643</v>
      </c>
      <c r="AW63" s="47">
        <f t="shared" si="85"/>
        <v>1.4364414838747823</v>
      </c>
      <c r="AX63" s="47">
        <f t="shared" si="86"/>
        <v>7.4402849740110757E-2</v>
      </c>
      <c r="AY63" s="46">
        <f t="shared" si="87"/>
        <v>8.1163193872391733E-3</v>
      </c>
      <c r="AZ63" s="26"/>
      <c r="BA63" s="23">
        <f t="shared" si="88"/>
        <v>0.62291891540767586</v>
      </c>
      <c r="BB63" s="13">
        <f t="shared" si="6"/>
        <v>1.0503537268745283E-2</v>
      </c>
      <c r="BC63" s="13">
        <f t="shared" si="7"/>
        <v>0.11948898964821014</v>
      </c>
      <c r="BD63" s="13">
        <f t="shared" si="8"/>
        <v>0</v>
      </c>
      <c r="BE63" s="13">
        <f t="shared" si="9"/>
        <v>6.309364813020886E-2</v>
      </c>
      <c r="BF63" s="13">
        <f t="shared" si="10"/>
        <v>5.1796645095079009E-2</v>
      </c>
      <c r="BG63" s="13">
        <f t="shared" si="11"/>
        <v>5.6502958723703154E-3</v>
      </c>
      <c r="BH63" s="13">
        <f t="shared" si="12"/>
        <v>0</v>
      </c>
      <c r="BI63" s="13">
        <f t="shared" si="13"/>
        <v>4.7802335999801326E-2</v>
      </c>
      <c r="BJ63" s="13">
        <f t="shared" si="14"/>
        <v>7.2795450860386732E-2</v>
      </c>
      <c r="BK63" s="13">
        <f t="shared" si="15"/>
        <v>5.0260047112581939E-2</v>
      </c>
      <c r="BL63" s="13">
        <f t="shared" si="16"/>
        <v>1.3137075572389989E-2</v>
      </c>
      <c r="BM63" s="13">
        <f t="shared" si="17"/>
        <v>0</v>
      </c>
      <c r="BN63" s="13">
        <f t="shared" si="18"/>
        <v>0.23680824350704913</v>
      </c>
      <c r="BO63" s="12">
        <f t="shared" si="89"/>
        <v>1.0000000000000002</v>
      </c>
      <c r="BP63" s="13"/>
      <c r="BQ63" s="23">
        <f t="shared" si="90"/>
        <v>1.7895731423637438</v>
      </c>
      <c r="BR63" s="13">
        <f t="shared" si="19"/>
        <v>3.0175433320501106E-2</v>
      </c>
      <c r="BS63" s="13">
        <f t="shared" si="20"/>
        <v>0.51471489662433578</v>
      </c>
      <c r="BT63" s="13">
        <f t="shared" si="21"/>
        <v>0</v>
      </c>
      <c r="BU63" s="13">
        <f t="shared" si="22"/>
        <v>9.0630333543230593E-2</v>
      </c>
      <c r="BV63" s="13">
        <f t="shared" si="91"/>
        <v>7.4402849740110757E-2</v>
      </c>
      <c r="BW63" s="24">
        <f t="shared" si="92"/>
        <v>2.4348958161717518E-2</v>
      </c>
      <c r="BX63" s="13">
        <f t="shared" si="23"/>
        <v>0</v>
      </c>
      <c r="BY63" s="13">
        <f t="shared" si="24"/>
        <v>6.8699335507578591E-2</v>
      </c>
      <c r="BZ63" s="13">
        <f t="shared" si="25"/>
        <v>0.10452912687730855</v>
      </c>
      <c r="CA63" s="13">
        <f t="shared" si="26"/>
        <v>7.2172327745415585E-2</v>
      </c>
      <c r="CB63" s="13">
        <f t="shared" si="27"/>
        <v>1.8870640328979033E-2</v>
      </c>
      <c r="CC63" s="13">
        <f t="shared" si="28"/>
        <v>0</v>
      </c>
      <c r="CD63" s="13">
        <f t="shared" si="93"/>
        <v>0.34016118469704643</v>
      </c>
      <c r="CE63" s="12">
        <f t="shared" si="94"/>
        <v>3.0295264210081392</v>
      </c>
      <c r="CF63" s="13"/>
      <c r="CG63" s="23">
        <f t="shared" si="280"/>
        <v>0.59071052490383147</v>
      </c>
      <c r="CH63" s="13">
        <f t="shared" si="280"/>
        <v>9.9604456694124457E-3</v>
      </c>
      <c r="CI63" s="13">
        <f t="shared" si="280"/>
        <v>0.16989945790043762</v>
      </c>
      <c r="CJ63" s="13">
        <f t="shared" si="280"/>
        <v>0</v>
      </c>
      <c r="CK63" s="13">
        <f t="shared" si="280"/>
        <v>2.991567689086911E-2</v>
      </c>
      <c r="CL63" s="13">
        <f t="shared" si="280"/>
        <v>2.4559234481061773E-2</v>
      </c>
      <c r="CM63" s="13">
        <f t="shared" si="280"/>
        <v>8.0372159796562818E-3</v>
      </c>
      <c r="CN63" s="13">
        <f t="shared" si="280"/>
        <v>0</v>
      </c>
      <c r="CO63" s="13">
        <f t="shared" si="280"/>
        <v>2.2676592298778313E-2</v>
      </c>
      <c r="CP63" s="13">
        <f t="shared" si="156"/>
        <v>3.4503454451644711E-2</v>
      </c>
      <c r="CQ63" s="13">
        <f t="shared" si="156"/>
        <v>2.3822973533070793E-2</v>
      </c>
      <c r="CR63" s="13">
        <f t="shared" si="156"/>
        <v>6.2289076596663004E-3</v>
      </c>
      <c r="CS63" s="13">
        <f t="shared" si="156"/>
        <v>0</v>
      </c>
      <c r="CT63" s="13">
        <f t="shared" si="156"/>
        <v>0.11228196669228935</v>
      </c>
      <c r="CU63" s="12">
        <f t="shared" si="30"/>
        <v>1.0000000000000002</v>
      </c>
      <c r="CV63" s="26"/>
      <c r="CW63" s="23">
        <f t="shared" si="31"/>
        <v>0.89478657118187188</v>
      </c>
      <c r="CX63" s="13">
        <f t="shared" si="32"/>
        <v>1.5087716660250553E-2</v>
      </c>
      <c r="CY63" s="13">
        <f t="shared" si="33"/>
        <v>0.34314326441622384</v>
      </c>
      <c r="CZ63" s="13">
        <f t="shared" si="34"/>
        <v>0</v>
      </c>
      <c r="DA63" s="13">
        <f t="shared" si="35"/>
        <v>7.9944289693593323E-2</v>
      </c>
      <c r="DB63" s="13">
        <f t="shared" si="36"/>
        <v>7.4402849740110757E-2</v>
      </c>
      <c r="DC63" s="24">
        <f t="shared" si="37"/>
        <v>1.6232638774478347E-2</v>
      </c>
      <c r="DD63" s="13">
        <f t="shared" si="38"/>
        <v>0</v>
      </c>
      <c r="DE63" s="13">
        <f t="shared" si="39"/>
        <v>6.8699335507578591E-2</v>
      </c>
      <c r="DF63" s="13">
        <f t="shared" si="40"/>
        <v>0.10452912687730855</v>
      </c>
      <c r="DG63" s="13">
        <f t="shared" si="41"/>
        <v>0.14434465549083117</v>
      </c>
      <c r="DH63" s="13">
        <f t="shared" si="42"/>
        <v>3.7741280657958065E-2</v>
      </c>
      <c r="DI63" s="13">
        <f t="shared" si="43"/>
        <v>0</v>
      </c>
      <c r="DJ63" s="13">
        <f t="shared" si="95"/>
        <v>0.68032236939409285</v>
      </c>
      <c r="DK63" s="12">
        <f t="shared" si="96"/>
        <v>2.3685986098797089</v>
      </c>
      <c r="DL63" s="26"/>
      <c r="DM63" s="23">
        <f t="shared" si="152"/>
        <v>0.3777704535709891</v>
      </c>
      <c r="DN63" s="13">
        <f t="shared" si="152"/>
        <v>6.3698917145851037E-3</v>
      </c>
      <c r="DO63" s="13">
        <f t="shared" si="151"/>
        <v>0.14487185080027157</v>
      </c>
      <c r="DP63" s="13">
        <f t="shared" si="151"/>
        <v>0</v>
      </c>
      <c r="DQ63" s="13">
        <f t="shared" si="151"/>
        <v>3.3751725328274744E-2</v>
      </c>
      <c r="DR63" s="13">
        <f t="shared" ref="DR63:DZ91" si="294">IF(OR($DK63="",DB63=""),"",DB63/$DK63)</f>
        <v>3.1412181629157238E-2</v>
      </c>
      <c r="DS63" s="13">
        <f t="shared" si="294"/>
        <v>6.8532670359469361E-3</v>
      </c>
      <c r="DT63" s="13">
        <f t="shared" si="294"/>
        <v>0</v>
      </c>
      <c r="DU63" s="13">
        <f t="shared" si="294"/>
        <v>2.9004211697594273E-2</v>
      </c>
      <c r="DV63" s="13">
        <f t="shared" si="294"/>
        <v>4.4131211781221612E-2</v>
      </c>
      <c r="DW63" s="13">
        <f t="shared" si="294"/>
        <v>6.0940952548377045E-2</v>
      </c>
      <c r="DX63" s="13">
        <f t="shared" si="294"/>
        <v>1.5934012838027794E-2</v>
      </c>
      <c r="DY63" s="13">
        <f t="shared" si="294"/>
        <v>0</v>
      </c>
      <c r="DZ63" s="13">
        <f t="shared" si="294"/>
        <v>0.28722568972065871</v>
      </c>
      <c r="EA63" s="12">
        <f t="shared" si="45"/>
        <v>1</v>
      </c>
      <c r="EB63" s="26"/>
      <c r="EC63" s="30">
        <f t="shared" si="46"/>
        <v>1123</v>
      </c>
      <c r="ED63" s="14">
        <f t="shared" si="98"/>
        <v>1000000000</v>
      </c>
      <c r="EE63" s="29"/>
      <c r="EF63" s="184">
        <f t="shared" si="122"/>
        <v>-12.833130008904719</v>
      </c>
      <c r="EG63" s="13">
        <f t="shared" si="99"/>
        <v>-0.2</v>
      </c>
      <c r="EH63" s="13">
        <f t="shared" si="100"/>
        <v>-0.40328138913624123</v>
      </c>
      <c r="EI63" s="12">
        <f t="shared" si="47"/>
        <v>4.4532938557435404</v>
      </c>
      <c r="EJ63" s="29"/>
      <c r="EK63" s="28">
        <f t="shared" si="101"/>
        <v>-2.2159350888120311</v>
      </c>
      <c r="EL63" s="24">
        <f t="shared" si="102"/>
        <v>-0.96219500165524585</v>
      </c>
      <c r="EM63" s="24">
        <f t="shared" si="103"/>
        <v>0.10905149372505527</v>
      </c>
      <c r="EN63" s="24">
        <f t="shared" si="104"/>
        <v>5.1796645095079009E-2</v>
      </c>
      <c r="EO63" s="24">
        <f t="shared" si="105"/>
        <v>5.6485015175649234E-3</v>
      </c>
      <c r="EP63" s="24">
        <f t="shared" si="106"/>
        <v>0.17905135255161936</v>
      </c>
      <c r="EQ63" s="24">
        <f t="shared" si="107"/>
        <v>-2.2156174700852671</v>
      </c>
      <c r="ER63" s="24">
        <f t="shared" si="48"/>
        <v>-29.546895565336548</v>
      </c>
      <c r="ES63" s="25">
        <f t="shared" si="49"/>
        <v>-12.829741886815697</v>
      </c>
      <c r="ET63" s="26"/>
      <c r="EU63" s="23">
        <f t="shared" si="123"/>
        <v>-5.1604352102850584</v>
      </c>
      <c r="EV63" s="12">
        <f t="shared" si="50"/>
        <v>6.9113325165126582E-6</v>
      </c>
      <c r="EW63" s="26"/>
      <c r="EX63" s="27">
        <f t="shared" si="108"/>
        <v>3.1523091832602089E-3</v>
      </c>
      <c r="EY63" s="26"/>
      <c r="EZ63" s="23">
        <f t="shared" si="281"/>
        <v>-9.1576126112573633</v>
      </c>
      <c r="FA63" s="13">
        <f t="shared" si="52"/>
        <v>16.682034846881727</v>
      </c>
      <c r="FB63" s="13">
        <f t="shared" si="282"/>
        <v>-29.266942087657817</v>
      </c>
      <c r="FC63" s="13">
        <f t="shared" si="283"/>
        <v>-3.9921581641201982</v>
      </c>
      <c r="FD63" s="12">
        <f t="shared" si="55"/>
        <v>1.8125242819480025E-2</v>
      </c>
      <c r="FE63" s="13"/>
      <c r="FF63" s="23">
        <f t="shared" si="284"/>
        <v>-7.442749376692249</v>
      </c>
      <c r="FG63" s="13">
        <f t="shared" si="285"/>
        <v>15.006338835269048</v>
      </c>
      <c r="FH63" s="13">
        <f t="shared" si="286"/>
        <v>16.844649089315851</v>
      </c>
      <c r="FI63" s="24">
        <f t="shared" si="287"/>
        <v>6.0612873876220164E-4</v>
      </c>
      <c r="FJ63" s="25">
        <f t="shared" si="288"/>
        <v>4.0119509344924587E-2</v>
      </c>
      <c r="FK63" s="13"/>
      <c r="FL63" s="23">
        <f t="shared" si="110"/>
        <v>13.632709081663705</v>
      </c>
      <c r="FM63" s="13">
        <f t="shared" si="124"/>
        <v>-7.5632530641333915</v>
      </c>
      <c r="FN63" s="13">
        <f t="shared" si="289"/>
        <v>-4.4702978720123419</v>
      </c>
      <c r="FO63" s="13">
        <f t="shared" si="60"/>
        <v>3.3860036545485528E-5</v>
      </c>
      <c r="FP63" s="23">
        <f t="shared" si="290"/>
        <v>-5.4426932415581994</v>
      </c>
      <c r="FQ63" s="13">
        <f t="shared" si="291"/>
        <v>3.6083212118231955E-6</v>
      </c>
      <c r="FR63" s="13">
        <f t="shared" si="292"/>
        <v>-5.0615712469010319</v>
      </c>
      <c r="FS63" s="13">
        <f t="shared" si="115"/>
        <v>8.6781066723773392E-6</v>
      </c>
      <c r="FT63" s="13">
        <f t="shared" si="293"/>
        <v>-5.5406451560728947</v>
      </c>
      <c r="FU63" s="12">
        <f t="shared" si="117"/>
        <v>2.8797420847936905E-6</v>
      </c>
      <c r="FV63" s="22"/>
      <c r="FW63" s="11">
        <f t="shared" si="141"/>
        <v>-0.2</v>
      </c>
      <c r="FX63" s="10">
        <f t="shared" si="142"/>
        <v>-0.40328138913624123</v>
      </c>
      <c r="FY63" s="10">
        <f t="shared" si="143"/>
        <v>4.4532938557435404</v>
      </c>
      <c r="FZ63" s="5">
        <f t="shared" si="144"/>
        <v>-12.833130008904719</v>
      </c>
      <c r="GA63" s="10">
        <f t="shared" si="145"/>
        <v>0.17905135255161936</v>
      </c>
      <c r="GB63" s="9">
        <f t="shared" si="275"/>
        <v>13.632709081663705</v>
      </c>
      <c r="GC63" s="8">
        <f t="shared" si="276"/>
        <v>-7.5632530641333915</v>
      </c>
      <c r="GD63" s="8">
        <f t="shared" si="120"/>
        <v>3.3860036545485528E-5</v>
      </c>
      <c r="GE63" s="7">
        <f t="shared" si="121"/>
        <v>3.6083212118231955E-6</v>
      </c>
      <c r="GF63" s="6">
        <f t="shared" si="277"/>
        <v>6.0612873876220164E-4</v>
      </c>
      <c r="GG63" s="5">
        <f t="shared" si="278"/>
        <v>4.0119509344924587E-2</v>
      </c>
      <c r="GH63" s="4">
        <f t="shared" si="279"/>
        <v>1.8125242819480025E-2</v>
      </c>
      <c r="GI63" s="4">
        <f t="shared" si="149"/>
        <v>3.1523091832602089E-3</v>
      </c>
      <c r="GJ63" s="4">
        <f t="shared" si="150"/>
        <v>6.9113325165126582E-6</v>
      </c>
      <c r="GK63" s="1"/>
    </row>
    <row r="64" spans="1:193" x14ac:dyDescent="0.4">
      <c r="A64" s="32"/>
      <c r="B64" s="33"/>
      <c r="C64" s="33"/>
      <c r="D64" s="32"/>
      <c r="E64" s="32"/>
      <c r="F64" s="20" t="s">
        <v>84</v>
      </c>
      <c r="G64" s="19">
        <v>850</v>
      </c>
      <c r="H64" s="18">
        <v>1</v>
      </c>
      <c r="I64" s="17">
        <v>0.2</v>
      </c>
      <c r="J64" s="16">
        <v>52.63</v>
      </c>
      <c r="K64" s="16">
        <v>1.18</v>
      </c>
      <c r="L64" s="16">
        <v>17.13</v>
      </c>
      <c r="M64" s="16">
        <v>0</v>
      </c>
      <c r="N64" s="16">
        <f t="shared" si="153"/>
        <v>6.3739999999999997</v>
      </c>
      <c r="O64" s="16">
        <v>0</v>
      </c>
      <c r="P64" s="16">
        <v>2.71</v>
      </c>
      <c r="Q64" s="16">
        <v>5.74</v>
      </c>
      <c r="R64" s="16">
        <v>4.38</v>
      </c>
      <c r="S64" s="16">
        <v>1.74</v>
      </c>
      <c r="T64" s="16">
        <v>0</v>
      </c>
      <c r="U64" s="15">
        <v>6</v>
      </c>
      <c r="V64" s="16"/>
      <c r="W64" s="28">
        <f t="shared" si="71"/>
        <v>53.767725062318682</v>
      </c>
      <c r="X64" s="24">
        <f t="shared" si="155"/>
        <v>1.2055085611540193</v>
      </c>
      <c r="Y64" s="24">
        <f t="shared" si="155"/>
        <v>17.500306485227416</v>
      </c>
      <c r="Z64" s="24">
        <f t="shared" si="154"/>
        <v>0</v>
      </c>
      <c r="AA64" s="24">
        <f t="shared" si="154"/>
        <v>6.5117894650811179</v>
      </c>
      <c r="AB64" s="24">
        <f t="shared" si="154"/>
        <v>0</v>
      </c>
      <c r="AC64" s="24">
        <f t="shared" si="154"/>
        <v>2.7685832209554171</v>
      </c>
      <c r="AD64" s="24">
        <f t="shared" si="154"/>
        <v>5.8640840178170093</v>
      </c>
      <c r="AE64" s="24">
        <f t="shared" si="154"/>
        <v>4.4746843202157667</v>
      </c>
      <c r="AF64" s="24">
        <f t="shared" si="154"/>
        <v>1.777614318989825</v>
      </c>
      <c r="AG64" s="24">
        <f t="shared" si="154"/>
        <v>0</v>
      </c>
      <c r="AH64" s="24">
        <f t="shared" si="154"/>
        <v>6.1297045482407766</v>
      </c>
      <c r="AI64" s="14">
        <f t="shared" si="72"/>
        <v>100.00000000000004</v>
      </c>
      <c r="AJ64" s="26"/>
      <c r="AK64" s="50">
        <f t="shared" si="73"/>
        <v>0.89478657118187188</v>
      </c>
      <c r="AL64" s="47">
        <f t="shared" si="74"/>
        <v>1.5087716660250553E-2</v>
      </c>
      <c r="AM64" s="47">
        <f t="shared" si="75"/>
        <v>0.17163894159697349</v>
      </c>
      <c r="AN64" s="49">
        <f t="shared" si="76"/>
        <v>0</v>
      </c>
      <c r="AO64" s="49">
        <f t="shared" si="77"/>
        <v>9.0630333543230593E-2</v>
      </c>
      <c r="AP64" s="47">
        <f t="shared" si="78"/>
        <v>0</v>
      </c>
      <c r="AQ64" s="47">
        <f t="shared" si="79"/>
        <v>6.8665258456235542E-2</v>
      </c>
      <c r="AR64" s="47">
        <f t="shared" si="80"/>
        <v>0.10456640545322771</v>
      </c>
      <c r="AS64" s="47">
        <f t="shared" si="81"/>
        <v>7.2195616654013667E-2</v>
      </c>
      <c r="AT64" s="47">
        <f t="shared" si="82"/>
        <v>1.8870640328979033E-2</v>
      </c>
      <c r="AU64" s="47">
        <f t="shared" si="83"/>
        <v>0</v>
      </c>
      <c r="AV64" s="47">
        <f t="shared" si="84"/>
        <v>0.34016118469704643</v>
      </c>
      <c r="AW64" s="47">
        <f t="shared" si="85"/>
        <v>1.4364414838747823</v>
      </c>
      <c r="AX64" s="47">
        <f t="shared" si="86"/>
        <v>7.1857366729152494E-2</v>
      </c>
      <c r="AY64" s="46">
        <f t="shared" si="87"/>
        <v>9.3894652034597018E-3</v>
      </c>
      <c r="AZ64" s="26"/>
      <c r="BA64" s="23">
        <f t="shared" si="88"/>
        <v>0.62291891540767586</v>
      </c>
      <c r="BB64" s="13">
        <f t="shared" si="6"/>
        <v>1.0503537268745283E-2</v>
      </c>
      <c r="BC64" s="13">
        <f t="shared" si="7"/>
        <v>0.11948898964821014</v>
      </c>
      <c r="BD64" s="13">
        <f t="shared" si="8"/>
        <v>0</v>
      </c>
      <c r="BE64" s="13">
        <f t="shared" si="9"/>
        <v>6.309364813020886E-2</v>
      </c>
      <c r="BF64" s="13">
        <f t="shared" si="10"/>
        <v>5.0024569420898495E-2</v>
      </c>
      <c r="BG64" s="13">
        <f t="shared" si="11"/>
        <v>6.536615176367464E-3</v>
      </c>
      <c r="BH64" s="13">
        <f t="shared" si="12"/>
        <v>0</v>
      </c>
      <c r="BI64" s="13">
        <f t="shared" si="13"/>
        <v>4.7802335999801326E-2</v>
      </c>
      <c r="BJ64" s="13">
        <f t="shared" si="14"/>
        <v>7.2795450860386732E-2</v>
      </c>
      <c r="BK64" s="13">
        <f t="shared" si="15"/>
        <v>5.0260047112581939E-2</v>
      </c>
      <c r="BL64" s="13">
        <f t="shared" si="16"/>
        <v>1.3137075572389989E-2</v>
      </c>
      <c r="BM64" s="13">
        <f t="shared" si="17"/>
        <v>0</v>
      </c>
      <c r="BN64" s="13">
        <f t="shared" si="18"/>
        <v>0.23680824350704913</v>
      </c>
      <c r="BO64" s="12">
        <f t="shared" si="89"/>
        <v>1.0000000000000002</v>
      </c>
      <c r="BP64" s="13"/>
      <c r="BQ64" s="23">
        <f t="shared" si="90"/>
        <v>1.7895731423637438</v>
      </c>
      <c r="BR64" s="13">
        <f t="shared" si="19"/>
        <v>3.0175433320501106E-2</v>
      </c>
      <c r="BS64" s="13">
        <f t="shared" si="20"/>
        <v>0.51471489662433578</v>
      </c>
      <c r="BT64" s="13">
        <f t="shared" si="21"/>
        <v>0</v>
      </c>
      <c r="BU64" s="13">
        <f t="shared" si="22"/>
        <v>9.0630333543230593E-2</v>
      </c>
      <c r="BV64" s="13">
        <f t="shared" si="91"/>
        <v>7.1857366729152494E-2</v>
      </c>
      <c r="BW64" s="24">
        <f t="shared" si="92"/>
        <v>2.8168395610379107E-2</v>
      </c>
      <c r="BX64" s="13">
        <f t="shared" si="23"/>
        <v>0</v>
      </c>
      <c r="BY64" s="13">
        <f t="shared" si="24"/>
        <v>6.8699335507578591E-2</v>
      </c>
      <c r="BZ64" s="13">
        <f t="shared" si="25"/>
        <v>0.10452912687730855</v>
      </c>
      <c r="CA64" s="13">
        <f t="shared" si="26"/>
        <v>7.2172327745415585E-2</v>
      </c>
      <c r="CB64" s="13">
        <f t="shared" si="27"/>
        <v>1.8870640328979033E-2</v>
      </c>
      <c r="CC64" s="13">
        <f t="shared" si="28"/>
        <v>0</v>
      </c>
      <c r="CD64" s="13">
        <f t="shared" si="93"/>
        <v>0.34016118469704643</v>
      </c>
      <c r="CE64" s="12">
        <f t="shared" si="94"/>
        <v>3.0295264210081392</v>
      </c>
      <c r="CF64" s="13"/>
      <c r="CG64" s="23">
        <f t="shared" si="280"/>
        <v>0.59071052490383147</v>
      </c>
      <c r="CH64" s="13">
        <f t="shared" si="280"/>
        <v>9.9604456694124457E-3</v>
      </c>
      <c r="CI64" s="13">
        <f t="shared" si="280"/>
        <v>0.16989945790043762</v>
      </c>
      <c r="CJ64" s="13">
        <f t="shared" si="280"/>
        <v>0</v>
      </c>
      <c r="CK64" s="13">
        <f t="shared" si="280"/>
        <v>2.991567689086911E-2</v>
      </c>
      <c r="CL64" s="13">
        <f t="shared" si="280"/>
        <v>2.3719009753755647E-2</v>
      </c>
      <c r="CM64" s="13">
        <f t="shared" si="280"/>
        <v>9.2979534408567655E-3</v>
      </c>
      <c r="CN64" s="13">
        <f t="shared" si="280"/>
        <v>0</v>
      </c>
      <c r="CO64" s="13">
        <f t="shared" si="280"/>
        <v>2.2676592298778313E-2</v>
      </c>
      <c r="CP64" s="13">
        <f t="shared" si="156"/>
        <v>3.4503454451644711E-2</v>
      </c>
      <c r="CQ64" s="13">
        <f t="shared" si="156"/>
        <v>2.3822973533070793E-2</v>
      </c>
      <c r="CR64" s="13">
        <f t="shared" si="156"/>
        <v>6.2289076596663004E-3</v>
      </c>
      <c r="CS64" s="13">
        <f t="shared" si="156"/>
        <v>0</v>
      </c>
      <c r="CT64" s="13">
        <f t="shared" si="156"/>
        <v>0.11228196669228935</v>
      </c>
      <c r="CU64" s="12">
        <f t="shared" si="30"/>
        <v>1.0000000000000002</v>
      </c>
      <c r="CV64" s="26"/>
      <c r="CW64" s="23">
        <f t="shared" si="31"/>
        <v>0.89478657118187188</v>
      </c>
      <c r="CX64" s="13">
        <f t="shared" si="32"/>
        <v>1.5087716660250553E-2</v>
      </c>
      <c r="CY64" s="13">
        <f t="shared" si="33"/>
        <v>0.34314326441622384</v>
      </c>
      <c r="CZ64" s="13">
        <f t="shared" si="34"/>
        <v>0</v>
      </c>
      <c r="DA64" s="13">
        <f t="shared" si="35"/>
        <v>7.9944289693593323E-2</v>
      </c>
      <c r="DB64" s="13">
        <f t="shared" si="36"/>
        <v>7.1857366729152494E-2</v>
      </c>
      <c r="DC64" s="24">
        <f t="shared" si="37"/>
        <v>1.8778930406919404E-2</v>
      </c>
      <c r="DD64" s="13">
        <f t="shared" si="38"/>
        <v>0</v>
      </c>
      <c r="DE64" s="13">
        <f t="shared" si="39"/>
        <v>6.8699335507578591E-2</v>
      </c>
      <c r="DF64" s="13">
        <f t="shared" si="40"/>
        <v>0.10452912687730855</v>
      </c>
      <c r="DG64" s="13">
        <f t="shared" si="41"/>
        <v>0.14434465549083117</v>
      </c>
      <c r="DH64" s="13">
        <f t="shared" si="42"/>
        <v>3.7741280657958065E-2</v>
      </c>
      <c r="DI64" s="13">
        <f t="shared" si="43"/>
        <v>0</v>
      </c>
      <c r="DJ64" s="13">
        <f t="shared" si="95"/>
        <v>0.68032236939409285</v>
      </c>
      <c r="DK64" s="12">
        <f t="shared" si="96"/>
        <v>2.3685986098797089</v>
      </c>
      <c r="DL64" s="26"/>
      <c r="DM64" s="23">
        <f t="shared" si="152"/>
        <v>0.3777704535709891</v>
      </c>
      <c r="DN64" s="13">
        <f t="shared" si="152"/>
        <v>6.3698917145851037E-3</v>
      </c>
      <c r="DO64" s="13">
        <f t="shared" si="152"/>
        <v>0.14487185080027157</v>
      </c>
      <c r="DP64" s="13">
        <f t="shared" si="152"/>
        <v>0</v>
      </c>
      <c r="DQ64" s="13">
        <f t="shared" si="152"/>
        <v>3.3751725328274744E-2</v>
      </c>
      <c r="DR64" s="13">
        <f t="shared" si="294"/>
        <v>3.0337502702833141E-2</v>
      </c>
      <c r="DS64" s="13">
        <f t="shared" si="294"/>
        <v>7.9282873546367167E-3</v>
      </c>
      <c r="DT64" s="13">
        <f t="shared" si="294"/>
        <v>0</v>
      </c>
      <c r="DU64" s="13">
        <f t="shared" si="294"/>
        <v>2.9004211697594273E-2</v>
      </c>
      <c r="DV64" s="13">
        <f t="shared" si="294"/>
        <v>4.4131211781221612E-2</v>
      </c>
      <c r="DW64" s="13">
        <f t="shared" si="294"/>
        <v>6.0940952548377045E-2</v>
      </c>
      <c r="DX64" s="13">
        <f t="shared" si="294"/>
        <v>1.5934012838027794E-2</v>
      </c>
      <c r="DY64" s="13">
        <f t="shared" si="294"/>
        <v>0</v>
      </c>
      <c r="DZ64" s="13">
        <f t="shared" si="294"/>
        <v>0.28722568972065871</v>
      </c>
      <c r="EA64" s="12">
        <f t="shared" si="45"/>
        <v>1</v>
      </c>
      <c r="EB64" s="26"/>
      <c r="EC64" s="30">
        <f t="shared" si="46"/>
        <v>1123</v>
      </c>
      <c r="ED64" s="14">
        <f t="shared" si="98"/>
        <v>1000000000</v>
      </c>
      <c r="EE64" s="29"/>
      <c r="EF64" s="184">
        <f t="shared" si="122"/>
        <v>-12.433130008904721</v>
      </c>
      <c r="EG64" s="13">
        <f t="shared" si="99"/>
        <v>0.2</v>
      </c>
      <c r="EH64" s="13">
        <f t="shared" si="100"/>
        <v>-3.2813891362426517E-3</v>
      </c>
      <c r="EI64" s="12">
        <f t="shared" si="47"/>
        <v>4.853293855743539</v>
      </c>
      <c r="EJ64" s="29"/>
      <c r="EK64" s="28">
        <f t="shared" si="101"/>
        <v>-2.0354124175212989</v>
      </c>
      <c r="EL64" s="24">
        <f t="shared" si="102"/>
        <v>-0.88380912614906593</v>
      </c>
      <c r="EM64" s="24">
        <f t="shared" si="103"/>
        <v>0.13062659869542576</v>
      </c>
      <c r="EN64" s="24">
        <f t="shared" si="104"/>
        <v>5.0024569420898501E-2</v>
      </c>
      <c r="EO64" s="24">
        <f t="shared" si="105"/>
        <v>6.5345393546551757E-3</v>
      </c>
      <c r="EP64" s="24">
        <f t="shared" si="106"/>
        <v>0.20713778798048227</v>
      </c>
      <c r="EQ64" s="24">
        <f t="shared" si="107"/>
        <v>-2.0350947987945345</v>
      </c>
      <c r="ER64" s="24">
        <f t="shared" si="48"/>
        <v>-28.625861528138934</v>
      </c>
      <c r="ES64" s="25">
        <f t="shared" si="49"/>
        <v>-12.429813950559677</v>
      </c>
      <c r="ET64" s="26"/>
      <c r="EU64" s="23">
        <f t="shared" si="123"/>
        <v>-4.5332352102850599</v>
      </c>
      <c r="EV64" s="12">
        <f t="shared" si="50"/>
        <v>2.9292205217301692E-5</v>
      </c>
      <c r="EW64" s="26"/>
      <c r="EX64" s="27">
        <f t="shared" si="108"/>
        <v>1.9562303872579508E-2</v>
      </c>
      <c r="EY64" s="26"/>
      <c r="EZ64" s="23">
        <f t="shared" si="281"/>
        <v>-9.1576126112573633</v>
      </c>
      <c r="FA64" s="13">
        <f t="shared" si="52"/>
        <v>16.666244818133425</v>
      </c>
      <c r="FB64" s="13">
        <f t="shared" si="282"/>
        <v>-29.266942087657817</v>
      </c>
      <c r="FC64" s="13">
        <f t="shared" si="283"/>
        <v>-2.1658801184732681</v>
      </c>
      <c r="FD64" s="12">
        <f t="shared" si="55"/>
        <v>0.1028565826395319</v>
      </c>
      <c r="FE64" s="13"/>
      <c r="FF64" s="23">
        <f t="shared" si="284"/>
        <v>-7.4616316130618152</v>
      </c>
      <c r="FG64" s="13">
        <f t="shared" si="285"/>
        <v>15.006338835269048</v>
      </c>
      <c r="FH64" s="13">
        <f t="shared" si="286"/>
        <v>16.844649089315851</v>
      </c>
      <c r="FI64" s="24">
        <f t="shared" si="287"/>
        <v>3.9808710487081456E-3</v>
      </c>
      <c r="FJ64" s="25">
        <f t="shared" si="288"/>
        <v>0.21595438028123437</v>
      </c>
      <c r="FK64" s="13"/>
      <c r="FL64" s="23">
        <f t="shared" si="110"/>
        <v>13.632709081663705</v>
      </c>
      <c r="FM64" s="13">
        <f t="shared" si="124"/>
        <v>-7.5705653290641726</v>
      </c>
      <c r="FN64" s="13">
        <f t="shared" si="289"/>
        <v>-3.6629856070815627</v>
      </c>
      <c r="FO64" s="13">
        <f t="shared" si="60"/>
        <v>2.1723011935936842E-4</v>
      </c>
      <c r="FP64" s="23">
        <f t="shared" si="290"/>
        <v>-4.6353809766274203</v>
      </c>
      <c r="FQ64" s="13">
        <f t="shared" si="291"/>
        <v>2.3153090428995604E-5</v>
      </c>
      <c r="FR64" s="13">
        <f t="shared" si="292"/>
        <v>-4.2542589819702528</v>
      </c>
      <c r="FS64" s="13">
        <f t="shared" si="115"/>
        <v>5.5682257564027005E-5</v>
      </c>
      <c r="FT64" s="13">
        <f t="shared" si="293"/>
        <v>-4.7333328911421155</v>
      </c>
      <c r="FU64" s="12">
        <f t="shared" si="117"/>
        <v>1.8478175339398106E-5</v>
      </c>
      <c r="FV64" s="22"/>
      <c r="FW64" s="11">
        <f t="shared" si="141"/>
        <v>0.2</v>
      </c>
      <c r="FX64" s="10">
        <f t="shared" si="142"/>
        <v>-3.2813891362426517E-3</v>
      </c>
      <c r="FY64" s="10">
        <f t="shared" si="143"/>
        <v>4.853293855743539</v>
      </c>
      <c r="FZ64" s="5">
        <f t="shared" si="144"/>
        <v>-12.433130008904721</v>
      </c>
      <c r="GA64" s="10">
        <f t="shared" si="145"/>
        <v>0.20713778798048227</v>
      </c>
      <c r="GB64" s="9">
        <f t="shared" si="275"/>
        <v>13.632709081663705</v>
      </c>
      <c r="GC64" s="8">
        <f t="shared" si="276"/>
        <v>-7.5705653290641726</v>
      </c>
      <c r="GD64" s="8">
        <f t="shared" si="120"/>
        <v>2.1723011935936842E-4</v>
      </c>
      <c r="GE64" s="7">
        <f t="shared" si="121"/>
        <v>2.3153090428995604E-5</v>
      </c>
      <c r="GF64" s="6">
        <f t="shared" si="277"/>
        <v>3.9808710487081456E-3</v>
      </c>
      <c r="GG64" s="5">
        <f t="shared" si="278"/>
        <v>0.21595438028123437</v>
      </c>
      <c r="GH64" s="4">
        <f t="shared" si="279"/>
        <v>0.1028565826395319</v>
      </c>
      <c r="GI64" s="4">
        <f t="shared" si="149"/>
        <v>1.9562303872579508E-2</v>
      </c>
      <c r="GJ64" s="4">
        <f t="shared" si="150"/>
        <v>2.9292205217301692E-5</v>
      </c>
      <c r="GK64" s="1"/>
    </row>
    <row r="65" spans="1:193" x14ac:dyDescent="0.4">
      <c r="A65" s="32"/>
      <c r="B65" s="33"/>
      <c r="C65" s="33"/>
      <c r="D65" s="32"/>
      <c r="E65" s="32"/>
      <c r="F65" s="20" t="s">
        <v>84</v>
      </c>
      <c r="G65" s="19">
        <v>850</v>
      </c>
      <c r="H65" s="18">
        <v>1</v>
      </c>
      <c r="I65" s="17">
        <v>0.6</v>
      </c>
      <c r="J65" s="16">
        <v>52.63</v>
      </c>
      <c r="K65" s="16">
        <v>1.18</v>
      </c>
      <c r="L65" s="16">
        <v>17.13</v>
      </c>
      <c r="M65" s="16">
        <v>0</v>
      </c>
      <c r="N65" s="16">
        <f t="shared" si="153"/>
        <v>6.3739999999999997</v>
      </c>
      <c r="O65" s="16">
        <v>0</v>
      </c>
      <c r="P65" s="16">
        <v>2.71</v>
      </c>
      <c r="Q65" s="16">
        <v>5.74</v>
      </c>
      <c r="R65" s="16">
        <v>4.38</v>
      </c>
      <c r="S65" s="16">
        <v>1.74</v>
      </c>
      <c r="T65" s="16">
        <v>0</v>
      </c>
      <c r="U65" s="15">
        <v>6</v>
      </c>
      <c r="V65" s="16"/>
      <c r="W65" s="28">
        <f t="shared" si="71"/>
        <v>53.767725062318682</v>
      </c>
      <c r="X65" s="24">
        <f t="shared" si="155"/>
        <v>1.2055085611540193</v>
      </c>
      <c r="Y65" s="24">
        <f t="shared" si="155"/>
        <v>17.500306485227416</v>
      </c>
      <c r="Z65" s="24">
        <f t="shared" si="154"/>
        <v>0</v>
      </c>
      <c r="AA65" s="24">
        <f t="shared" si="154"/>
        <v>6.5117894650811179</v>
      </c>
      <c r="AB65" s="24">
        <f t="shared" si="154"/>
        <v>0</v>
      </c>
      <c r="AC65" s="24">
        <f t="shared" si="154"/>
        <v>2.7685832209554171</v>
      </c>
      <c r="AD65" s="24">
        <f t="shared" si="154"/>
        <v>5.8640840178170093</v>
      </c>
      <c r="AE65" s="24">
        <f t="shared" si="154"/>
        <v>4.4746843202157667</v>
      </c>
      <c r="AF65" s="24">
        <f t="shared" si="154"/>
        <v>1.777614318989825</v>
      </c>
      <c r="AG65" s="24">
        <f t="shared" si="154"/>
        <v>0</v>
      </c>
      <c r="AH65" s="24">
        <f t="shared" si="154"/>
        <v>6.1297045482407766</v>
      </c>
      <c r="AI65" s="14">
        <f t="shared" si="72"/>
        <v>100.00000000000004</v>
      </c>
      <c r="AJ65" s="26"/>
      <c r="AK65" s="50">
        <f t="shared" si="73"/>
        <v>0.89478657118187188</v>
      </c>
      <c r="AL65" s="47">
        <f t="shared" si="74"/>
        <v>1.5087716660250553E-2</v>
      </c>
      <c r="AM65" s="47">
        <f t="shared" si="75"/>
        <v>0.17163894159697349</v>
      </c>
      <c r="AN65" s="49">
        <f t="shared" si="76"/>
        <v>0</v>
      </c>
      <c r="AO65" s="49">
        <f t="shared" si="77"/>
        <v>9.0630333543230593E-2</v>
      </c>
      <c r="AP65" s="47">
        <f t="shared" si="78"/>
        <v>0</v>
      </c>
      <c r="AQ65" s="47">
        <f t="shared" si="79"/>
        <v>6.8665258456235542E-2</v>
      </c>
      <c r="AR65" s="47">
        <f t="shared" si="80"/>
        <v>0.10456640545322771</v>
      </c>
      <c r="AS65" s="47">
        <f t="shared" si="81"/>
        <v>7.2195616654013667E-2</v>
      </c>
      <c r="AT65" s="47">
        <f t="shared" si="82"/>
        <v>1.8870640328979033E-2</v>
      </c>
      <c r="AU65" s="47">
        <f t="shared" si="83"/>
        <v>0</v>
      </c>
      <c r="AV65" s="47">
        <f t="shared" si="84"/>
        <v>0.34016118469704643</v>
      </c>
      <c r="AW65" s="47">
        <f t="shared" si="85"/>
        <v>1.4364414838747823</v>
      </c>
      <c r="AX65" s="47">
        <f t="shared" si="86"/>
        <v>6.9028521392567654E-2</v>
      </c>
      <c r="AY65" s="46">
        <f t="shared" si="87"/>
        <v>1.0804337190231337E-2</v>
      </c>
      <c r="AZ65" s="26"/>
      <c r="BA65" s="23">
        <f t="shared" si="88"/>
        <v>0.62291891540767586</v>
      </c>
      <c r="BB65" s="13">
        <f t="shared" si="6"/>
        <v>1.0503537268745283E-2</v>
      </c>
      <c r="BC65" s="13">
        <f t="shared" si="7"/>
        <v>0.11948898964821014</v>
      </c>
      <c r="BD65" s="13">
        <f t="shared" si="8"/>
        <v>0</v>
      </c>
      <c r="BE65" s="13">
        <f t="shared" si="9"/>
        <v>6.309364813020886E-2</v>
      </c>
      <c r="BF65" s="13">
        <f t="shared" si="10"/>
        <v>4.8055226869641851E-2</v>
      </c>
      <c r="BG65" s="13">
        <f t="shared" si="11"/>
        <v>7.5215992517055248E-3</v>
      </c>
      <c r="BH65" s="13">
        <f t="shared" si="12"/>
        <v>0</v>
      </c>
      <c r="BI65" s="13">
        <f t="shared" si="13"/>
        <v>4.7802335999801326E-2</v>
      </c>
      <c r="BJ65" s="13">
        <f t="shared" si="14"/>
        <v>7.2795450860386732E-2</v>
      </c>
      <c r="BK65" s="13">
        <f t="shared" si="15"/>
        <v>5.0260047112581939E-2</v>
      </c>
      <c r="BL65" s="13">
        <f t="shared" si="16"/>
        <v>1.3137075572389989E-2</v>
      </c>
      <c r="BM65" s="13">
        <f t="shared" si="17"/>
        <v>0</v>
      </c>
      <c r="BN65" s="13">
        <f t="shared" si="18"/>
        <v>0.23680824350704913</v>
      </c>
      <c r="BO65" s="12">
        <f t="shared" si="89"/>
        <v>1.0000000000000002</v>
      </c>
      <c r="BP65" s="13"/>
      <c r="BQ65" s="23">
        <f t="shared" si="90"/>
        <v>1.7895731423637438</v>
      </c>
      <c r="BR65" s="13">
        <f t="shared" si="19"/>
        <v>3.0175433320501106E-2</v>
      </c>
      <c r="BS65" s="13">
        <f t="shared" si="20"/>
        <v>0.51471489662433578</v>
      </c>
      <c r="BT65" s="13">
        <f t="shared" si="21"/>
        <v>0</v>
      </c>
      <c r="BU65" s="13">
        <f t="shared" si="22"/>
        <v>9.0630333543230593E-2</v>
      </c>
      <c r="BV65" s="13">
        <f t="shared" si="91"/>
        <v>6.9028521392567654E-2</v>
      </c>
      <c r="BW65" s="24">
        <f t="shared" si="92"/>
        <v>3.2413011570694011E-2</v>
      </c>
      <c r="BX65" s="13">
        <f t="shared" si="23"/>
        <v>0</v>
      </c>
      <c r="BY65" s="13">
        <f t="shared" si="24"/>
        <v>6.8699335507578591E-2</v>
      </c>
      <c r="BZ65" s="13">
        <f t="shared" si="25"/>
        <v>0.10452912687730855</v>
      </c>
      <c r="CA65" s="13">
        <f t="shared" si="26"/>
        <v>7.2172327745415585E-2</v>
      </c>
      <c r="CB65" s="13">
        <f t="shared" si="27"/>
        <v>1.8870640328979033E-2</v>
      </c>
      <c r="CC65" s="13">
        <f t="shared" si="28"/>
        <v>0</v>
      </c>
      <c r="CD65" s="13">
        <f t="shared" si="93"/>
        <v>0.34016118469704643</v>
      </c>
      <c r="CE65" s="12">
        <f t="shared" si="94"/>
        <v>3.0295264210081392</v>
      </c>
      <c r="CF65" s="13"/>
      <c r="CG65" s="23">
        <f t="shared" si="280"/>
        <v>0.59071052490383147</v>
      </c>
      <c r="CH65" s="13">
        <f t="shared" si="280"/>
        <v>9.9604456694124457E-3</v>
      </c>
      <c r="CI65" s="13">
        <f t="shared" si="280"/>
        <v>0.16989945790043762</v>
      </c>
      <c r="CJ65" s="13">
        <f t="shared" si="280"/>
        <v>0</v>
      </c>
      <c r="CK65" s="13">
        <f t="shared" si="280"/>
        <v>2.991567689086911E-2</v>
      </c>
      <c r="CL65" s="13">
        <f t="shared" si="280"/>
        <v>2.2785251488117719E-2</v>
      </c>
      <c r="CM65" s="13">
        <f t="shared" si="280"/>
        <v>1.0699035778637605E-2</v>
      </c>
      <c r="CN65" s="13">
        <f t="shared" si="280"/>
        <v>0</v>
      </c>
      <c r="CO65" s="13">
        <f t="shared" si="280"/>
        <v>2.2676592298778313E-2</v>
      </c>
      <c r="CP65" s="13">
        <f t="shared" si="156"/>
        <v>3.4503454451644711E-2</v>
      </c>
      <c r="CQ65" s="13">
        <f t="shared" si="156"/>
        <v>2.3822973533070793E-2</v>
      </c>
      <c r="CR65" s="13">
        <f t="shared" si="156"/>
        <v>6.2289076596663004E-3</v>
      </c>
      <c r="CS65" s="13">
        <f t="shared" si="156"/>
        <v>0</v>
      </c>
      <c r="CT65" s="13">
        <f t="shared" si="156"/>
        <v>0.11228196669228935</v>
      </c>
      <c r="CU65" s="12">
        <f t="shared" si="30"/>
        <v>1.0000000000000002</v>
      </c>
      <c r="CV65" s="26"/>
      <c r="CW65" s="23">
        <f t="shared" si="31"/>
        <v>0.89478657118187188</v>
      </c>
      <c r="CX65" s="13">
        <f t="shared" si="32"/>
        <v>1.5087716660250553E-2</v>
      </c>
      <c r="CY65" s="13">
        <f t="shared" si="33"/>
        <v>0.34314326441622384</v>
      </c>
      <c r="CZ65" s="13">
        <f t="shared" si="34"/>
        <v>0</v>
      </c>
      <c r="DA65" s="13">
        <f t="shared" si="35"/>
        <v>7.9944289693593323E-2</v>
      </c>
      <c r="DB65" s="13">
        <f t="shared" si="36"/>
        <v>6.9028521392567654E-2</v>
      </c>
      <c r="DC65" s="24">
        <f t="shared" si="37"/>
        <v>2.1608674380462673E-2</v>
      </c>
      <c r="DD65" s="13">
        <f t="shared" si="38"/>
        <v>0</v>
      </c>
      <c r="DE65" s="13">
        <f t="shared" si="39"/>
        <v>6.8699335507578591E-2</v>
      </c>
      <c r="DF65" s="13">
        <f t="shared" si="40"/>
        <v>0.10452912687730855</v>
      </c>
      <c r="DG65" s="13">
        <f t="shared" si="41"/>
        <v>0.14434465549083117</v>
      </c>
      <c r="DH65" s="13">
        <f t="shared" si="42"/>
        <v>3.7741280657958065E-2</v>
      </c>
      <c r="DI65" s="13">
        <f t="shared" si="43"/>
        <v>0</v>
      </c>
      <c r="DJ65" s="13">
        <f t="shared" si="95"/>
        <v>0.68032236939409285</v>
      </c>
      <c r="DK65" s="12">
        <f t="shared" si="96"/>
        <v>2.3685986098797089</v>
      </c>
      <c r="DL65" s="26"/>
      <c r="DM65" s="23">
        <f t="shared" si="152"/>
        <v>0.3777704535709891</v>
      </c>
      <c r="DN65" s="13">
        <f t="shared" si="152"/>
        <v>6.3698917145851037E-3</v>
      </c>
      <c r="DO65" s="13">
        <f t="shared" si="152"/>
        <v>0.14487185080027157</v>
      </c>
      <c r="DP65" s="13">
        <f t="shared" si="152"/>
        <v>0</v>
      </c>
      <c r="DQ65" s="13">
        <f t="shared" si="152"/>
        <v>3.3751725328274744E-2</v>
      </c>
      <c r="DR65" s="13">
        <f t="shared" si="294"/>
        <v>2.9143190874402026E-2</v>
      </c>
      <c r="DS65" s="13">
        <f t="shared" si="294"/>
        <v>9.1229785791185972E-3</v>
      </c>
      <c r="DT65" s="13">
        <f t="shared" si="294"/>
        <v>0</v>
      </c>
      <c r="DU65" s="13">
        <f t="shared" si="294"/>
        <v>2.9004211697594273E-2</v>
      </c>
      <c r="DV65" s="13">
        <f t="shared" si="294"/>
        <v>4.4131211781221612E-2</v>
      </c>
      <c r="DW65" s="13">
        <f t="shared" si="294"/>
        <v>6.0940952548377045E-2</v>
      </c>
      <c r="DX65" s="13">
        <f t="shared" si="294"/>
        <v>1.5934012838027794E-2</v>
      </c>
      <c r="DY65" s="13">
        <f t="shared" si="294"/>
        <v>0</v>
      </c>
      <c r="DZ65" s="13">
        <f t="shared" si="294"/>
        <v>0.28722568972065871</v>
      </c>
      <c r="EA65" s="12">
        <f t="shared" si="45"/>
        <v>1</v>
      </c>
      <c r="EB65" s="26"/>
      <c r="EC65" s="30">
        <f t="shared" si="46"/>
        <v>1123</v>
      </c>
      <c r="ED65" s="14">
        <f t="shared" si="98"/>
        <v>1000000000</v>
      </c>
      <c r="EE65" s="29"/>
      <c r="EF65" s="184">
        <f t="shared" si="122"/>
        <v>-12.03313000890472</v>
      </c>
      <c r="EG65" s="13">
        <f t="shared" si="99"/>
        <v>0.6</v>
      </c>
      <c r="EH65" s="13">
        <f t="shared" si="100"/>
        <v>0.3967186108637577</v>
      </c>
      <c r="EI65" s="12">
        <f t="shared" si="47"/>
        <v>5.2532938557435394</v>
      </c>
      <c r="EJ65" s="29"/>
      <c r="EK65" s="28">
        <f t="shared" si="101"/>
        <v>-1.8548897462305654</v>
      </c>
      <c r="EL65" s="24">
        <f t="shared" si="102"/>
        <v>-0.80542325064288556</v>
      </c>
      <c r="EM65" s="24">
        <f t="shared" si="103"/>
        <v>0.15647019315257141</v>
      </c>
      <c r="EN65" s="24">
        <f t="shared" si="104"/>
        <v>4.8055226869641858E-2</v>
      </c>
      <c r="EO65" s="24">
        <f t="shared" si="105"/>
        <v>7.5192106302835009E-3</v>
      </c>
      <c r="EP65" s="24">
        <f t="shared" si="106"/>
        <v>0.23835079609807339</v>
      </c>
      <c r="EQ65" s="24">
        <f t="shared" si="107"/>
        <v>-1.8545721275038016</v>
      </c>
      <c r="ER65" s="24">
        <f t="shared" si="48"/>
        <v>-27.704827490941319</v>
      </c>
      <c r="ES65" s="25">
        <f t="shared" si="49"/>
        <v>-12.029886014303656</v>
      </c>
      <c r="ET65" s="26"/>
      <c r="EU65" s="23">
        <f t="shared" si="123"/>
        <v>-3.9060352102850615</v>
      </c>
      <c r="EV65" s="12">
        <f t="shared" si="50"/>
        <v>1.2413975191993831E-4</v>
      </c>
      <c r="EW65" s="26"/>
      <c r="EX65" s="27">
        <f t="shared" si="108"/>
        <v>0.11181576977811693</v>
      </c>
      <c r="EY65" s="26"/>
      <c r="EZ65" s="23">
        <f t="shared" si="281"/>
        <v>-9.1576126112573633</v>
      </c>
      <c r="FA65" s="13">
        <f t="shared" si="52"/>
        <v>16.648697048615066</v>
      </c>
      <c r="FB65" s="13">
        <f t="shared" si="282"/>
        <v>-29.266942087657817</v>
      </c>
      <c r="FC65" s="13">
        <f t="shared" si="283"/>
        <v>-0.34135981359639089</v>
      </c>
      <c r="FD65" s="12">
        <f t="shared" si="55"/>
        <v>0.41547919994645088</v>
      </c>
      <c r="FE65" s="13"/>
      <c r="FF65" s="23">
        <f t="shared" si="284"/>
        <v>-7.4826158137295842</v>
      </c>
      <c r="FG65" s="13">
        <f t="shared" si="285"/>
        <v>15.006338835269048</v>
      </c>
      <c r="FH65" s="13">
        <f t="shared" si="286"/>
        <v>16.844649089315851</v>
      </c>
      <c r="FI65" s="24">
        <f t="shared" si="287"/>
        <v>2.5783976667640207E-2</v>
      </c>
      <c r="FJ65" s="25">
        <f t="shared" si="288"/>
        <v>0.64588184545672855</v>
      </c>
      <c r="FK65" s="13"/>
      <c r="FL65" s="23">
        <f t="shared" si="110"/>
        <v>13.632709081663705</v>
      </c>
      <c r="FM65" s="13">
        <f t="shared" si="124"/>
        <v>-7.5786917637380062</v>
      </c>
      <c r="FN65" s="13">
        <f t="shared" si="289"/>
        <v>-2.8548591724077284</v>
      </c>
      <c r="FO65" s="13">
        <f t="shared" si="60"/>
        <v>1.3948728433728075E-3</v>
      </c>
      <c r="FP65" s="23">
        <f t="shared" si="290"/>
        <v>-3.8272545419535859</v>
      </c>
      <c r="FQ65" s="13">
        <f t="shared" si="291"/>
        <v>1.4882668854299119E-4</v>
      </c>
      <c r="FR65" s="13">
        <f t="shared" si="292"/>
        <v>-3.4461325472964184</v>
      </c>
      <c r="FS65" s="13">
        <f t="shared" si="115"/>
        <v>3.5785905328755696E-4</v>
      </c>
      <c r="FT65" s="13">
        <f t="shared" si="293"/>
        <v>-3.9252064564682811</v>
      </c>
      <c r="FU65" s="12">
        <f t="shared" si="117"/>
        <v>1.1877962645023832E-4</v>
      </c>
      <c r="FV65" s="22"/>
      <c r="FW65" s="11">
        <f t="shared" si="141"/>
        <v>0.6</v>
      </c>
      <c r="FX65" s="10">
        <f t="shared" si="142"/>
        <v>0.3967186108637577</v>
      </c>
      <c r="FY65" s="10">
        <f t="shared" si="143"/>
        <v>5.2532938557435394</v>
      </c>
      <c r="FZ65" s="5">
        <f t="shared" si="144"/>
        <v>-12.03313000890472</v>
      </c>
      <c r="GA65" s="10">
        <f t="shared" si="145"/>
        <v>0.23835079609807339</v>
      </c>
      <c r="GB65" s="9">
        <f t="shared" si="275"/>
        <v>13.632709081663705</v>
      </c>
      <c r="GC65" s="8">
        <f t="shared" si="276"/>
        <v>-7.5786917637380062</v>
      </c>
      <c r="GD65" s="8">
        <f t="shared" si="120"/>
        <v>1.3948728433728075E-3</v>
      </c>
      <c r="GE65" s="7">
        <f t="shared" si="121"/>
        <v>1.4882668854299119E-4</v>
      </c>
      <c r="GF65" s="6">
        <f t="shared" si="277"/>
        <v>2.5783976667640207E-2</v>
      </c>
      <c r="GG65" s="5">
        <f t="shared" si="278"/>
        <v>0.64588184545672855</v>
      </c>
      <c r="GH65" s="4">
        <f t="shared" si="279"/>
        <v>0.41547919994645088</v>
      </c>
      <c r="GI65" s="4">
        <f t="shared" si="149"/>
        <v>0.11181576977811693</v>
      </c>
      <c r="GJ65" s="4">
        <f t="shared" si="150"/>
        <v>1.2413975191993831E-4</v>
      </c>
      <c r="GK65" s="1"/>
    </row>
    <row r="66" spans="1:193" x14ac:dyDescent="0.4">
      <c r="A66" s="32"/>
      <c r="B66" s="33"/>
      <c r="C66" s="33"/>
      <c r="D66" s="32"/>
      <c r="E66" s="32"/>
      <c r="F66" s="20" t="s">
        <v>84</v>
      </c>
      <c r="G66" s="19">
        <v>850</v>
      </c>
      <c r="H66" s="18">
        <v>1</v>
      </c>
      <c r="I66" s="17">
        <v>1</v>
      </c>
      <c r="J66" s="16">
        <v>52.63</v>
      </c>
      <c r="K66" s="16">
        <v>1.18</v>
      </c>
      <c r="L66" s="16">
        <v>17.13</v>
      </c>
      <c r="M66" s="16">
        <v>0</v>
      </c>
      <c r="N66" s="16">
        <f t="shared" si="153"/>
        <v>6.3739999999999997</v>
      </c>
      <c r="O66" s="16">
        <v>0</v>
      </c>
      <c r="P66" s="16">
        <v>2.71</v>
      </c>
      <c r="Q66" s="16">
        <v>5.74</v>
      </c>
      <c r="R66" s="16">
        <v>4.38</v>
      </c>
      <c r="S66" s="16">
        <v>1.74</v>
      </c>
      <c r="T66" s="16">
        <v>0</v>
      </c>
      <c r="U66" s="15">
        <v>6</v>
      </c>
      <c r="V66" s="16"/>
      <c r="W66" s="28">
        <f t="shared" si="71"/>
        <v>53.767725062318682</v>
      </c>
      <c r="X66" s="24">
        <f t="shared" si="155"/>
        <v>1.2055085611540193</v>
      </c>
      <c r="Y66" s="24">
        <f t="shared" si="155"/>
        <v>17.500306485227416</v>
      </c>
      <c r="Z66" s="24">
        <f t="shared" si="154"/>
        <v>0</v>
      </c>
      <c r="AA66" s="24">
        <f t="shared" si="154"/>
        <v>6.5117894650811179</v>
      </c>
      <c r="AB66" s="24">
        <f t="shared" si="154"/>
        <v>0</v>
      </c>
      <c r="AC66" s="24">
        <f t="shared" si="154"/>
        <v>2.7685832209554171</v>
      </c>
      <c r="AD66" s="24">
        <f t="shared" si="154"/>
        <v>5.8640840178170093</v>
      </c>
      <c r="AE66" s="24">
        <f t="shared" si="154"/>
        <v>4.4746843202157667</v>
      </c>
      <c r="AF66" s="24">
        <f t="shared" si="154"/>
        <v>1.777614318989825</v>
      </c>
      <c r="AG66" s="24">
        <f t="shared" si="154"/>
        <v>0</v>
      </c>
      <c r="AH66" s="24">
        <f t="shared" si="154"/>
        <v>6.1297045482407766</v>
      </c>
      <c r="AI66" s="14">
        <f t="shared" si="72"/>
        <v>100.00000000000004</v>
      </c>
      <c r="AJ66" s="26"/>
      <c r="AK66" s="50">
        <f t="shared" si="73"/>
        <v>0.89478657118187188</v>
      </c>
      <c r="AL66" s="47">
        <f t="shared" si="74"/>
        <v>1.5087716660250553E-2</v>
      </c>
      <c r="AM66" s="47">
        <f t="shared" si="75"/>
        <v>0.17163894159697349</v>
      </c>
      <c r="AN66" s="49">
        <f t="shared" si="76"/>
        <v>0</v>
      </c>
      <c r="AO66" s="49">
        <f t="shared" si="77"/>
        <v>9.0630333543230593E-2</v>
      </c>
      <c r="AP66" s="47">
        <f t="shared" si="78"/>
        <v>0</v>
      </c>
      <c r="AQ66" s="47">
        <f t="shared" si="79"/>
        <v>6.8665258456235542E-2</v>
      </c>
      <c r="AR66" s="47">
        <f t="shared" si="80"/>
        <v>0.10456640545322771</v>
      </c>
      <c r="AS66" s="47">
        <f t="shared" si="81"/>
        <v>7.2195616654013667E-2</v>
      </c>
      <c r="AT66" s="47">
        <f t="shared" si="82"/>
        <v>1.8870640328979033E-2</v>
      </c>
      <c r="AU66" s="47">
        <f t="shared" si="83"/>
        <v>0</v>
      </c>
      <c r="AV66" s="47">
        <f t="shared" si="84"/>
        <v>0.34016118469704643</v>
      </c>
      <c r="AW66" s="47">
        <f t="shared" si="85"/>
        <v>1.4364414838747823</v>
      </c>
      <c r="AX66" s="47">
        <f t="shared" si="86"/>
        <v>6.5919991498696442E-2</v>
      </c>
      <c r="AY66" s="46">
        <f t="shared" si="87"/>
        <v>1.2359095879227162E-2</v>
      </c>
      <c r="AZ66" s="26"/>
      <c r="BA66" s="23">
        <f t="shared" si="88"/>
        <v>0.62291891540767586</v>
      </c>
      <c r="BB66" s="13">
        <f t="shared" si="6"/>
        <v>1.0503537268745283E-2</v>
      </c>
      <c r="BC66" s="13">
        <f t="shared" si="7"/>
        <v>0.11948898964821014</v>
      </c>
      <c r="BD66" s="13">
        <f t="shared" si="8"/>
        <v>0</v>
      </c>
      <c r="BE66" s="13">
        <f t="shared" si="9"/>
        <v>6.309364813020886E-2</v>
      </c>
      <c r="BF66" s="13">
        <f t="shared" si="10"/>
        <v>4.5891177774174355E-2</v>
      </c>
      <c r="BG66" s="13">
        <f t="shared" si="11"/>
        <v>8.60396752528245E-3</v>
      </c>
      <c r="BH66" s="13">
        <f t="shared" si="12"/>
        <v>0</v>
      </c>
      <c r="BI66" s="13">
        <f t="shared" si="13"/>
        <v>4.7802335999801326E-2</v>
      </c>
      <c r="BJ66" s="13">
        <f t="shared" si="14"/>
        <v>7.2795450860386732E-2</v>
      </c>
      <c r="BK66" s="13">
        <f t="shared" si="15"/>
        <v>5.0260047112581939E-2</v>
      </c>
      <c r="BL66" s="13">
        <f t="shared" si="16"/>
        <v>1.3137075572389989E-2</v>
      </c>
      <c r="BM66" s="13">
        <f t="shared" si="17"/>
        <v>0</v>
      </c>
      <c r="BN66" s="13">
        <f t="shared" si="18"/>
        <v>0.23680824350704913</v>
      </c>
      <c r="BO66" s="12">
        <f t="shared" si="89"/>
        <v>1.0000000000000002</v>
      </c>
      <c r="BP66" s="13"/>
      <c r="BQ66" s="23">
        <f t="shared" si="90"/>
        <v>1.7895731423637438</v>
      </c>
      <c r="BR66" s="13">
        <f t="shared" si="19"/>
        <v>3.0175433320501106E-2</v>
      </c>
      <c r="BS66" s="13">
        <f t="shared" si="20"/>
        <v>0.51471489662433578</v>
      </c>
      <c r="BT66" s="13">
        <f t="shared" si="21"/>
        <v>0</v>
      </c>
      <c r="BU66" s="13">
        <f t="shared" si="22"/>
        <v>9.0630333543230593E-2</v>
      </c>
      <c r="BV66" s="13">
        <f t="shared" si="91"/>
        <v>6.5919991498696442E-2</v>
      </c>
      <c r="BW66" s="24">
        <f t="shared" si="92"/>
        <v>3.7077287637681491E-2</v>
      </c>
      <c r="BX66" s="13">
        <f t="shared" si="23"/>
        <v>0</v>
      </c>
      <c r="BY66" s="13">
        <f t="shared" si="24"/>
        <v>6.8699335507578591E-2</v>
      </c>
      <c r="BZ66" s="13">
        <f t="shared" si="25"/>
        <v>0.10452912687730855</v>
      </c>
      <c r="CA66" s="13">
        <f t="shared" si="26"/>
        <v>7.2172327745415585E-2</v>
      </c>
      <c r="CB66" s="13">
        <f t="shared" si="27"/>
        <v>1.8870640328979033E-2</v>
      </c>
      <c r="CC66" s="13">
        <f t="shared" si="28"/>
        <v>0</v>
      </c>
      <c r="CD66" s="13">
        <f t="shared" si="93"/>
        <v>0.34016118469704643</v>
      </c>
      <c r="CE66" s="12">
        <f t="shared" si="94"/>
        <v>3.0295264210081392</v>
      </c>
      <c r="CF66" s="13"/>
      <c r="CG66" s="23">
        <f t="shared" si="280"/>
        <v>0.59071052490383147</v>
      </c>
      <c r="CH66" s="13">
        <f t="shared" si="280"/>
        <v>9.9604456694124457E-3</v>
      </c>
      <c r="CI66" s="13">
        <f t="shared" si="280"/>
        <v>0.16989945790043762</v>
      </c>
      <c r="CJ66" s="13">
        <f t="shared" si="280"/>
        <v>0</v>
      </c>
      <c r="CK66" s="13">
        <f t="shared" si="280"/>
        <v>2.991567689086911E-2</v>
      </c>
      <c r="CL66" s="13">
        <f t="shared" si="280"/>
        <v>2.1759173658818982E-2</v>
      </c>
      <c r="CM66" s="13">
        <f t="shared" si="280"/>
        <v>1.223864145252882E-2</v>
      </c>
      <c r="CN66" s="13">
        <f t="shared" si="280"/>
        <v>0</v>
      </c>
      <c r="CO66" s="13">
        <f t="shared" si="280"/>
        <v>2.2676592298778313E-2</v>
      </c>
      <c r="CP66" s="13">
        <f t="shared" si="156"/>
        <v>3.4503454451644711E-2</v>
      </c>
      <c r="CQ66" s="13">
        <f t="shared" si="156"/>
        <v>2.3822973533070793E-2</v>
      </c>
      <c r="CR66" s="13">
        <f t="shared" si="156"/>
        <v>6.2289076596663004E-3</v>
      </c>
      <c r="CS66" s="13">
        <f t="shared" si="156"/>
        <v>0</v>
      </c>
      <c r="CT66" s="13">
        <f t="shared" si="156"/>
        <v>0.11228196669228935</v>
      </c>
      <c r="CU66" s="12">
        <f t="shared" si="30"/>
        <v>1.0000000000000002</v>
      </c>
      <c r="CV66" s="26"/>
      <c r="CW66" s="23">
        <f t="shared" si="31"/>
        <v>0.89478657118187188</v>
      </c>
      <c r="CX66" s="13">
        <f t="shared" si="32"/>
        <v>1.5087716660250553E-2</v>
      </c>
      <c r="CY66" s="13">
        <f t="shared" si="33"/>
        <v>0.34314326441622384</v>
      </c>
      <c r="CZ66" s="13">
        <f t="shared" si="34"/>
        <v>0</v>
      </c>
      <c r="DA66" s="13">
        <f t="shared" si="35"/>
        <v>7.9944289693593323E-2</v>
      </c>
      <c r="DB66" s="13">
        <f t="shared" si="36"/>
        <v>6.5919991498696442E-2</v>
      </c>
      <c r="DC66" s="24">
        <f t="shared" si="37"/>
        <v>2.4718191758454324E-2</v>
      </c>
      <c r="DD66" s="13">
        <f t="shared" si="38"/>
        <v>0</v>
      </c>
      <c r="DE66" s="13">
        <f t="shared" si="39"/>
        <v>6.8699335507578591E-2</v>
      </c>
      <c r="DF66" s="13">
        <f t="shared" si="40"/>
        <v>0.10452912687730855</v>
      </c>
      <c r="DG66" s="13">
        <f t="shared" si="41"/>
        <v>0.14434465549083117</v>
      </c>
      <c r="DH66" s="13">
        <f t="shared" si="42"/>
        <v>3.7741280657958065E-2</v>
      </c>
      <c r="DI66" s="13">
        <f t="shared" si="43"/>
        <v>0</v>
      </c>
      <c r="DJ66" s="13">
        <f t="shared" si="95"/>
        <v>0.68032236939409285</v>
      </c>
      <c r="DK66" s="12">
        <f t="shared" si="96"/>
        <v>2.3685986098797089</v>
      </c>
      <c r="DL66" s="26"/>
      <c r="DM66" s="23">
        <f t="shared" si="152"/>
        <v>0.3777704535709891</v>
      </c>
      <c r="DN66" s="13">
        <f t="shared" si="152"/>
        <v>6.3698917145851037E-3</v>
      </c>
      <c r="DO66" s="13">
        <f t="shared" si="152"/>
        <v>0.14487185080027157</v>
      </c>
      <c r="DP66" s="13">
        <f t="shared" si="152"/>
        <v>0</v>
      </c>
      <c r="DQ66" s="13">
        <f t="shared" si="152"/>
        <v>3.3751725328274744E-2</v>
      </c>
      <c r="DR66" s="13">
        <f t="shared" si="294"/>
        <v>2.7830798862980097E-2</v>
      </c>
      <c r="DS66" s="13">
        <f t="shared" si="294"/>
        <v>1.0435787497025364E-2</v>
      </c>
      <c r="DT66" s="13">
        <f t="shared" si="294"/>
        <v>0</v>
      </c>
      <c r="DU66" s="13">
        <f t="shared" si="294"/>
        <v>2.9004211697594273E-2</v>
      </c>
      <c r="DV66" s="13">
        <f t="shared" si="294"/>
        <v>4.4131211781221612E-2</v>
      </c>
      <c r="DW66" s="13">
        <f t="shared" si="294"/>
        <v>6.0940952548377045E-2</v>
      </c>
      <c r="DX66" s="13">
        <f t="shared" si="294"/>
        <v>1.5934012838027794E-2</v>
      </c>
      <c r="DY66" s="13">
        <f t="shared" si="294"/>
        <v>0</v>
      </c>
      <c r="DZ66" s="13">
        <f t="shared" si="294"/>
        <v>0.28722568972065871</v>
      </c>
      <c r="EA66" s="12">
        <f t="shared" si="45"/>
        <v>1</v>
      </c>
      <c r="EB66" s="26"/>
      <c r="EC66" s="30">
        <f t="shared" si="46"/>
        <v>1123</v>
      </c>
      <c r="ED66" s="14">
        <f t="shared" si="98"/>
        <v>1000000000</v>
      </c>
      <c r="EE66" s="29"/>
      <c r="EF66" s="184">
        <f t="shared" si="122"/>
        <v>-11.63313000890472</v>
      </c>
      <c r="EG66" s="13">
        <f t="shared" si="99"/>
        <v>1</v>
      </c>
      <c r="EH66" s="13">
        <f t="shared" si="100"/>
        <v>0.79671861086375806</v>
      </c>
      <c r="EI66" s="12">
        <f t="shared" si="47"/>
        <v>5.6532938557435397</v>
      </c>
      <c r="EJ66" s="29"/>
      <c r="EK66" s="28">
        <f t="shared" si="101"/>
        <v>-1.6743670749398323</v>
      </c>
      <c r="EL66" s="24">
        <f t="shared" si="102"/>
        <v>-0.7270373751367053</v>
      </c>
      <c r="EM66" s="24">
        <f t="shared" si="103"/>
        <v>0.18742676904792077</v>
      </c>
      <c r="EN66" s="24">
        <f t="shared" si="104"/>
        <v>4.5891177774174355E-2</v>
      </c>
      <c r="EO66" s="24">
        <f t="shared" si="105"/>
        <v>8.6012351780172525E-3</v>
      </c>
      <c r="EP66" s="24">
        <f t="shared" si="106"/>
        <v>0.27264979702129583</v>
      </c>
      <c r="EQ66" s="24">
        <f t="shared" si="107"/>
        <v>-1.6740494562130683</v>
      </c>
      <c r="ER66" s="24">
        <f t="shared" si="48"/>
        <v>-26.783793453743698</v>
      </c>
      <c r="ES66" s="25">
        <f t="shared" si="49"/>
        <v>-11.629958078047633</v>
      </c>
      <c r="ET66" s="26"/>
      <c r="EU66" s="23">
        <f t="shared" si="123"/>
        <v>-3.2788352102850595</v>
      </c>
      <c r="EV66" s="12">
        <f t="shared" si="50"/>
        <v>5.259401388973961E-4</v>
      </c>
      <c r="EW66" s="26"/>
      <c r="EX66" s="27">
        <f t="shared" si="108"/>
        <v>0.44268836623770724</v>
      </c>
      <c r="EY66" s="26"/>
      <c r="EZ66" s="23">
        <f t="shared" si="281"/>
        <v>-9.1576126112573633</v>
      </c>
      <c r="FA66" s="13">
        <f t="shared" si="52"/>
        <v>16.629414352098184</v>
      </c>
      <c r="FB66" s="13">
        <f t="shared" si="282"/>
        <v>-29.266942087657817</v>
      </c>
      <c r="FC66" s="13">
        <f t="shared" si="283"/>
        <v>1.4814255642819631</v>
      </c>
      <c r="FD66" s="12">
        <f t="shared" si="55"/>
        <v>0.81478780721545108</v>
      </c>
      <c r="FE66" s="13"/>
      <c r="FF66" s="23">
        <f t="shared" si="284"/>
        <v>-7.5056746972362749</v>
      </c>
      <c r="FG66" s="13">
        <f t="shared" si="285"/>
        <v>15.006338835269048</v>
      </c>
      <c r="FH66" s="13">
        <f t="shared" si="286"/>
        <v>16.844649089315851</v>
      </c>
      <c r="FI66" s="24">
        <f t="shared" si="287"/>
        <v>0.14973045328475509</v>
      </c>
      <c r="FJ66" s="25">
        <f t="shared" si="288"/>
        <v>0.9238714144075606</v>
      </c>
      <c r="FK66" s="13"/>
      <c r="FL66" s="23">
        <f t="shared" si="110"/>
        <v>13.632709081663705</v>
      </c>
      <c r="FM66" s="13">
        <f t="shared" si="124"/>
        <v>-7.5876218485220974</v>
      </c>
      <c r="FN66" s="13">
        <f t="shared" si="289"/>
        <v>-2.0459290876236373</v>
      </c>
      <c r="FO66" s="13">
        <f t="shared" si="60"/>
        <v>8.9162302786860437E-3</v>
      </c>
      <c r="FP66" s="23">
        <f t="shared" si="290"/>
        <v>-3.0183244571694949</v>
      </c>
      <c r="FQ66" s="13">
        <f t="shared" si="291"/>
        <v>9.5776594531937764E-4</v>
      </c>
      <c r="FR66" s="13">
        <f t="shared" si="292"/>
        <v>-2.6372024625123274</v>
      </c>
      <c r="FS66" s="13">
        <f t="shared" si="115"/>
        <v>2.300368168794753E-3</v>
      </c>
      <c r="FT66" s="13">
        <f t="shared" si="293"/>
        <v>-3.1162763716841901</v>
      </c>
      <c r="FU66" s="12">
        <f t="shared" si="117"/>
        <v>7.6452461461506971E-4</v>
      </c>
      <c r="FV66" s="22"/>
      <c r="FW66" s="11">
        <f t="shared" si="141"/>
        <v>1</v>
      </c>
      <c r="FX66" s="10">
        <f t="shared" si="142"/>
        <v>0.79671861086375806</v>
      </c>
      <c r="FY66" s="10">
        <f t="shared" si="143"/>
        <v>5.6532938557435397</v>
      </c>
      <c r="FZ66" s="5">
        <f t="shared" si="144"/>
        <v>-11.63313000890472</v>
      </c>
      <c r="GA66" s="10">
        <f t="shared" si="145"/>
        <v>0.27264979702129583</v>
      </c>
      <c r="GB66" s="9">
        <f t="shared" si="275"/>
        <v>13.632709081663705</v>
      </c>
      <c r="GC66" s="8">
        <f t="shared" si="276"/>
        <v>-7.5876218485220974</v>
      </c>
      <c r="GD66" s="8">
        <f t="shared" si="120"/>
        <v>8.9162302786860437E-3</v>
      </c>
      <c r="GE66" s="7">
        <f t="shared" si="121"/>
        <v>9.5776594531937764E-4</v>
      </c>
      <c r="GF66" s="6">
        <f t="shared" si="277"/>
        <v>0.14973045328475509</v>
      </c>
      <c r="GG66" s="5">
        <f t="shared" si="278"/>
        <v>0.9238714144075606</v>
      </c>
      <c r="GH66" s="4">
        <f t="shared" si="279"/>
        <v>0.81478780721545108</v>
      </c>
      <c r="GI66" s="4">
        <f t="shared" si="149"/>
        <v>0.44268836623770724</v>
      </c>
      <c r="GJ66" s="4">
        <f t="shared" si="150"/>
        <v>5.259401388973961E-4</v>
      </c>
      <c r="GK66" s="1"/>
    </row>
    <row r="67" spans="1:193" x14ac:dyDescent="0.4">
      <c r="A67" s="32"/>
      <c r="B67" s="33"/>
      <c r="C67" s="33"/>
      <c r="D67" s="32"/>
      <c r="E67" s="32"/>
      <c r="F67" s="20" t="s">
        <v>84</v>
      </c>
      <c r="G67" s="19">
        <v>850</v>
      </c>
      <c r="H67" s="18">
        <v>1</v>
      </c>
      <c r="I67" s="17">
        <v>1.4</v>
      </c>
      <c r="J67" s="16">
        <v>52.63</v>
      </c>
      <c r="K67" s="16">
        <v>1.18</v>
      </c>
      <c r="L67" s="16">
        <v>17.13</v>
      </c>
      <c r="M67" s="16">
        <v>0</v>
      </c>
      <c r="N67" s="16">
        <f t="shared" si="153"/>
        <v>6.3739999999999997</v>
      </c>
      <c r="O67" s="16">
        <v>0</v>
      </c>
      <c r="P67" s="16">
        <v>2.71</v>
      </c>
      <c r="Q67" s="16">
        <v>5.74</v>
      </c>
      <c r="R67" s="16">
        <v>4.38</v>
      </c>
      <c r="S67" s="16">
        <v>1.74</v>
      </c>
      <c r="T67" s="16">
        <v>0</v>
      </c>
      <c r="U67" s="15">
        <v>6</v>
      </c>
      <c r="V67" s="16"/>
      <c r="W67" s="28">
        <f t="shared" si="71"/>
        <v>53.767725062318682</v>
      </c>
      <c r="X67" s="24">
        <f t="shared" si="155"/>
        <v>1.2055085611540193</v>
      </c>
      <c r="Y67" s="24">
        <f t="shared" si="155"/>
        <v>17.500306485227416</v>
      </c>
      <c r="Z67" s="24">
        <f t="shared" si="154"/>
        <v>0</v>
      </c>
      <c r="AA67" s="24">
        <f t="shared" si="154"/>
        <v>6.5117894650811179</v>
      </c>
      <c r="AB67" s="24">
        <f t="shared" si="154"/>
        <v>0</v>
      </c>
      <c r="AC67" s="24">
        <f t="shared" si="154"/>
        <v>2.7685832209554171</v>
      </c>
      <c r="AD67" s="24">
        <f t="shared" si="154"/>
        <v>5.8640840178170093</v>
      </c>
      <c r="AE67" s="24">
        <f t="shared" si="154"/>
        <v>4.4746843202157667</v>
      </c>
      <c r="AF67" s="24">
        <f t="shared" si="154"/>
        <v>1.777614318989825</v>
      </c>
      <c r="AG67" s="24">
        <f t="shared" si="154"/>
        <v>0</v>
      </c>
      <c r="AH67" s="24">
        <f t="shared" si="154"/>
        <v>6.1297045482407766</v>
      </c>
      <c r="AI67" s="14">
        <f t="shared" si="72"/>
        <v>100.00000000000004</v>
      </c>
      <c r="AJ67" s="26"/>
      <c r="AK67" s="50">
        <f t="shared" si="73"/>
        <v>0.89478657118187188</v>
      </c>
      <c r="AL67" s="47">
        <f t="shared" si="74"/>
        <v>1.5087716660250553E-2</v>
      </c>
      <c r="AM67" s="47">
        <f t="shared" si="75"/>
        <v>0.17163894159697349</v>
      </c>
      <c r="AN67" s="49">
        <f t="shared" si="76"/>
        <v>0</v>
      </c>
      <c r="AO67" s="49">
        <f t="shared" si="77"/>
        <v>9.0630333543230593E-2</v>
      </c>
      <c r="AP67" s="47">
        <f t="shared" si="78"/>
        <v>0</v>
      </c>
      <c r="AQ67" s="47">
        <f t="shared" si="79"/>
        <v>6.8665258456235542E-2</v>
      </c>
      <c r="AR67" s="47">
        <f t="shared" si="80"/>
        <v>0.10456640545322771</v>
      </c>
      <c r="AS67" s="47">
        <f t="shared" si="81"/>
        <v>7.2195616654013667E-2</v>
      </c>
      <c r="AT67" s="47">
        <f t="shared" si="82"/>
        <v>1.8870640328979033E-2</v>
      </c>
      <c r="AU67" s="47">
        <f t="shared" si="83"/>
        <v>0</v>
      </c>
      <c r="AV67" s="47">
        <f t="shared" si="84"/>
        <v>0.34016118469704643</v>
      </c>
      <c r="AW67" s="47">
        <f t="shared" si="85"/>
        <v>1.4364414838747823</v>
      </c>
      <c r="AX67" s="47">
        <f t="shared" si="86"/>
        <v>6.2546132430075757E-2</v>
      </c>
      <c r="AY67" s="46">
        <f t="shared" si="87"/>
        <v>1.4046561299047459E-2</v>
      </c>
      <c r="AZ67" s="26"/>
      <c r="BA67" s="23">
        <f t="shared" si="88"/>
        <v>0.62291891540767586</v>
      </c>
      <c r="BB67" s="13">
        <f t="shared" si="6"/>
        <v>1.0503537268745283E-2</v>
      </c>
      <c r="BC67" s="13">
        <f t="shared" si="7"/>
        <v>0.11948898964821014</v>
      </c>
      <c r="BD67" s="13">
        <f t="shared" si="8"/>
        <v>0</v>
      </c>
      <c r="BE67" s="13">
        <f t="shared" si="9"/>
        <v>6.309364813020886E-2</v>
      </c>
      <c r="BF67" s="13">
        <f t="shared" si="10"/>
        <v>4.3542415846525385E-2</v>
      </c>
      <c r="BG67" s="13">
        <f t="shared" si="11"/>
        <v>9.7787215537364202E-3</v>
      </c>
      <c r="BH67" s="13">
        <f t="shared" si="12"/>
        <v>0</v>
      </c>
      <c r="BI67" s="13">
        <f t="shared" si="13"/>
        <v>4.7802335999801326E-2</v>
      </c>
      <c r="BJ67" s="13">
        <f t="shared" si="14"/>
        <v>7.2795450860386732E-2</v>
      </c>
      <c r="BK67" s="13">
        <f t="shared" si="15"/>
        <v>5.0260047112581939E-2</v>
      </c>
      <c r="BL67" s="13">
        <f t="shared" si="16"/>
        <v>1.3137075572389989E-2</v>
      </c>
      <c r="BM67" s="13">
        <f t="shared" si="17"/>
        <v>0</v>
      </c>
      <c r="BN67" s="13">
        <f t="shared" si="18"/>
        <v>0.23680824350704913</v>
      </c>
      <c r="BO67" s="12">
        <f t="shared" si="89"/>
        <v>1.0000000000000002</v>
      </c>
      <c r="BP67" s="13"/>
      <c r="BQ67" s="23">
        <f t="shared" si="90"/>
        <v>1.7895731423637438</v>
      </c>
      <c r="BR67" s="13">
        <f t="shared" si="19"/>
        <v>3.0175433320501106E-2</v>
      </c>
      <c r="BS67" s="13">
        <f t="shared" si="20"/>
        <v>0.51471489662433578</v>
      </c>
      <c r="BT67" s="13">
        <f t="shared" si="21"/>
        <v>0</v>
      </c>
      <c r="BU67" s="13">
        <f t="shared" si="22"/>
        <v>9.0630333543230593E-2</v>
      </c>
      <c r="BV67" s="13">
        <f t="shared" si="91"/>
        <v>6.2546132430075757E-2</v>
      </c>
      <c r="BW67" s="24">
        <f t="shared" si="92"/>
        <v>4.2139683897142378E-2</v>
      </c>
      <c r="BX67" s="13">
        <f t="shared" si="23"/>
        <v>0</v>
      </c>
      <c r="BY67" s="13">
        <f t="shared" si="24"/>
        <v>6.8699335507578591E-2</v>
      </c>
      <c r="BZ67" s="13">
        <f t="shared" si="25"/>
        <v>0.10452912687730855</v>
      </c>
      <c r="CA67" s="13">
        <f t="shared" si="26"/>
        <v>7.2172327745415585E-2</v>
      </c>
      <c r="CB67" s="13">
        <f t="shared" si="27"/>
        <v>1.8870640328979033E-2</v>
      </c>
      <c r="CC67" s="13">
        <f t="shared" si="28"/>
        <v>0</v>
      </c>
      <c r="CD67" s="13">
        <f t="shared" si="93"/>
        <v>0.34016118469704643</v>
      </c>
      <c r="CE67" s="12">
        <f t="shared" si="94"/>
        <v>3.0295264210081392</v>
      </c>
      <c r="CF67" s="13"/>
      <c r="CG67" s="23">
        <f t="shared" si="280"/>
        <v>0.59071052490383147</v>
      </c>
      <c r="CH67" s="13">
        <f t="shared" si="280"/>
        <v>9.9604456694124457E-3</v>
      </c>
      <c r="CI67" s="13">
        <f t="shared" si="280"/>
        <v>0.16989945790043762</v>
      </c>
      <c r="CJ67" s="13">
        <f t="shared" si="280"/>
        <v>0</v>
      </c>
      <c r="CK67" s="13">
        <f t="shared" si="280"/>
        <v>2.991567689086911E-2</v>
      </c>
      <c r="CL67" s="13">
        <f t="shared" si="280"/>
        <v>2.064551475648204E-2</v>
      </c>
      <c r="CM67" s="13">
        <f t="shared" si="280"/>
        <v>1.3909660468687876E-2</v>
      </c>
      <c r="CN67" s="13">
        <f t="shared" si="280"/>
        <v>0</v>
      </c>
      <c r="CO67" s="13">
        <f t="shared" si="280"/>
        <v>2.2676592298778313E-2</v>
      </c>
      <c r="CP67" s="13">
        <f t="shared" si="156"/>
        <v>3.4503454451644711E-2</v>
      </c>
      <c r="CQ67" s="13">
        <f t="shared" si="156"/>
        <v>2.3822973533070793E-2</v>
      </c>
      <c r="CR67" s="13">
        <f t="shared" si="156"/>
        <v>6.2289076596663004E-3</v>
      </c>
      <c r="CS67" s="13">
        <f t="shared" si="156"/>
        <v>0</v>
      </c>
      <c r="CT67" s="13">
        <f t="shared" si="156"/>
        <v>0.11228196669228935</v>
      </c>
      <c r="CU67" s="12">
        <f t="shared" si="30"/>
        <v>1.0000000000000002</v>
      </c>
      <c r="CV67" s="26"/>
      <c r="CW67" s="23">
        <f t="shared" si="31"/>
        <v>0.89478657118187188</v>
      </c>
      <c r="CX67" s="13">
        <f t="shared" si="32"/>
        <v>1.5087716660250553E-2</v>
      </c>
      <c r="CY67" s="13">
        <f t="shared" si="33"/>
        <v>0.34314326441622384</v>
      </c>
      <c r="CZ67" s="13">
        <f t="shared" si="34"/>
        <v>0</v>
      </c>
      <c r="DA67" s="13">
        <f t="shared" si="35"/>
        <v>7.9944289693593323E-2</v>
      </c>
      <c r="DB67" s="13">
        <f t="shared" si="36"/>
        <v>6.2546132430075757E-2</v>
      </c>
      <c r="DC67" s="24">
        <f t="shared" si="37"/>
        <v>2.8093122598094919E-2</v>
      </c>
      <c r="DD67" s="13">
        <f t="shared" si="38"/>
        <v>0</v>
      </c>
      <c r="DE67" s="13">
        <f t="shared" si="39"/>
        <v>6.8699335507578591E-2</v>
      </c>
      <c r="DF67" s="13">
        <f t="shared" si="40"/>
        <v>0.10452912687730855</v>
      </c>
      <c r="DG67" s="13">
        <f t="shared" si="41"/>
        <v>0.14434465549083117</v>
      </c>
      <c r="DH67" s="13">
        <f t="shared" si="42"/>
        <v>3.7741280657958065E-2</v>
      </c>
      <c r="DI67" s="13">
        <f t="shared" si="43"/>
        <v>0</v>
      </c>
      <c r="DJ67" s="13">
        <f t="shared" si="95"/>
        <v>0.68032236939409285</v>
      </c>
      <c r="DK67" s="12">
        <f t="shared" si="96"/>
        <v>2.3685986098797089</v>
      </c>
      <c r="DL67" s="26"/>
      <c r="DM67" s="23">
        <f t="shared" si="152"/>
        <v>0.3777704535709891</v>
      </c>
      <c r="DN67" s="13">
        <f t="shared" si="152"/>
        <v>6.3698917145851037E-3</v>
      </c>
      <c r="DO67" s="13">
        <f t="shared" si="152"/>
        <v>0.14487185080027157</v>
      </c>
      <c r="DP67" s="13">
        <f t="shared" si="152"/>
        <v>0</v>
      </c>
      <c r="DQ67" s="13">
        <f t="shared" si="152"/>
        <v>3.3751725328274744E-2</v>
      </c>
      <c r="DR67" s="13">
        <f t="shared" si="294"/>
        <v>2.6406387375720115E-2</v>
      </c>
      <c r="DS67" s="13">
        <f t="shared" si="294"/>
        <v>1.1860651475904416E-2</v>
      </c>
      <c r="DT67" s="13">
        <f t="shared" si="294"/>
        <v>0</v>
      </c>
      <c r="DU67" s="13">
        <f t="shared" si="294"/>
        <v>2.9004211697594273E-2</v>
      </c>
      <c r="DV67" s="13">
        <f t="shared" si="294"/>
        <v>4.4131211781221612E-2</v>
      </c>
      <c r="DW67" s="13">
        <f t="shared" si="294"/>
        <v>6.0940952548377045E-2</v>
      </c>
      <c r="DX67" s="13">
        <f t="shared" si="294"/>
        <v>1.5934012838027794E-2</v>
      </c>
      <c r="DY67" s="13">
        <f t="shared" si="294"/>
        <v>0</v>
      </c>
      <c r="DZ67" s="13">
        <f t="shared" si="294"/>
        <v>0.28722568972065871</v>
      </c>
      <c r="EA67" s="12">
        <f t="shared" si="45"/>
        <v>1</v>
      </c>
      <c r="EB67" s="26"/>
      <c r="EC67" s="30">
        <f t="shared" si="46"/>
        <v>1123</v>
      </c>
      <c r="ED67" s="14">
        <f t="shared" si="98"/>
        <v>1000000000</v>
      </c>
      <c r="EE67" s="29"/>
      <c r="EF67" s="184">
        <f t="shared" si="122"/>
        <v>-11.23313000890472</v>
      </c>
      <c r="EG67" s="13">
        <f t="shared" si="99"/>
        <v>1.4</v>
      </c>
      <c r="EH67" s="13">
        <f t="shared" si="100"/>
        <v>1.1967186108637584</v>
      </c>
      <c r="EI67" s="12">
        <f t="shared" si="47"/>
        <v>6.0532938557435401</v>
      </c>
      <c r="EJ67" s="29"/>
      <c r="EK67" s="28">
        <f t="shared" si="101"/>
        <v>-1.4938444036490983</v>
      </c>
      <c r="EL67" s="24">
        <f t="shared" si="102"/>
        <v>-0.64865149963052471</v>
      </c>
      <c r="EM67" s="24">
        <f t="shared" si="103"/>
        <v>0.22450789538867114</v>
      </c>
      <c r="EN67" s="24">
        <f t="shared" si="104"/>
        <v>4.3542415846525385E-2</v>
      </c>
      <c r="EO67" s="24">
        <f t="shared" si="105"/>
        <v>9.7756161418417371E-3</v>
      </c>
      <c r="EP67" s="24">
        <f t="shared" si="106"/>
        <v>0.3098763958510502</v>
      </c>
      <c r="EQ67" s="24">
        <f t="shared" si="107"/>
        <v>-1.4935267849223346</v>
      </c>
      <c r="ER67" s="24">
        <f t="shared" si="48"/>
        <v>-25.86275941654608</v>
      </c>
      <c r="ES67" s="25">
        <f t="shared" si="49"/>
        <v>-11.230030141791611</v>
      </c>
      <c r="ET67" s="26"/>
      <c r="EU67" s="23">
        <f t="shared" si="123"/>
        <v>-2.6516352102850576</v>
      </c>
      <c r="EV67" s="12">
        <f t="shared" si="50"/>
        <v>2.225344527464701E-3</v>
      </c>
      <c r="EW67" s="26"/>
      <c r="EX67" s="27">
        <f t="shared" si="108"/>
        <v>0.83366246918343812</v>
      </c>
      <c r="EY67" s="26"/>
      <c r="EZ67" s="23">
        <f t="shared" si="281"/>
        <v>-9.1576126112573633</v>
      </c>
      <c r="FA67" s="13">
        <f t="shared" si="52"/>
        <v>16.608485777263109</v>
      </c>
      <c r="FB67" s="13">
        <f t="shared" si="282"/>
        <v>-29.266942087657817</v>
      </c>
      <c r="FC67" s="13">
        <f t="shared" si="283"/>
        <v>3.302565063842124</v>
      </c>
      <c r="FD67" s="12">
        <f t="shared" si="55"/>
        <v>0.96451670274609058</v>
      </c>
      <c r="FE67" s="13"/>
      <c r="FF67" s="23">
        <f t="shared" si="284"/>
        <v>-7.5307017762374118</v>
      </c>
      <c r="FG67" s="13">
        <f t="shared" si="285"/>
        <v>15.006338835269048</v>
      </c>
      <c r="FH67" s="13">
        <f t="shared" si="286"/>
        <v>16.844649089315851</v>
      </c>
      <c r="FI67" s="24">
        <f t="shared" si="287"/>
        <v>0.54065463596179353</v>
      </c>
      <c r="FJ67" s="25">
        <f t="shared" si="288"/>
        <v>0.98782167101709095</v>
      </c>
      <c r="FK67" s="13"/>
      <c r="FL67" s="23">
        <f t="shared" si="110"/>
        <v>13.632709081663705</v>
      </c>
      <c r="FM67" s="13">
        <f t="shared" si="124"/>
        <v>-7.5973143878946834</v>
      </c>
      <c r="FN67" s="13">
        <f t="shared" si="289"/>
        <v>-1.2362365482510498</v>
      </c>
      <c r="FO67" s="13">
        <f t="shared" si="60"/>
        <v>5.4860452745919441E-2</v>
      </c>
      <c r="FP67" s="23">
        <f t="shared" si="290"/>
        <v>-2.2086319177969074</v>
      </c>
      <c r="FQ67" s="13">
        <f t="shared" si="291"/>
        <v>6.1473801309180898E-3</v>
      </c>
      <c r="FR67" s="13">
        <f t="shared" si="292"/>
        <v>-1.8275099231397398</v>
      </c>
      <c r="FS67" s="13">
        <f t="shared" si="115"/>
        <v>1.4658078299477184E-2</v>
      </c>
      <c r="FT67" s="13">
        <f t="shared" si="293"/>
        <v>-2.3065838323116026</v>
      </c>
      <c r="FU67" s="12">
        <f t="shared" si="117"/>
        <v>4.9122172051648816E-3</v>
      </c>
      <c r="FV67" s="22"/>
      <c r="FW67" s="11">
        <f t="shared" si="141"/>
        <v>1.4</v>
      </c>
      <c r="FX67" s="10">
        <f t="shared" si="142"/>
        <v>1.1967186108637584</v>
      </c>
      <c r="FY67" s="10">
        <f t="shared" si="143"/>
        <v>6.0532938557435401</v>
      </c>
      <c r="FZ67" s="5">
        <f t="shared" si="144"/>
        <v>-11.23313000890472</v>
      </c>
      <c r="GA67" s="10">
        <f t="shared" si="145"/>
        <v>0.3098763958510502</v>
      </c>
      <c r="GB67" s="9">
        <f t="shared" si="275"/>
        <v>13.632709081663705</v>
      </c>
      <c r="GC67" s="8">
        <f t="shared" si="276"/>
        <v>-7.5973143878946834</v>
      </c>
      <c r="GD67" s="8">
        <f t="shared" si="120"/>
        <v>5.4860452745919441E-2</v>
      </c>
      <c r="GE67" s="7">
        <f t="shared" si="121"/>
        <v>6.1473801309180898E-3</v>
      </c>
      <c r="GF67" s="6">
        <f t="shared" si="277"/>
        <v>0.54065463596179353</v>
      </c>
      <c r="GG67" s="5">
        <f t="shared" si="278"/>
        <v>0.98782167101709095</v>
      </c>
      <c r="GH67" s="4">
        <f t="shared" si="279"/>
        <v>0.96451670274609058</v>
      </c>
      <c r="GI67" s="4">
        <f t="shared" si="149"/>
        <v>0.83366246918343812</v>
      </c>
      <c r="GJ67" s="4">
        <f t="shared" si="150"/>
        <v>2.225344527464701E-3</v>
      </c>
      <c r="GK67" s="1"/>
    </row>
    <row r="68" spans="1:193" x14ac:dyDescent="0.4">
      <c r="A68" s="32"/>
      <c r="B68" s="33"/>
      <c r="C68" s="33"/>
      <c r="D68" s="32"/>
      <c r="E68" s="32"/>
      <c r="F68" s="20" t="s">
        <v>84</v>
      </c>
      <c r="G68" s="19">
        <v>850</v>
      </c>
      <c r="H68" s="18">
        <v>1</v>
      </c>
      <c r="I68" s="17">
        <v>1.8</v>
      </c>
      <c r="J68" s="16">
        <v>52.63</v>
      </c>
      <c r="K68" s="16">
        <v>1.18</v>
      </c>
      <c r="L68" s="16">
        <v>17.13</v>
      </c>
      <c r="M68" s="16">
        <v>0</v>
      </c>
      <c r="N68" s="16">
        <f t="shared" si="153"/>
        <v>6.3739999999999997</v>
      </c>
      <c r="O68" s="16">
        <v>0</v>
      </c>
      <c r="P68" s="16">
        <v>2.71</v>
      </c>
      <c r="Q68" s="16">
        <v>5.74</v>
      </c>
      <c r="R68" s="16">
        <v>4.38</v>
      </c>
      <c r="S68" s="16">
        <v>1.74</v>
      </c>
      <c r="T68" s="16">
        <v>0</v>
      </c>
      <c r="U68" s="15">
        <v>6</v>
      </c>
      <c r="V68" s="16"/>
      <c r="W68" s="28">
        <f t="shared" si="71"/>
        <v>53.767725062318682</v>
      </c>
      <c r="X68" s="24">
        <f t="shared" si="155"/>
        <v>1.2055085611540193</v>
      </c>
      <c r="Y68" s="24">
        <f t="shared" si="155"/>
        <v>17.500306485227416</v>
      </c>
      <c r="Z68" s="24">
        <f t="shared" si="154"/>
        <v>0</v>
      </c>
      <c r="AA68" s="24">
        <f t="shared" si="154"/>
        <v>6.5117894650811179</v>
      </c>
      <c r="AB68" s="24">
        <f t="shared" si="154"/>
        <v>0</v>
      </c>
      <c r="AC68" s="24">
        <f t="shared" si="154"/>
        <v>2.7685832209554171</v>
      </c>
      <c r="AD68" s="24">
        <f t="shared" si="154"/>
        <v>5.8640840178170093</v>
      </c>
      <c r="AE68" s="24">
        <f t="shared" si="154"/>
        <v>4.4746843202157667</v>
      </c>
      <c r="AF68" s="24">
        <f t="shared" si="154"/>
        <v>1.777614318989825</v>
      </c>
      <c r="AG68" s="24">
        <f t="shared" si="154"/>
        <v>0</v>
      </c>
      <c r="AH68" s="24">
        <f t="shared" si="154"/>
        <v>6.1297045482407766</v>
      </c>
      <c r="AI68" s="14">
        <f t="shared" si="72"/>
        <v>100.00000000000004</v>
      </c>
      <c r="AJ68" s="26"/>
      <c r="AK68" s="50">
        <f t="shared" si="73"/>
        <v>0.89478657118187188</v>
      </c>
      <c r="AL68" s="47">
        <f t="shared" si="74"/>
        <v>1.5087716660250553E-2</v>
      </c>
      <c r="AM68" s="47">
        <f t="shared" si="75"/>
        <v>0.17163894159697349</v>
      </c>
      <c r="AN68" s="49">
        <f t="shared" si="76"/>
        <v>0</v>
      </c>
      <c r="AO68" s="49">
        <f t="shared" si="77"/>
        <v>9.0630333543230593E-2</v>
      </c>
      <c r="AP68" s="47">
        <f t="shared" si="78"/>
        <v>0</v>
      </c>
      <c r="AQ68" s="47">
        <f t="shared" si="79"/>
        <v>6.8665258456235542E-2</v>
      </c>
      <c r="AR68" s="47">
        <f t="shared" si="80"/>
        <v>0.10456640545322771</v>
      </c>
      <c r="AS68" s="47">
        <f t="shared" si="81"/>
        <v>7.2195616654013667E-2</v>
      </c>
      <c r="AT68" s="47">
        <f t="shared" si="82"/>
        <v>1.8870640328979033E-2</v>
      </c>
      <c r="AU68" s="47">
        <f t="shared" si="83"/>
        <v>0</v>
      </c>
      <c r="AV68" s="47">
        <f t="shared" si="84"/>
        <v>0.34016118469704643</v>
      </c>
      <c r="AW68" s="47">
        <f t="shared" si="85"/>
        <v>1.4364414838747823</v>
      </c>
      <c r="AX68" s="47">
        <f t="shared" si="86"/>
        <v>5.8933121779880936E-2</v>
      </c>
      <c r="AY68" s="46">
        <f t="shared" si="87"/>
        <v>1.5853640495197392E-2</v>
      </c>
      <c r="AZ68" s="26"/>
      <c r="BA68" s="23">
        <f t="shared" si="88"/>
        <v>0.62291891540767586</v>
      </c>
      <c r="BB68" s="13">
        <f t="shared" si="6"/>
        <v>1.0503537268745283E-2</v>
      </c>
      <c r="BC68" s="13">
        <f t="shared" si="7"/>
        <v>0.11948898964821014</v>
      </c>
      <c r="BD68" s="13">
        <f t="shared" si="8"/>
        <v>0</v>
      </c>
      <c r="BE68" s="13">
        <f t="shared" si="9"/>
        <v>6.309364813020886E-2</v>
      </c>
      <c r="BF68" s="13">
        <f t="shared" si="10"/>
        <v>4.1027165005642699E-2</v>
      </c>
      <c r="BG68" s="13">
        <f t="shared" si="11"/>
        <v>1.1036746483004935E-2</v>
      </c>
      <c r="BH68" s="13">
        <f t="shared" si="12"/>
        <v>0</v>
      </c>
      <c r="BI68" s="13">
        <f t="shared" si="13"/>
        <v>4.7802335999801326E-2</v>
      </c>
      <c r="BJ68" s="13">
        <f t="shared" si="14"/>
        <v>7.2795450860386732E-2</v>
      </c>
      <c r="BK68" s="13">
        <f t="shared" si="15"/>
        <v>5.0260047112581939E-2</v>
      </c>
      <c r="BL68" s="13">
        <f t="shared" si="16"/>
        <v>1.3137075572389989E-2</v>
      </c>
      <c r="BM68" s="13">
        <f t="shared" si="17"/>
        <v>0</v>
      </c>
      <c r="BN68" s="13">
        <f t="shared" si="18"/>
        <v>0.23680824350704913</v>
      </c>
      <c r="BO68" s="12">
        <f t="shared" si="89"/>
        <v>1.0000000000000002</v>
      </c>
      <c r="BP68" s="13"/>
      <c r="BQ68" s="23">
        <f t="shared" si="90"/>
        <v>1.7895731423637438</v>
      </c>
      <c r="BR68" s="13">
        <f t="shared" si="19"/>
        <v>3.0175433320501106E-2</v>
      </c>
      <c r="BS68" s="13">
        <f t="shared" si="20"/>
        <v>0.51471489662433578</v>
      </c>
      <c r="BT68" s="13">
        <f t="shared" si="21"/>
        <v>0</v>
      </c>
      <c r="BU68" s="13">
        <f t="shared" si="22"/>
        <v>9.0630333543230593E-2</v>
      </c>
      <c r="BV68" s="13">
        <f t="shared" si="91"/>
        <v>5.8933121779880936E-2</v>
      </c>
      <c r="BW68" s="24">
        <f t="shared" si="92"/>
        <v>4.7560921485592177E-2</v>
      </c>
      <c r="BX68" s="13">
        <f t="shared" si="23"/>
        <v>0</v>
      </c>
      <c r="BY68" s="13">
        <f t="shared" si="24"/>
        <v>6.8699335507578591E-2</v>
      </c>
      <c r="BZ68" s="13">
        <f t="shared" si="25"/>
        <v>0.10452912687730855</v>
      </c>
      <c r="CA68" s="13">
        <f t="shared" si="26"/>
        <v>7.2172327745415585E-2</v>
      </c>
      <c r="CB68" s="13">
        <f t="shared" si="27"/>
        <v>1.8870640328979033E-2</v>
      </c>
      <c r="CC68" s="13">
        <f t="shared" si="28"/>
        <v>0</v>
      </c>
      <c r="CD68" s="13">
        <f t="shared" si="93"/>
        <v>0.34016118469704643</v>
      </c>
      <c r="CE68" s="12">
        <f t="shared" si="94"/>
        <v>3.0295264210081392</v>
      </c>
      <c r="CF68" s="13"/>
      <c r="CG68" s="23">
        <f t="shared" si="280"/>
        <v>0.59071052490383147</v>
      </c>
      <c r="CH68" s="13">
        <f t="shared" si="280"/>
        <v>9.9604456694124457E-3</v>
      </c>
      <c r="CI68" s="13">
        <f t="shared" si="280"/>
        <v>0.16989945790043762</v>
      </c>
      <c r="CJ68" s="13">
        <f t="shared" si="280"/>
        <v>0</v>
      </c>
      <c r="CK68" s="13">
        <f t="shared" si="280"/>
        <v>2.991567689086911E-2</v>
      </c>
      <c r="CL68" s="13">
        <f t="shared" si="280"/>
        <v>1.9452915601333391E-2</v>
      </c>
      <c r="CM68" s="13">
        <f t="shared" si="280"/>
        <v>1.5699127479391735E-2</v>
      </c>
      <c r="CN68" s="13">
        <f t="shared" si="280"/>
        <v>0</v>
      </c>
      <c r="CO68" s="13">
        <f t="shared" si="280"/>
        <v>2.2676592298778313E-2</v>
      </c>
      <c r="CP68" s="13">
        <f t="shared" si="156"/>
        <v>3.4503454451644711E-2</v>
      </c>
      <c r="CQ68" s="13">
        <f t="shared" si="156"/>
        <v>2.3822973533070793E-2</v>
      </c>
      <c r="CR68" s="13">
        <f t="shared" si="156"/>
        <v>6.2289076596663004E-3</v>
      </c>
      <c r="CS68" s="13">
        <f t="shared" si="156"/>
        <v>0</v>
      </c>
      <c r="CT68" s="13">
        <f t="shared" si="156"/>
        <v>0.11228196669228935</v>
      </c>
      <c r="CU68" s="12">
        <f t="shared" si="30"/>
        <v>1.0000000000000002</v>
      </c>
      <c r="CV68" s="26"/>
      <c r="CW68" s="23">
        <f t="shared" si="31"/>
        <v>0.89478657118187188</v>
      </c>
      <c r="CX68" s="13">
        <f t="shared" si="32"/>
        <v>1.5087716660250553E-2</v>
      </c>
      <c r="CY68" s="13">
        <f t="shared" si="33"/>
        <v>0.34314326441622384</v>
      </c>
      <c r="CZ68" s="13">
        <f t="shared" si="34"/>
        <v>0</v>
      </c>
      <c r="DA68" s="13">
        <f t="shared" si="35"/>
        <v>7.9944289693593323E-2</v>
      </c>
      <c r="DB68" s="13">
        <f t="shared" si="36"/>
        <v>5.8933121779880936E-2</v>
      </c>
      <c r="DC68" s="24">
        <f t="shared" si="37"/>
        <v>3.1707280990394784E-2</v>
      </c>
      <c r="DD68" s="13">
        <f t="shared" si="38"/>
        <v>0</v>
      </c>
      <c r="DE68" s="13">
        <f t="shared" si="39"/>
        <v>6.8699335507578591E-2</v>
      </c>
      <c r="DF68" s="13">
        <f t="shared" si="40"/>
        <v>0.10452912687730855</v>
      </c>
      <c r="DG68" s="13">
        <f t="shared" si="41"/>
        <v>0.14434465549083117</v>
      </c>
      <c r="DH68" s="13">
        <f t="shared" si="42"/>
        <v>3.7741280657958065E-2</v>
      </c>
      <c r="DI68" s="13">
        <f t="shared" si="43"/>
        <v>0</v>
      </c>
      <c r="DJ68" s="13">
        <f t="shared" si="95"/>
        <v>0.68032236939409285</v>
      </c>
      <c r="DK68" s="12">
        <f t="shared" si="96"/>
        <v>2.3685986098797089</v>
      </c>
      <c r="DL68" s="26"/>
      <c r="DM68" s="23">
        <f t="shared" si="152"/>
        <v>0.3777704535709891</v>
      </c>
      <c r="DN68" s="13">
        <f t="shared" si="152"/>
        <v>6.3698917145851037E-3</v>
      </c>
      <c r="DO68" s="13">
        <f t="shared" si="152"/>
        <v>0.14487185080027157</v>
      </c>
      <c r="DP68" s="13">
        <f t="shared" si="152"/>
        <v>0</v>
      </c>
      <c r="DQ68" s="13">
        <f t="shared" si="152"/>
        <v>3.3751725328274744E-2</v>
      </c>
      <c r="DR68" s="13">
        <f t="shared" si="294"/>
        <v>2.4881008345636873E-2</v>
      </c>
      <c r="DS68" s="13">
        <f t="shared" si="294"/>
        <v>1.3386515071882552E-2</v>
      </c>
      <c r="DT68" s="13">
        <f t="shared" si="294"/>
        <v>0</v>
      </c>
      <c r="DU68" s="13">
        <f t="shared" si="294"/>
        <v>2.9004211697594273E-2</v>
      </c>
      <c r="DV68" s="13">
        <f t="shared" si="294"/>
        <v>4.4131211781221612E-2</v>
      </c>
      <c r="DW68" s="13">
        <f t="shared" si="294"/>
        <v>6.0940952548377045E-2</v>
      </c>
      <c r="DX68" s="13">
        <f t="shared" si="294"/>
        <v>1.5934012838027794E-2</v>
      </c>
      <c r="DY68" s="13">
        <f t="shared" si="294"/>
        <v>0</v>
      </c>
      <c r="DZ68" s="13">
        <f t="shared" si="294"/>
        <v>0.28722568972065871</v>
      </c>
      <c r="EA68" s="12">
        <f t="shared" si="45"/>
        <v>1</v>
      </c>
      <c r="EB68" s="26"/>
      <c r="EC68" s="30">
        <f t="shared" si="46"/>
        <v>1123</v>
      </c>
      <c r="ED68" s="14">
        <f t="shared" si="98"/>
        <v>1000000000</v>
      </c>
      <c r="EE68" s="29"/>
      <c r="EF68" s="184">
        <f t="shared" si="122"/>
        <v>-10.833130008904719</v>
      </c>
      <c r="EG68" s="13">
        <f t="shared" si="99"/>
        <v>1.8</v>
      </c>
      <c r="EH68" s="13">
        <f t="shared" si="100"/>
        <v>1.5967186108637588</v>
      </c>
      <c r="EI68" s="12">
        <f t="shared" si="47"/>
        <v>6.4532938557435404</v>
      </c>
      <c r="EJ68" s="29"/>
      <c r="EK68" s="28">
        <f t="shared" si="101"/>
        <v>-1.3133217323583652</v>
      </c>
      <c r="EL68" s="24">
        <f t="shared" si="102"/>
        <v>-0.57026562412434445</v>
      </c>
      <c r="EM68" s="24">
        <f t="shared" si="103"/>
        <v>0.26892527331014998</v>
      </c>
      <c r="EN68" s="24">
        <f t="shared" si="104"/>
        <v>4.1027165005642699E-2</v>
      </c>
      <c r="EO68" s="24">
        <f t="shared" si="105"/>
        <v>1.1033241562283084E-2</v>
      </c>
      <c r="EP68" s="24">
        <f t="shared" si="106"/>
        <v>0.34974175338580338</v>
      </c>
      <c r="EQ68" s="24">
        <f t="shared" si="107"/>
        <v>-1.3130041136316015</v>
      </c>
      <c r="ER68" s="24">
        <f t="shared" si="48"/>
        <v>-24.941725379348462</v>
      </c>
      <c r="ES68" s="25">
        <f t="shared" si="49"/>
        <v>-10.830102205535589</v>
      </c>
      <c r="ET68" s="26"/>
      <c r="EU68" s="23">
        <f t="shared" si="123"/>
        <v>-2.0244352102850591</v>
      </c>
      <c r="EV68" s="12">
        <f t="shared" si="50"/>
        <v>9.364373606737364E-3</v>
      </c>
      <c r="EW68" s="26"/>
      <c r="EX68" s="27">
        <f t="shared" si="108"/>
        <v>0.96934656996828439</v>
      </c>
      <c r="EY68" s="26"/>
      <c r="EZ68" s="23">
        <f t="shared" si="281"/>
        <v>-9.1576126112573633</v>
      </c>
      <c r="FA68" s="13">
        <f t="shared" si="52"/>
        <v>16.586073707809522</v>
      </c>
      <c r="FB68" s="13">
        <f t="shared" si="282"/>
        <v>-29.266942087657817</v>
      </c>
      <c r="FC68" s="13">
        <f t="shared" si="283"/>
        <v>5.1222210687837801</v>
      </c>
      <c r="FD68" s="12">
        <f t="shared" si="55"/>
        <v>0.99407257934675508</v>
      </c>
      <c r="FE68" s="13"/>
      <c r="FF68" s="23">
        <f t="shared" si="284"/>
        <v>-7.5575028669573463</v>
      </c>
      <c r="FG68" s="13">
        <f t="shared" si="285"/>
        <v>15.006338835269048</v>
      </c>
      <c r="FH68" s="13">
        <f t="shared" si="286"/>
        <v>16.844649089315851</v>
      </c>
      <c r="FI68" s="24">
        <f t="shared" si="287"/>
        <v>0.88763002141551006</v>
      </c>
      <c r="FJ68" s="25">
        <f t="shared" si="288"/>
        <v>0.99816637299502109</v>
      </c>
      <c r="FK68" s="13"/>
      <c r="FL68" s="23">
        <f t="shared" si="110"/>
        <v>13.632709081663705</v>
      </c>
      <c r="FM68" s="13">
        <f t="shared" si="124"/>
        <v>-7.6076942171695334</v>
      </c>
      <c r="FN68" s="13">
        <f t="shared" si="289"/>
        <v>-0.42585671897619903</v>
      </c>
      <c r="FO68" s="13">
        <f t="shared" si="60"/>
        <v>0.27277843344080333</v>
      </c>
      <c r="FP68" s="23">
        <f t="shared" si="290"/>
        <v>-1.3982520885220566</v>
      </c>
      <c r="FQ68" s="13">
        <f t="shared" si="291"/>
        <v>3.8434972184431593E-2</v>
      </c>
      <c r="FR68" s="13">
        <f t="shared" si="292"/>
        <v>-1.0171300938648891</v>
      </c>
      <c r="FS68" s="13">
        <f t="shared" si="115"/>
        <v>8.7701471547704024E-2</v>
      </c>
      <c r="FT68" s="13">
        <f t="shared" si="293"/>
        <v>-1.4962040030367518</v>
      </c>
      <c r="FU68" s="12">
        <f t="shared" si="117"/>
        <v>3.0914214803168694E-2</v>
      </c>
      <c r="FV68" s="22"/>
      <c r="FW68" s="11">
        <f t="shared" si="141"/>
        <v>1.8</v>
      </c>
      <c r="FX68" s="10">
        <f t="shared" si="142"/>
        <v>1.5967186108637588</v>
      </c>
      <c r="FY68" s="10">
        <f t="shared" si="143"/>
        <v>6.4532938557435404</v>
      </c>
      <c r="FZ68" s="5">
        <f t="shared" si="144"/>
        <v>-10.833130008904719</v>
      </c>
      <c r="GA68" s="10">
        <f t="shared" si="145"/>
        <v>0.34974175338580338</v>
      </c>
      <c r="GB68" s="9">
        <f t="shared" si="275"/>
        <v>13.632709081663705</v>
      </c>
      <c r="GC68" s="8">
        <f t="shared" si="276"/>
        <v>-7.6076942171695334</v>
      </c>
      <c r="GD68" s="8">
        <f t="shared" si="120"/>
        <v>0.27277843344080333</v>
      </c>
      <c r="GE68" s="7">
        <f t="shared" si="121"/>
        <v>3.8434972184431593E-2</v>
      </c>
      <c r="GF68" s="6">
        <f t="shared" si="277"/>
        <v>0.88763002141551006</v>
      </c>
      <c r="GG68" s="5">
        <f t="shared" si="278"/>
        <v>0.99816637299502109</v>
      </c>
      <c r="GH68" s="4">
        <f t="shared" si="279"/>
        <v>0.99407257934675508</v>
      </c>
      <c r="GI68" s="4">
        <f t="shared" si="149"/>
        <v>0.96934656996828439</v>
      </c>
      <c r="GJ68" s="4">
        <f t="shared" si="150"/>
        <v>9.364373606737364E-3</v>
      </c>
      <c r="GK68" s="1"/>
    </row>
    <row r="69" spans="1:193" x14ac:dyDescent="0.4">
      <c r="A69" s="32"/>
      <c r="B69" s="33"/>
      <c r="C69" s="33"/>
      <c r="D69" s="32"/>
      <c r="E69" s="32"/>
      <c r="F69" s="20" t="s">
        <v>84</v>
      </c>
      <c r="G69" s="19">
        <v>850</v>
      </c>
      <c r="H69" s="18">
        <v>1</v>
      </c>
      <c r="I69" s="17">
        <v>2.2000000000000002</v>
      </c>
      <c r="J69" s="16">
        <v>52.63</v>
      </c>
      <c r="K69" s="16">
        <v>1.18</v>
      </c>
      <c r="L69" s="16">
        <v>17.13</v>
      </c>
      <c r="M69" s="16">
        <v>0</v>
      </c>
      <c r="N69" s="16">
        <f t="shared" si="153"/>
        <v>6.3739999999999997</v>
      </c>
      <c r="O69" s="16">
        <v>0</v>
      </c>
      <c r="P69" s="16">
        <v>2.71</v>
      </c>
      <c r="Q69" s="16">
        <v>5.74</v>
      </c>
      <c r="R69" s="16">
        <v>4.38</v>
      </c>
      <c r="S69" s="16">
        <v>1.74</v>
      </c>
      <c r="T69" s="16">
        <v>0</v>
      </c>
      <c r="U69" s="15">
        <v>6</v>
      </c>
      <c r="V69" s="16"/>
      <c r="W69" s="28">
        <f t="shared" si="71"/>
        <v>53.767725062318682</v>
      </c>
      <c r="X69" s="24">
        <f t="shared" si="155"/>
        <v>1.2055085611540193</v>
      </c>
      <c r="Y69" s="24">
        <f t="shared" si="155"/>
        <v>17.500306485227416</v>
      </c>
      <c r="Z69" s="24">
        <f t="shared" si="154"/>
        <v>0</v>
      </c>
      <c r="AA69" s="24">
        <f t="shared" si="154"/>
        <v>6.5117894650811179</v>
      </c>
      <c r="AB69" s="24">
        <f t="shared" si="154"/>
        <v>0</v>
      </c>
      <c r="AC69" s="24">
        <f t="shared" si="154"/>
        <v>2.7685832209554171</v>
      </c>
      <c r="AD69" s="24">
        <f t="shared" si="154"/>
        <v>5.8640840178170093</v>
      </c>
      <c r="AE69" s="24">
        <f t="shared" si="154"/>
        <v>4.4746843202157667</v>
      </c>
      <c r="AF69" s="24">
        <f t="shared" si="154"/>
        <v>1.777614318989825</v>
      </c>
      <c r="AG69" s="24">
        <f t="shared" si="154"/>
        <v>0</v>
      </c>
      <c r="AH69" s="24">
        <f t="shared" si="154"/>
        <v>6.1297045482407766</v>
      </c>
      <c r="AI69" s="14">
        <f t="shared" si="72"/>
        <v>100.00000000000004</v>
      </c>
      <c r="AJ69" s="26"/>
      <c r="AK69" s="50">
        <f t="shared" si="73"/>
        <v>0.89478657118187188</v>
      </c>
      <c r="AL69" s="47">
        <f t="shared" si="74"/>
        <v>1.5087716660250553E-2</v>
      </c>
      <c r="AM69" s="47">
        <f t="shared" si="75"/>
        <v>0.17163894159697349</v>
      </c>
      <c r="AN69" s="49">
        <f t="shared" si="76"/>
        <v>0</v>
      </c>
      <c r="AO69" s="49">
        <f t="shared" si="77"/>
        <v>9.0630333543230593E-2</v>
      </c>
      <c r="AP69" s="47">
        <f t="shared" si="78"/>
        <v>0</v>
      </c>
      <c r="AQ69" s="47">
        <f t="shared" si="79"/>
        <v>6.8665258456235542E-2</v>
      </c>
      <c r="AR69" s="47">
        <f t="shared" si="80"/>
        <v>0.10456640545322771</v>
      </c>
      <c r="AS69" s="47">
        <f t="shared" si="81"/>
        <v>7.2195616654013667E-2</v>
      </c>
      <c r="AT69" s="47">
        <f t="shared" si="82"/>
        <v>1.8870640328979033E-2</v>
      </c>
      <c r="AU69" s="47">
        <f t="shared" si="83"/>
        <v>0</v>
      </c>
      <c r="AV69" s="47">
        <f t="shared" si="84"/>
        <v>0.34016118469704643</v>
      </c>
      <c r="AW69" s="47">
        <f t="shared" si="85"/>
        <v>1.4364414838747823</v>
      </c>
      <c r="AX69" s="47">
        <f t="shared" si="86"/>
        <v>5.511920077629167E-2</v>
      </c>
      <c r="AY69" s="46">
        <f t="shared" si="87"/>
        <v>1.7761206779557445E-2</v>
      </c>
      <c r="AZ69" s="26"/>
      <c r="BA69" s="23">
        <f t="shared" si="88"/>
        <v>0.62291891540767586</v>
      </c>
      <c r="BB69" s="13">
        <f t="shared" si="6"/>
        <v>1.0503537268745283E-2</v>
      </c>
      <c r="BC69" s="13">
        <f t="shared" si="7"/>
        <v>0.11948898964821014</v>
      </c>
      <c r="BD69" s="13">
        <f t="shared" si="8"/>
        <v>0</v>
      </c>
      <c r="BE69" s="13">
        <f t="shared" si="9"/>
        <v>6.309364813020886E-2</v>
      </c>
      <c r="BF69" s="13">
        <f t="shared" si="10"/>
        <v>3.837204744853813E-2</v>
      </c>
      <c r="BG69" s="13">
        <f t="shared" si="11"/>
        <v>1.2364726986056417E-2</v>
      </c>
      <c r="BH69" s="13">
        <f t="shared" si="12"/>
        <v>0</v>
      </c>
      <c r="BI69" s="13">
        <f t="shared" si="13"/>
        <v>4.7802335999801326E-2</v>
      </c>
      <c r="BJ69" s="13">
        <f t="shared" si="14"/>
        <v>7.2795450860386732E-2</v>
      </c>
      <c r="BK69" s="13">
        <f t="shared" si="15"/>
        <v>5.0260047112581939E-2</v>
      </c>
      <c r="BL69" s="13">
        <f t="shared" si="16"/>
        <v>1.3137075572389989E-2</v>
      </c>
      <c r="BM69" s="13">
        <f t="shared" si="17"/>
        <v>0</v>
      </c>
      <c r="BN69" s="13">
        <f t="shared" si="18"/>
        <v>0.23680824350704913</v>
      </c>
      <c r="BO69" s="12">
        <f t="shared" si="89"/>
        <v>1.0000000000000002</v>
      </c>
      <c r="BP69" s="13"/>
      <c r="BQ69" s="23">
        <f t="shared" si="90"/>
        <v>1.7895731423637438</v>
      </c>
      <c r="BR69" s="13">
        <f t="shared" si="19"/>
        <v>3.0175433320501106E-2</v>
      </c>
      <c r="BS69" s="13">
        <f t="shared" si="20"/>
        <v>0.51471489662433578</v>
      </c>
      <c r="BT69" s="13">
        <f t="shared" si="21"/>
        <v>0</v>
      </c>
      <c r="BU69" s="13">
        <f t="shared" si="22"/>
        <v>9.0630333543230593E-2</v>
      </c>
      <c r="BV69" s="13">
        <f t="shared" si="91"/>
        <v>5.511920077629167E-2</v>
      </c>
      <c r="BW69" s="24">
        <f t="shared" si="92"/>
        <v>5.3283620338672337E-2</v>
      </c>
      <c r="BX69" s="13">
        <f t="shared" si="23"/>
        <v>0</v>
      </c>
      <c r="BY69" s="13">
        <f t="shared" si="24"/>
        <v>6.8699335507578591E-2</v>
      </c>
      <c r="BZ69" s="13">
        <f t="shared" si="25"/>
        <v>0.10452912687730855</v>
      </c>
      <c r="CA69" s="13">
        <f t="shared" si="26"/>
        <v>7.2172327745415585E-2</v>
      </c>
      <c r="CB69" s="13">
        <f t="shared" si="27"/>
        <v>1.8870640328979033E-2</v>
      </c>
      <c r="CC69" s="13">
        <f t="shared" si="28"/>
        <v>0</v>
      </c>
      <c r="CD69" s="13">
        <f t="shared" si="93"/>
        <v>0.34016118469704643</v>
      </c>
      <c r="CE69" s="12">
        <f t="shared" si="94"/>
        <v>3.0295264210081392</v>
      </c>
      <c r="CF69" s="13"/>
      <c r="CG69" s="23">
        <f t="shared" si="280"/>
        <v>0.59071052490383147</v>
      </c>
      <c r="CH69" s="13">
        <f t="shared" si="280"/>
        <v>9.9604456694124457E-3</v>
      </c>
      <c r="CI69" s="13">
        <f t="shared" si="280"/>
        <v>0.16989945790043762</v>
      </c>
      <c r="CJ69" s="13">
        <f t="shared" si="280"/>
        <v>0</v>
      </c>
      <c r="CK69" s="13">
        <f t="shared" si="280"/>
        <v>2.991567689086911E-2</v>
      </c>
      <c r="CL69" s="13">
        <f t="shared" si="280"/>
        <v>1.8193999033667311E-2</v>
      </c>
      <c r="CM69" s="13">
        <f t="shared" si="280"/>
        <v>1.7588102209368118E-2</v>
      </c>
      <c r="CN69" s="13">
        <f t="shared" si="280"/>
        <v>0</v>
      </c>
      <c r="CO69" s="13">
        <f t="shared" si="280"/>
        <v>2.2676592298778313E-2</v>
      </c>
      <c r="CP69" s="13">
        <f t="shared" si="156"/>
        <v>3.4503454451644711E-2</v>
      </c>
      <c r="CQ69" s="13">
        <f t="shared" si="156"/>
        <v>2.3822973533070793E-2</v>
      </c>
      <c r="CR69" s="13">
        <f t="shared" si="156"/>
        <v>6.2289076596663004E-3</v>
      </c>
      <c r="CS69" s="13">
        <f t="shared" si="156"/>
        <v>0</v>
      </c>
      <c r="CT69" s="13">
        <f t="shared" si="156"/>
        <v>0.11228196669228935</v>
      </c>
      <c r="CU69" s="12">
        <f t="shared" si="30"/>
        <v>1.0000000000000002</v>
      </c>
      <c r="CV69" s="26"/>
      <c r="CW69" s="23">
        <f t="shared" si="31"/>
        <v>0.89478657118187188</v>
      </c>
      <c r="CX69" s="13">
        <f t="shared" si="32"/>
        <v>1.5087716660250553E-2</v>
      </c>
      <c r="CY69" s="13">
        <f t="shared" si="33"/>
        <v>0.34314326441622384</v>
      </c>
      <c r="CZ69" s="13">
        <f t="shared" si="34"/>
        <v>0</v>
      </c>
      <c r="DA69" s="13">
        <f t="shared" si="35"/>
        <v>7.9944289693593323E-2</v>
      </c>
      <c r="DB69" s="13">
        <f t="shared" si="36"/>
        <v>5.511920077629167E-2</v>
      </c>
      <c r="DC69" s="24">
        <f t="shared" si="37"/>
        <v>3.5522413559114889E-2</v>
      </c>
      <c r="DD69" s="13">
        <f t="shared" si="38"/>
        <v>0</v>
      </c>
      <c r="DE69" s="13">
        <f t="shared" si="39"/>
        <v>6.8699335507578591E-2</v>
      </c>
      <c r="DF69" s="13">
        <f t="shared" si="40"/>
        <v>0.10452912687730855</v>
      </c>
      <c r="DG69" s="13">
        <f t="shared" si="41"/>
        <v>0.14434465549083117</v>
      </c>
      <c r="DH69" s="13">
        <f t="shared" si="42"/>
        <v>3.7741280657958065E-2</v>
      </c>
      <c r="DI69" s="13">
        <f t="shared" si="43"/>
        <v>0</v>
      </c>
      <c r="DJ69" s="13">
        <f t="shared" si="95"/>
        <v>0.68032236939409285</v>
      </c>
      <c r="DK69" s="12">
        <f t="shared" si="96"/>
        <v>2.3685986098797089</v>
      </c>
      <c r="DL69" s="26"/>
      <c r="DM69" s="23">
        <f t="shared" si="152"/>
        <v>0.3777704535709891</v>
      </c>
      <c r="DN69" s="13">
        <f t="shared" si="152"/>
        <v>6.3698917145851037E-3</v>
      </c>
      <c r="DO69" s="13">
        <f t="shared" si="152"/>
        <v>0.14487185080027157</v>
      </c>
      <c r="DP69" s="13">
        <f t="shared" si="152"/>
        <v>0</v>
      </c>
      <c r="DQ69" s="13">
        <f t="shared" si="152"/>
        <v>3.3751725328274744E-2</v>
      </c>
      <c r="DR69" s="13">
        <f t="shared" si="294"/>
        <v>2.3270806858698166E-2</v>
      </c>
      <c r="DS69" s="13">
        <f t="shared" si="294"/>
        <v>1.4997228070195871E-2</v>
      </c>
      <c r="DT69" s="13">
        <f t="shared" si="294"/>
        <v>0</v>
      </c>
      <c r="DU69" s="13">
        <f t="shared" si="294"/>
        <v>2.9004211697594273E-2</v>
      </c>
      <c r="DV69" s="13">
        <f t="shared" si="294"/>
        <v>4.4131211781221612E-2</v>
      </c>
      <c r="DW69" s="13">
        <f t="shared" si="294"/>
        <v>6.0940952548377045E-2</v>
      </c>
      <c r="DX69" s="13">
        <f t="shared" si="294"/>
        <v>1.5934012838027794E-2</v>
      </c>
      <c r="DY69" s="13">
        <f t="shared" si="294"/>
        <v>0</v>
      </c>
      <c r="DZ69" s="13">
        <f t="shared" si="294"/>
        <v>0.28722568972065871</v>
      </c>
      <c r="EA69" s="12">
        <f t="shared" si="45"/>
        <v>1</v>
      </c>
      <c r="EB69" s="26"/>
      <c r="EC69" s="30">
        <f t="shared" si="46"/>
        <v>1123</v>
      </c>
      <c r="ED69" s="14">
        <f t="shared" si="98"/>
        <v>1000000000</v>
      </c>
      <c r="EE69" s="29"/>
      <c r="EF69" s="184">
        <f t="shared" si="122"/>
        <v>-10.433130008904719</v>
      </c>
      <c r="EG69" s="13">
        <f t="shared" si="99"/>
        <v>2.2000000000000002</v>
      </c>
      <c r="EH69" s="13">
        <f t="shared" si="100"/>
        <v>1.9967186108637591</v>
      </c>
      <c r="EI69" s="12">
        <f t="shared" si="47"/>
        <v>6.8532938557435408</v>
      </c>
      <c r="EJ69" s="29"/>
      <c r="EK69" s="28">
        <f t="shared" si="101"/>
        <v>-1.1327990610676317</v>
      </c>
      <c r="EL69" s="24">
        <f t="shared" si="102"/>
        <v>-0.49187974861816403</v>
      </c>
      <c r="EM69" s="24">
        <f t="shared" si="103"/>
        <v>0.32213033087204412</v>
      </c>
      <c r="EN69" s="24">
        <f t="shared" si="104"/>
        <v>3.837204744853813E-2</v>
      </c>
      <c r="EO69" s="24">
        <f t="shared" si="105"/>
        <v>1.2360800340835365E-2</v>
      </c>
      <c r="EP69" s="24">
        <f t="shared" si="106"/>
        <v>0.39182392228535878</v>
      </c>
      <c r="EQ69" s="24">
        <f t="shared" si="107"/>
        <v>-1.132481442340868</v>
      </c>
      <c r="ER69" s="24">
        <f t="shared" si="48"/>
        <v>-24.02069134215084</v>
      </c>
      <c r="ES69" s="25">
        <f t="shared" si="49"/>
        <v>-10.430174269279567</v>
      </c>
      <c r="ET69" s="26"/>
      <c r="EU69" s="23">
        <f t="shared" si="123"/>
        <v>-1.3972352102850571</v>
      </c>
      <c r="EV69" s="12">
        <f t="shared" si="50"/>
        <v>3.8521600382890542E-2</v>
      </c>
      <c r="EW69" s="26"/>
      <c r="EX69" s="27">
        <f t="shared" si="108"/>
        <v>0.99501312126331209</v>
      </c>
      <c r="EY69" s="26"/>
      <c r="EZ69" s="23">
        <f t="shared" si="281"/>
        <v>-9.1576126112573633</v>
      </c>
      <c r="FA69" s="13">
        <f t="shared" si="52"/>
        <v>16.562415360049517</v>
      </c>
      <c r="FB69" s="13">
        <f t="shared" si="282"/>
        <v>-29.266942087657817</v>
      </c>
      <c r="FC69" s="13">
        <f t="shared" si="283"/>
        <v>6.9406307954190112</v>
      </c>
      <c r="FD69" s="12">
        <f t="shared" si="55"/>
        <v>0.99903327644902074</v>
      </c>
      <c r="FE69" s="13"/>
      <c r="FF69" s="23">
        <f t="shared" si="284"/>
        <v>-7.5857942983181559</v>
      </c>
      <c r="FG69" s="13">
        <f t="shared" si="285"/>
        <v>15.006338835269048</v>
      </c>
      <c r="FH69" s="13">
        <f t="shared" si="286"/>
        <v>16.844649089315851</v>
      </c>
      <c r="FI69" s="24">
        <f t="shared" si="287"/>
        <v>0.98154820931781273</v>
      </c>
      <c r="FJ69" s="25">
        <f t="shared" si="288"/>
        <v>0.99972729181160214</v>
      </c>
      <c r="FK69" s="13"/>
      <c r="FL69" s="23">
        <f t="shared" si="110"/>
        <v>13.632709081663705</v>
      </c>
      <c r="FM69" s="13">
        <f t="shared" si="124"/>
        <v>-7.6186515035438935</v>
      </c>
      <c r="FN69" s="13">
        <f t="shared" si="289"/>
        <v>0.38510056739816179</v>
      </c>
      <c r="FO69" s="13">
        <f t="shared" si="60"/>
        <v>0.70821424275959544</v>
      </c>
      <c r="FP69" s="23">
        <f t="shared" si="290"/>
        <v>-0.5872948021476958</v>
      </c>
      <c r="FQ69" s="13">
        <f t="shared" si="291"/>
        <v>0.20549521549021821</v>
      </c>
      <c r="FR69" s="13">
        <f t="shared" si="292"/>
        <v>-0.20617280749052824</v>
      </c>
      <c r="FS69" s="13">
        <f t="shared" si="115"/>
        <v>0.38349722639624761</v>
      </c>
      <c r="FT69" s="13">
        <f t="shared" si="293"/>
        <v>-0.68524671666239101</v>
      </c>
      <c r="FU69" s="12">
        <f t="shared" si="117"/>
        <v>0.17110176783756859</v>
      </c>
      <c r="FV69" s="22"/>
      <c r="FW69" s="11">
        <f t="shared" si="141"/>
        <v>2.2000000000000002</v>
      </c>
      <c r="FX69" s="10">
        <f t="shared" si="142"/>
        <v>1.9967186108637591</v>
      </c>
      <c r="FY69" s="10">
        <f t="shared" si="143"/>
        <v>6.8532938557435408</v>
      </c>
      <c r="FZ69" s="5">
        <f t="shared" si="144"/>
        <v>-10.433130008904719</v>
      </c>
      <c r="GA69" s="10">
        <f t="shared" si="145"/>
        <v>0.39182392228535878</v>
      </c>
      <c r="GB69" s="9">
        <f t="shared" si="275"/>
        <v>13.632709081663705</v>
      </c>
      <c r="GC69" s="8">
        <f t="shared" si="276"/>
        <v>-7.6186515035438935</v>
      </c>
      <c r="GD69" s="8">
        <f t="shared" si="120"/>
        <v>0.70821424275959544</v>
      </c>
      <c r="GE69" s="7">
        <f t="shared" si="121"/>
        <v>0.20549521549021821</v>
      </c>
      <c r="GF69" s="6">
        <f t="shared" si="277"/>
        <v>0.98154820931781273</v>
      </c>
      <c r="GG69" s="5">
        <f t="shared" si="278"/>
        <v>0.99972729181160214</v>
      </c>
      <c r="GH69" s="4">
        <f t="shared" si="279"/>
        <v>0.99903327644902074</v>
      </c>
      <c r="GI69" s="4">
        <f t="shared" si="149"/>
        <v>0.99501312126331209</v>
      </c>
      <c r="GJ69" s="4">
        <f t="shared" si="150"/>
        <v>3.8521600382890542E-2</v>
      </c>
      <c r="GK69" s="1"/>
    </row>
    <row r="70" spans="1:193" x14ac:dyDescent="0.4">
      <c r="A70" s="32"/>
      <c r="B70" s="33"/>
      <c r="C70" s="33"/>
      <c r="D70" s="32"/>
      <c r="E70" s="32"/>
      <c r="F70" s="20" t="s">
        <v>84</v>
      </c>
      <c r="G70" s="19">
        <v>850</v>
      </c>
      <c r="H70" s="18">
        <v>1</v>
      </c>
      <c r="I70" s="17">
        <v>2.6</v>
      </c>
      <c r="J70" s="16">
        <v>52.63</v>
      </c>
      <c r="K70" s="16">
        <v>1.18</v>
      </c>
      <c r="L70" s="16">
        <v>17.13</v>
      </c>
      <c r="M70" s="16">
        <v>0</v>
      </c>
      <c r="N70" s="16">
        <f t="shared" si="153"/>
        <v>6.3739999999999997</v>
      </c>
      <c r="O70" s="16">
        <v>0</v>
      </c>
      <c r="P70" s="16">
        <v>2.71</v>
      </c>
      <c r="Q70" s="16">
        <v>5.74</v>
      </c>
      <c r="R70" s="16">
        <v>4.38</v>
      </c>
      <c r="S70" s="16">
        <v>1.74</v>
      </c>
      <c r="T70" s="16">
        <v>0</v>
      </c>
      <c r="U70" s="15">
        <v>6</v>
      </c>
      <c r="V70" s="16"/>
      <c r="W70" s="28">
        <f t="shared" si="71"/>
        <v>53.767725062318682</v>
      </c>
      <c r="X70" s="24">
        <f t="shared" si="155"/>
        <v>1.2055085611540193</v>
      </c>
      <c r="Y70" s="24">
        <f t="shared" si="155"/>
        <v>17.500306485227416</v>
      </c>
      <c r="Z70" s="24">
        <f t="shared" si="154"/>
        <v>0</v>
      </c>
      <c r="AA70" s="24">
        <f t="shared" si="154"/>
        <v>6.5117894650811179</v>
      </c>
      <c r="AB70" s="24">
        <f t="shared" si="154"/>
        <v>0</v>
      </c>
      <c r="AC70" s="24">
        <f t="shared" si="154"/>
        <v>2.7685832209554171</v>
      </c>
      <c r="AD70" s="24">
        <f t="shared" si="154"/>
        <v>5.8640840178170093</v>
      </c>
      <c r="AE70" s="24">
        <f t="shared" si="154"/>
        <v>4.4746843202157667</v>
      </c>
      <c r="AF70" s="24">
        <f t="shared" si="154"/>
        <v>1.777614318989825</v>
      </c>
      <c r="AG70" s="24">
        <f t="shared" si="154"/>
        <v>0</v>
      </c>
      <c r="AH70" s="24">
        <f t="shared" si="154"/>
        <v>6.1297045482407766</v>
      </c>
      <c r="AI70" s="14">
        <f t="shared" si="72"/>
        <v>100.00000000000004</v>
      </c>
      <c r="AJ70" s="26"/>
      <c r="AK70" s="50">
        <f t="shared" si="73"/>
        <v>0.89478657118187188</v>
      </c>
      <c r="AL70" s="47">
        <f t="shared" si="74"/>
        <v>1.5087716660250553E-2</v>
      </c>
      <c r="AM70" s="47">
        <f t="shared" si="75"/>
        <v>0.17163894159697349</v>
      </c>
      <c r="AN70" s="49">
        <f t="shared" si="76"/>
        <v>0</v>
      </c>
      <c r="AO70" s="49">
        <f t="shared" si="77"/>
        <v>9.0630333543230593E-2</v>
      </c>
      <c r="AP70" s="47">
        <f t="shared" si="78"/>
        <v>0</v>
      </c>
      <c r="AQ70" s="47">
        <f t="shared" si="79"/>
        <v>6.8665258456235542E-2</v>
      </c>
      <c r="AR70" s="47">
        <f t="shared" si="80"/>
        <v>0.10456640545322771</v>
      </c>
      <c r="AS70" s="47">
        <f t="shared" si="81"/>
        <v>7.2195616654013667E-2</v>
      </c>
      <c r="AT70" s="47">
        <f t="shared" si="82"/>
        <v>1.8870640328979033E-2</v>
      </c>
      <c r="AU70" s="47">
        <f t="shared" si="83"/>
        <v>0</v>
      </c>
      <c r="AV70" s="47">
        <f t="shared" si="84"/>
        <v>0.34016118469704643</v>
      </c>
      <c r="AW70" s="47">
        <f t="shared" si="85"/>
        <v>1.4364414838747823</v>
      </c>
      <c r="AX70" s="47">
        <f t="shared" si="86"/>
        <v>5.1153774067353969E-2</v>
      </c>
      <c r="AY70" s="46">
        <f t="shared" si="87"/>
        <v>1.9744549980937772E-2</v>
      </c>
      <c r="AZ70" s="26"/>
      <c r="BA70" s="23">
        <f t="shared" si="88"/>
        <v>0.62291891540767586</v>
      </c>
      <c r="BB70" s="13">
        <f t="shared" si="6"/>
        <v>1.0503537268745283E-2</v>
      </c>
      <c r="BC70" s="13">
        <f t="shared" si="7"/>
        <v>0.11948898964821014</v>
      </c>
      <c r="BD70" s="13">
        <f t="shared" si="8"/>
        <v>0</v>
      </c>
      <c r="BE70" s="13">
        <f t="shared" si="9"/>
        <v>6.309364813020886E-2</v>
      </c>
      <c r="BF70" s="13">
        <f t="shared" si="10"/>
        <v>3.5611456952195038E-2</v>
      </c>
      <c r="BG70" s="13">
        <f t="shared" si="11"/>
        <v>1.3745460711477855E-2</v>
      </c>
      <c r="BH70" s="13">
        <f t="shared" si="12"/>
        <v>0</v>
      </c>
      <c r="BI70" s="13">
        <f t="shared" si="13"/>
        <v>4.7802335999801326E-2</v>
      </c>
      <c r="BJ70" s="13">
        <f t="shared" si="14"/>
        <v>7.2795450860386732E-2</v>
      </c>
      <c r="BK70" s="13">
        <f t="shared" si="15"/>
        <v>5.0260047112581939E-2</v>
      </c>
      <c r="BL70" s="13">
        <f t="shared" si="16"/>
        <v>1.3137075572389989E-2</v>
      </c>
      <c r="BM70" s="13">
        <f t="shared" si="17"/>
        <v>0</v>
      </c>
      <c r="BN70" s="13">
        <f t="shared" si="18"/>
        <v>0.23680824350704913</v>
      </c>
      <c r="BO70" s="12">
        <f t="shared" si="89"/>
        <v>1.0000000000000002</v>
      </c>
      <c r="BP70" s="13"/>
      <c r="BQ70" s="23">
        <f t="shared" si="90"/>
        <v>1.7895731423637438</v>
      </c>
      <c r="BR70" s="13">
        <f t="shared" si="19"/>
        <v>3.0175433320501106E-2</v>
      </c>
      <c r="BS70" s="13">
        <f t="shared" si="20"/>
        <v>0.51471489662433578</v>
      </c>
      <c r="BT70" s="13">
        <f t="shared" si="21"/>
        <v>0</v>
      </c>
      <c r="BU70" s="13">
        <f t="shared" si="22"/>
        <v>9.0630333543230593E-2</v>
      </c>
      <c r="BV70" s="13">
        <f t="shared" si="91"/>
        <v>5.1153774067353969E-2</v>
      </c>
      <c r="BW70" s="24">
        <f t="shared" si="92"/>
        <v>5.9233649942813313E-2</v>
      </c>
      <c r="BX70" s="13">
        <f t="shared" si="23"/>
        <v>0</v>
      </c>
      <c r="BY70" s="13">
        <f t="shared" si="24"/>
        <v>6.8699335507578591E-2</v>
      </c>
      <c r="BZ70" s="13">
        <f t="shared" si="25"/>
        <v>0.10452912687730855</v>
      </c>
      <c r="CA70" s="13">
        <f t="shared" si="26"/>
        <v>7.2172327745415585E-2</v>
      </c>
      <c r="CB70" s="13">
        <f t="shared" si="27"/>
        <v>1.8870640328979033E-2</v>
      </c>
      <c r="CC70" s="13">
        <f t="shared" si="28"/>
        <v>0</v>
      </c>
      <c r="CD70" s="13">
        <f t="shared" si="93"/>
        <v>0.34016118469704643</v>
      </c>
      <c r="CE70" s="12">
        <f t="shared" si="94"/>
        <v>3.0295264210081392</v>
      </c>
      <c r="CF70" s="13"/>
      <c r="CG70" s="23">
        <f t="shared" si="280"/>
        <v>0.59071052490383147</v>
      </c>
      <c r="CH70" s="13">
        <f t="shared" si="280"/>
        <v>9.9604456694124457E-3</v>
      </c>
      <c r="CI70" s="13">
        <f t="shared" si="280"/>
        <v>0.16989945790043762</v>
      </c>
      <c r="CJ70" s="13">
        <f t="shared" si="280"/>
        <v>0</v>
      </c>
      <c r="CK70" s="13">
        <f t="shared" si="280"/>
        <v>2.991567689086911E-2</v>
      </c>
      <c r="CL70" s="13">
        <f t="shared" si="280"/>
        <v>1.6885072766697134E-2</v>
      </c>
      <c r="CM70" s="13">
        <f t="shared" si="280"/>
        <v>1.9552115318110366E-2</v>
      </c>
      <c r="CN70" s="13">
        <f t="shared" si="280"/>
        <v>0</v>
      </c>
      <c r="CO70" s="13">
        <f t="shared" si="280"/>
        <v>2.2676592298778313E-2</v>
      </c>
      <c r="CP70" s="13">
        <f t="shared" si="156"/>
        <v>3.4503454451644711E-2</v>
      </c>
      <c r="CQ70" s="13">
        <f t="shared" si="156"/>
        <v>2.3822973533070793E-2</v>
      </c>
      <c r="CR70" s="13">
        <f t="shared" si="156"/>
        <v>6.2289076596663004E-3</v>
      </c>
      <c r="CS70" s="13">
        <f t="shared" si="156"/>
        <v>0</v>
      </c>
      <c r="CT70" s="13">
        <f t="shared" si="156"/>
        <v>0.11228196669228935</v>
      </c>
      <c r="CU70" s="12">
        <f t="shared" si="30"/>
        <v>1.0000000000000002</v>
      </c>
      <c r="CV70" s="26"/>
      <c r="CW70" s="23">
        <f t="shared" si="31"/>
        <v>0.89478657118187188</v>
      </c>
      <c r="CX70" s="13">
        <f t="shared" si="32"/>
        <v>1.5087716660250553E-2</v>
      </c>
      <c r="CY70" s="13">
        <f t="shared" si="33"/>
        <v>0.34314326441622384</v>
      </c>
      <c r="CZ70" s="13">
        <f t="shared" si="34"/>
        <v>0</v>
      </c>
      <c r="DA70" s="13">
        <f t="shared" si="35"/>
        <v>7.9944289693593323E-2</v>
      </c>
      <c r="DB70" s="13">
        <f t="shared" si="36"/>
        <v>5.1153774067353969E-2</v>
      </c>
      <c r="DC70" s="24">
        <f t="shared" si="37"/>
        <v>3.9489099961875544E-2</v>
      </c>
      <c r="DD70" s="13">
        <f t="shared" si="38"/>
        <v>0</v>
      </c>
      <c r="DE70" s="13">
        <f t="shared" si="39"/>
        <v>6.8699335507578591E-2</v>
      </c>
      <c r="DF70" s="13">
        <f t="shared" si="40"/>
        <v>0.10452912687730855</v>
      </c>
      <c r="DG70" s="13">
        <f t="shared" si="41"/>
        <v>0.14434465549083117</v>
      </c>
      <c r="DH70" s="13">
        <f t="shared" si="42"/>
        <v>3.7741280657958065E-2</v>
      </c>
      <c r="DI70" s="13">
        <f t="shared" si="43"/>
        <v>0</v>
      </c>
      <c r="DJ70" s="13">
        <f t="shared" si="95"/>
        <v>0.68032236939409285</v>
      </c>
      <c r="DK70" s="12">
        <f t="shared" si="96"/>
        <v>2.3685986098797089</v>
      </c>
      <c r="DL70" s="26"/>
      <c r="DM70" s="23">
        <f t="shared" si="152"/>
        <v>0.3777704535709891</v>
      </c>
      <c r="DN70" s="13">
        <f t="shared" si="152"/>
        <v>6.3698917145851037E-3</v>
      </c>
      <c r="DO70" s="13">
        <f t="shared" si="152"/>
        <v>0.14487185080027157</v>
      </c>
      <c r="DP70" s="13">
        <f t="shared" si="152"/>
        <v>0</v>
      </c>
      <c r="DQ70" s="13">
        <f t="shared" si="152"/>
        <v>3.3751725328274744E-2</v>
      </c>
      <c r="DR70" s="13">
        <f t="shared" si="294"/>
        <v>2.1596641091481454E-2</v>
      </c>
      <c r="DS70" s="13">
        <f t="shared" si="294"/>
        <v>1.6671925668267206E-2</v>
      </c>
      <c r="DT70" s="13">
        <f t="shared" si="294"/>
        <v>0</v>
      </c>
      <c r="DU70" s="13">
        <f t="shared" si="294"/>
        <v>2.9004211697594273E-2</v>
      </c>
      <c r="DV70" s="13">
        <f t="shared" si="294"/>
        <v>4.4131211781221612E-2</v>
      </c>
      <c r="DW70" s="13">
        <f t="shared" si="294"/>
        <v>6.0940952548377045E-2</v>
      </c>
      <c r="DX70" s="13">
        <f t="shared" si="294"/>
        <v>1.5934012838027794E-2</v>
      </c>
      <c r="DY70" s="13">
        <f t="shared" si="294"/>
        <v>0</v>
      </c>
      <c r="DZ70" s="13">
        <f t="shared" si="294"/>
        <v>0.28722568972065871</v>
      </c>
      <c r="EA70" s="12">
        <f t="shared" si="45"/>
        <v>1</v>
      </c>
      <c r="EB70" s="26"/>
      <c r="EC70" s="30">
        <f t="shared" si="46"/>
        <v>1123</v>
      </c>
      <c r="ED70" s="14">
        <f t="shared" si="98"/>
        <v>1000000000</v>
      </c>
      <c r="EE70" s="29"/>
      <c r="EF70" s="184">
        <f t="shared" si="122"/>
        <v>-10.03313000890472</v>
      </c>
      <c r="EG70" s="13">
        <f t="shared" si="99"/>
        <v>2.6</v>
      </c>
      <c r="EH70" s="13">
        <f t="shared" si="100"/>
        <v>2.3967186108637577</v>
      </c>
      <c r="EI70" s="12">
        <f t="shared" si="47"/>
        <v>7.2532938557435394</v>
      </c>
      <c r="EJ70" s="29"/>
      <c r="EK70" s="28">
        <f t="shared" si="101"/>
        <v>-0.95227638977689899</v>
      </c>
      <c r="EL70" s="24">
        <f t="shared" si="102"/>
        <v>-0.41349387311198393</v>
      </c>
      <c r="EM70" s="24">
        <f t="shared" si="103"/>
        <v>0.38586165141889639</v>
      </c>
      <c r="EN70" s="24">
        <f t="shared" si="104"/>
        <v>3.5611456952195031E-2</v>
      </c>
      <c r="EO70" s="24">
        <f t="shared" si="105"/>
        <v>1.3741095589006913E-2</v>
      </c>
      <c r="EP70" s="24">
        <f t="shared" si="106"/>
        <v>0.43557777989470098</v>
      </c>
      <c r="EQ70" s="24">
        <f t="shared" si="107"/>
        <v>-0.95195877105013538</v>
      </c>
      <c r="ER70" s="24">
        <f t="shared" si="48"/>
        <v>-23.099657304953226</v>
      </c>
      <c r="ES70" s="25">
        <f t="shared" si="49"/>
        <v>-10.030246333023547</v>
      </c>
      <c r="ET70" s="26"/>
      <c r="EU70" s="23">
        <f t="shared" si="123"/>
        <v>-0.77003521028505872</v>
      </c>
      <c r="EV70" s="12">
        <f t="shared" si="50"/>
        <v>0.14516076169383674</v>
      </c>
      <c r="EW70" s="26"/>
      <c r="EX70" s="27">
        <f t="shared" si="108"/>
        <v>0.99920630222183082</v>
      </c>
      <c r="EY70" s="26"/>
      <c r="EZ70" s="23">
        <f t="shared" si="281"/>
        <v>-9.1576126112573633</v>
      </c>
      <c r="FA70" s="13">
        <f t="shared" si="52"/>
        <v>16.537817198732441</v>
      </c>
      <c r="FB70" s="13">
        <f t="shared" si="282"/>
        <v>-29.266942087657817</v>
      </c>
      <c r="FC70" s="13">
        <f t="shared" si="283"/>
        <v>8.7581007084971674</v>
      </c>
      <c r="FD70" s="12">
        <f t="shared" si="55"/>
        <v>0.99984284184123373</v>
      </c>
      <c r="FE70" s="13"/>
      <c r="FF70" s="23">
        <f t="shared" si="284"/>
        <v>-7.6152095896801564</v>
      </c>
      <c r="FG70" s="13">
        <f t="shared" si="285"/>
        <v>15.006338835269048</v>
      </c>
      <c r="FH70" s="13">
        <f t="shared" si="286"/>
        <v>16.844649089315851</v>
      </c>
      <c r="FI70" s="24">
        <f t="shared" si="287"/>
        <v>0.99722345907398713</v>
      </c>
      <c r="FJ70" s="25">
        <f t="shared" si="288"/>
        <v>0.99995959977415894</v>
      </c>
      <c r="FK70" s="13"/>
      <c r="FL70" s="23">
        <f t="shared" si="110"/>
        <v>13.632709081663705</v>
      </c>
      <c r="FM70" s="13">
        <f t="shared" si="124"/>
        <v>-7.6300443275509124</v>
      </c>
      <c r="FN70" s="13">
        <f t="shared" si="289"/>
        <v>1.196493391405177</v>
      </c>
      <c r="FO70" s="13">
        <f t="shared" si="60"/>
        <v>0.94019667647487704</v>
      </c>
      <c r="FP70" s="23">
        <f t="shared" si="290"/>
        <v>0.22409802185931937</v>
      </c>
      <c r="FQ70" s="13">
        <f t="shared" si="291"/>
        <v>0.62621307306408536</v>
      </c>
      <c r="FR70" s="13">
        <f t="shared" si="292"/>
        <v>0.60522001651648694</v>
      </c>
      <c r="FS70" s="13">
        <f t="shared" si="115"/>
        <v>0.80116165543708506</v>
      </c>
      <c r="FT70" s="13">
        <f t="shared" si="293"/>
        <v>0.12614610734462417</v>
      </c>
      <c r="FU70" s="12">
        <f t="shared" si="117"/>
        <v>0.57210927023372271</v>
      </c>
      <c r="FV70" s="22"/>
      <c r="FW70" s="11">
        <f t="shared" si="141"/>
        <v>2.6</v>
      </c>
      <c r="FX70" s="10">
        <f t="shared" si="142"/>
        <v>2.3967186108637577</v>
      </c>
      <c r="FY70" s="10">
        <f t="shared" si="143"/>
        <v>7.2532938557435394</v>
      </c>
      <c r="FZ70" s="5">
        <f t="shared" si="144"/>
        <v>-10.03313000890472</v>
      </c>
      <c r="GA70" s="10">
        <f t="shared" si="145"/>
        <v>0.43557777989470098</v>
      </c>
      <c r="GB70" s="9">
        <f t="shared" si="275"/>
        <v>13.632709081663705</v>
      </c>
      <c r="GC70" s="8">
        <f t="shared" si="276"/>
        <v>-7.6300443275509124</v>
      </c>
      <c r="GD70" s="8">
        <f t="shared" si="120"/>
        <v>0.94019667647487704</v>
      </c>
      <c r="GE70" s="7">
        <f t="shared" si="121"/>
        <v>0.62621307306408536</v>
      </c>
      <c r="GF70" s="6">
        <f t="shared" si="277"/>
        <v>0.99722345907398713</v>
      </c>
      <c r="GG70" s="5">
        <f t="shared" si="278"/>
        <v>0.99995959977415894</v>
      </c>
      <c r="GH70" s="4">
        <f t="shared" si="279"/>
        <v>0.99984284184123373</v>
      </c>
      <c r="GI70" s="4">
        <f t="shared" si="149"/>
        <v>0.99920630222183082</v>
      </c>
      <c r="GJ70" s="4">
        <f t="shared" si="150"/>
        <v>0.14516076169383674</v>
      </c>
      <c r="GK70" s="1"/>
    </row>
    <row r="71" spans="1:193" x14ac:dyDescent="0.4">
      <c r="A71" s="32"/>
      <c r="B71" s="33"/>
      <c r="C71" s="33"/>
      <c r="D71" s="32"/>
      <c r="E71" s="32"/>
      <c r="F71" s="20" t="s">
        <v>84</v>
      </c>
      <c r="G71" s="19">
        <v>850</v>
      </c>
      <c r="H71" s="18">
        <v>1</v>
      </c>
      <c r="I71" s="17">
        <v>3</v>
      </c>
      <c r="J71" s="16">
        <v>52.63</v>
      </c>
      <c r="K71" s="16">
        <v>1.18</v>
      </c>
      <c r="L71" s="16">
        <v>17.13</v>
      </c>
      <c r="M71" s="16">
        <v>0</v>
      </c>
      <c r="N71" s="16">
        <f t="shared" si="153"/>
        <v>6.3739999999999997</v>
      </c>
      <c r="O71" s="16">
        <v>0</v>
      </c>
      <c r="P71" s="16">
        <v>2.71</v>
      </c>
      <c r="Q71" s="16">
        <v>5.74</v>
      </c>
      <c r="R71" s="16">
        <v>4.38</v>
      </c>
      <c r="S71" s="16">
        <v>1.74</v>
      </c>
      <c r="T71" s="16">
        <v>0</v>
      </c>
      <c r="U71" s="15">
        <v>6</v>
      </c>
      <c r="V71" s="16"/>
      <c r="W71" s="28">
        <f t="shared" si="71"/>
        <v>53.767725062318682</v>
      </c>
      <c r="X71" s="24">
        <f t="shared" si="155"/>
        <v>1.2055085611540193</v>
      </c>
      <c r="Y71" s="24">
        <f t="shared" si="155"/>
        <v>17.500306485227416</v>
      </c>
      <c r="Z71" s="24">
        <f t="shared" si="154"/>
        <v>0</v>
      </c>
      <c r="AA71" s="24">
        <f t="shared" si="154"/>
        <v>6.5117894650811179</v>
      </c>
      <c r="AB71" s="24">
        <f t="shared" si="154"/>
        <v>0</v>
      </c>
      <c r="AC71" s="24">
        <f t="shared" si="154"/>
        <v>2.7685832209554171</v>
      </c>
      <c r="AD71" s="24">
        <f t="shared" si="154"/>
        <v>5.8640840178170093</v>
      </c>
      <c r="AE71" s="24">
        <f t="shared" si="154"/>
        <v>4.4746843202157667</v>
      </c>
      <c r="AF71" s="24">
        <f t="shared" si="154"/>
        <v>1.777614318989825</v>
      </c>
      <c r="AG71" s="24">
        <f t="shared" si="154"/>
        <v>0</v>
      </c>
      <c r="AH71" s="24">
        <f t="shared" si="154"/>
        <v>6.1297045482407766</v>
      </c>
      <c r="AI71" s="14">
        <f t="shared" si="72"/>
        <v>100.00000000000004</v>
      </c>
      <c r="AJ71" s="26"/>
      <c r="AK71" s="50">
        <f t="shared" si="73"/>
        <v>0.89478657118187188</v>
      </c>
      <c r="AL71" s="47">
        <f t="shared" si="74"/>
        <v>1.5087716660250553E-2</v>
      </c>
      <c r="AM71" s="47">
        <f t="shared" si="75"/>
        <v>0.17163894159697349</v>
      </c>
      <c r="AN71" s="49">
        <f t="shared" si="76"/>
        <v>0</v>
      </c>
      <c r="AO71" s="49">
        <f t="shared" si="77"/>
        <v>9.0630333543230593E-2</v>
      </c>
      <c r="AP71" s="47">
        <f t="shared" si="78"/>
        <v>0</v>
      </c>
      <c r="AQ71" s="47">
        <f t="shared" si="79"/>
        <v>6.8665258456235542E-2</v>
      </c>
      <c r="AR71" s="47">
        <f t="shared" si="80"/>
        <v>0.10456640545322771</v>
      </c>
      <c r="AS71" s="47">
        <f t="shared" si="81"/>
        <v>7.2195616654013667E-2</v>
      </c>
      <c r="AT71" s="47">
        <f t="shared" si="82"/>
        <v>1.8870640328979033E-2</v>
      </c>
      <c r="AU71" s="47">
        <f t="shared" si="83"/>
        <v>0</v>
      </c>
      <c r="AV71" s="47">
        <f t="shared" si="84"/>
        <v>0.34016118469704643</v>
      </c>
      <c r="AW71" s="47">
        <f t="shared" si="85"/>
        <v>1.4364414838747823</v>
      </c>
      <c r="AX71" s="47">
        <f t="shared" si="86"/>
        <v>4.7095284443281135E-2</v>
      </c>
      <c r="AY71" s="46">
        <f t="shared" si="87"/>
        <v>2.1774439421495307E-2</v>
      </c>
      <c r="AZ71" s="26"/>
      <c r="BA71" s="23">
        <f t="shared" si="88"/>
        <v>0.62291891540767586</v>
      </c>
      <c r="BB71" s="13">
        <f t="shared" si="6"/>
        <v>1.0503537268745283E-2</v>
      </c>
      <c r="BC71" s="13">
        <f t="shared" si="7"/>
        <v>0.11948898964821014</v>
      </c>
      <c r="BD71" s="13">
        <f t="shared" si="8"/>
        <v>0</v>
      </c>
      <c r="BE71" s="13">
        <f t="shared" si="9"/>
        <v>6.309364813020886E-2</v>
      </c>
      <c r="BF71" s="13">
        <f t="shared" si="10"/>
        <v>3.2786079330041497E-2</v>
      </c>
      <c r="BG71" s="13">
        <f t="shared" si="11"/>
        <v>1.5158598290240851E-2</v>
      </c>
      <c r="BH71" s="13">
        <f t="shared" si="12"/>
        <v>0</v>
      </c>
      <c r="BI71" s="13">
        <f t="shared" si="13"/>
        <v>4.7802335999801326E-2</v>
      </c>
      <c r="BJ71" s="13">
        <f t="shared" si="14"/>
        <v>7.2795450860386732E-2</v>
      </c>
      <c r="BK71" s="13">
        <f t="shared" si="15"/>
        <v>5.0260047112581939E-2</v>
      </c>
      <c r="BL71" s="13">
        <f t="shared" si="16"/>
        <v>1.3137075572389989E-2</v>
      </c>
      <c r="BM71" s="13">
        <f t="shared" si="17"/>
        <v>0</v>
      </c>
      <c r="BN71" s="13">
        <f t="shared" si="18"/>
        <v>0.23680824350704913</v>
      </c>
      <c r="BO71" s="12">
        <f t="shared" si="89"/>
        <v>1.0000000000000002</v>
      </c>
      <c r="BP71" s="13"/>
      <c r="BQ71" s="23">
        <f t="shared" si="90"/>
        <v>1.7895731423637438</v>
      </c>
      <c r="BR71" s="13">
        <f t="shared" si="19"/>
        <v>3.0175433320501106E-2</v>
      </c>
      <c r="BS71" s="13">
        <f t="shared" si="20"/>
        <v>0.51471489662433578</v>
      </c>
      <c r="BT71" s="13">
        <f t="shared" si="21"/>
        <v>0</v>
      </c>
      <c r="BU71" s="13">
        <f t="shared" si="22"/>
        <v>9.0630333543230593E-2</v>
      </c>
      <c r="BV71" s="13">
        <f t="shared" si="91"/>
        <v>4.7095284443281135E-2</v>
      </c>
      <c r="BW71" s="24">
        <f t="shared" si="92"/>
        <v>6.5323318264485924E-2</v>
      </c>
      <c r="BX71" s="13">
        <f t="shared" si="23"/>
        <v>0</v>
      </c>
      <c r="BY71" s="13">
        <f t="shared" si="24"/>
        <v>6.8699335507578591E-2</v>
      </c>
      <c r="BZ71" s="13">
        <f t="shared" si="25"/>
        <v>0.10452912687730855</v>
      </c>
      <c r="CA71" s="13">
        <f t="shared" si="26"/>
        <v>7.2172327745415585E-2</v>
      </c>
      <c r="CB71" s="13">
        <f t="shared" si="27"/>
        <v>1.8870640328979033E-2</v>
      </c>
      <c r="CC71" s="13">
        <f t="shared" si="28"/>
        <v>0</v>
      </c>
      <c r="CD71" s="13">
        <f t="shared" si="93"/>
        <v>0.34016118469704643</v>
      </c>
      <c r="CE71" s="12">
        <f t="shared" si="94"/>
        <v>3.0295264210081392</v>
      </c>
      <c r="CF71" s="13"/>
      <c r="CG71" s="23">
        <f t="shared" si="280"/>
        <v>0.59071052490383147</v>
      </c>
      <c r="CH71" s="13">
        <f t="shared" si="280"/>
        <v>9.9604456694124457E-3</v>
      </c>
      <c r="CI71" s="13">
        <f t="shared" si="280"/>
        <v>0.16989945790043762</v>
      </c>
      <c r="CJ71" s="13">
        <f t="shared" si="280"/>
        <v>0</v>
      </c>
      <c r="CK71" s="13">
        <f t="shared" si="280"/>
        <v>2.991567689086911E-2</v>
      </c>
      <c r="CL71" s="13">
        <f t="shared" si="280"/>
        <v>1.5545427865127904E-2</v>
      </c>
      <c r="CM71" s="13">
        <f t="shared" si="280"/>
        <v>2.1562221016296072E-2</v>
      </c>
      <c r="CN71" s="13">
        <f t="shared" si="280"/>
        <v>0</v>
      </c>
      <c r="CO71" s="13">
        <f t="shared" si="280"/>
        <v>2.2676592298778313E-2</v>
      </c>
      <c r="CP71" s="13">
        <f t="shared" si="156"/>
        <v>3.4503454451644711E-2</v>
      </c>
      <c r="CQ71" s="13">
        <f t="shared" si="156"/>
        <v>2.3822973533070793E-2</v>
      </c>
      <c r="CR71" s="13">
        <f t="shared" si="156"/>
        <v>6.2289076596663004E-3</v>
      </c>
      <c r="CS71" s="13">
        <f t="shared" si="156"/>
        <v>0</v>
      </c>
      <c r="CT71" s="13">
        <f t="shared" si="156"/>
        <v>0.11228196669228935</v>
      </c>
      <c r="CU71" s="12">
        <f t="shared" si="30"/>
        <v>1.0000000000000002</v>
      </c>
      <c r="CV71" s="26"/>
      <c r="CW71" s="23">
        <f t="shared" si="31"/>
        <v>0.89478657118187188</v>
      </c>
      <c r="CX71" s="13">
        <f t="shared" si="32"/>
        <v>1.5087716660250553E-2</v>
      </c>
      <c r="CY71" s="13">
        <f t="shared" si="33"/>
        <v>0.34314326441622384</v>
      </c>
      <c r="CZ71" s="13">
        <f t="shared" si="34"/>
        <v>0</v>
      </c>
      <c r="DA71" s="13">
        <f t="shared" si="35"/>
        <v>7.9944289693593323E-2</v>
      </c>
      <c r="DB71" s="13">
        <f t="shared" si="36"/>
        <v>4.7095284443281135E-2</v>
      </c>
      <c r="DC71" s="24">
        <f t="shared" si="37"/>
        <v>4.3548878842990614E-2</v>
      </c>
      <c r="DD71" s="13">
        <f t="shared" si="38"/>
        <v>0</v>
      </c>
      <c r="DE71" s="13">
        <f t="shared" si="39"/>
        <v>6.8699335507578591E-2</v>
      </c>
      <c r="DF71" s="13">
        <f t="shared" si="40"/>
        <v>0.10452912687730855</v>
      </c>
      <c r="DG71" s="13">
        <f t="shared" si="41"/>
        <v>0.14434465549083117</v>
      </c>
      <c r="DH71" s="13">
        <f t="shared" si="42"/>
        <v>3.7741280657958065E-2</v>
      </c>
      <c r="DI71" s="13">
        <f t="shared" si="43"/>
        <v>0</v>
      </c>
      <c r="DJ71" s="13">
        <f t="shared" si="95"/>
        <v>0.68032236939409285</v>
      </c>
      <c r="DK71" s="12">
        <f t="shared" si="96"/>
        <v>2.3685986098797089</v>
      </c>
      <c r="DL71" s="26"/>
      <c r="DM71" s="23">
        <f t="shared" si="152"/>
        <v>0.3777704535709891</v>
      </c>
      <c r="DN71" s="13">
        <f t="shared" si="152"/>
        <v>6.3698917145851037E-3</v>
      </c>
      <c r="DO71" s="13">
        <f t="shared" si="152"/>
        <v>0.14487185080027157</v>
      </c>
      <c r="DP71" s="13">
        <f t="shared" si="152"/>
        <v>0</v>
      </c>
      <c r="DQ71" s="13">
        <f t="shared" si="152"/>
        <v>3.3751725328274744E-2</v>
      </c>
      <c r="DR71" s="13">
        <f t="shared" si="294"/>
        <v>1.9883185038968212E-2</v>
      </c>
      <c r="DS71" s="13">
        <f t="shared" si="294"/>
        <v>1.8385926032947506E-2</v>
      </c>
      <c r="DT71" s="13">
        <f t="shared" si="294"/>
        <v>0</v>
      </c>
      <c r="DU71" s="13">
        <f t="shared" si="294"/>
        <v>2.9004211697594273E-2</v>
      </c>
      <c r="DV71" s="13">
        <f t="shared" si="294"/>
        <v>4.4131211781221612E-2</v>
      </c>
      <c r="DW71" s="13">
        <f t="shared" si="294"/>
        <v>6.0940952548377045E-2</v>
      </c>
      <c r="DX71" s="13">
        <f t="shared" si="294"/>
        <v>1.5934012838027794E-2</v>
      </c>
      <c r="DY71" s="13">
        <f t="shared" si="294"/>
        <v>0</v>
      </c>
      <c r="DZ71" s="13">
        <f t="shared" si="294"/>
        <v>0.28722568972065871</v>
      </c>
      <c r="EA71" s="12">
        <f t="shared" si="45"/>
        <v>1</v>
      </c>
      <c r="EB71" s="26"/>
      <c r="EC71" s="30">
        <f t="shared" si="46"/>
        <v>1123</v>
      </c>
      <c r="ED71" s="14">
        <f t="shared" si="98"/>
        <v>1000000000</v>
      </c>
      <c r="EE71" s="29"/>
      <c r="EF71" s="184">
        <f t="shared" si="122"/>
        <v>-9.63313000890472</v>
      </c>
      <c r="EG71" s="13">
        <f t="shared" si="99"/>
        <v>3</v>
      </c>
      <c r="EH71" s="13">
        <f t="shared" si="100"/>
        <v>2.7967186108637581</v>
      </c>
      <c r="EI71" s="12">
        <f t="shared" si="47"/>
        <v>7.6532938557435397</v>
      </c>
      <c r="EJ71" s="29"/>
      <c r="EK71" s="28">
        <f t="shared" si="101"/>
        <v>-0.77175371848616592</v>
      </c>
      <c r="EL71" s="24">
        <f t="shared" si="102"/>
        <v>-0.33510799760580373</v>
      </c>
      <c r="EM71" s="24">
        <f t="shared" si="103"/>
        <v>0.46220178532290834</v>
      </c>
      <c r="EN71" s="24">
        <f t="shared" si="104"/>
        <v>3.2786079330041497E-2</v>
      </c>
      <c r="EO71" s="24">
        <f t="shared" si="105"/>
        <v>1.5153784400083683E-2</v>
      </c>
      <c r="EP71" s="24">
        <f t="shared" si="106"/>
        <v>0.48035847820402516</v>
      </c>
      <c r="EQ71" s="24">
        <f t="shared" si="107"/>
        <v>-0.77143609975940208</v>
      </c>
      <c r="ER71" s="24">
        <f t="shared" si="48"/>
        <v>-22.178623267755608</v>
      </c>
      <c r="ES71" s="25">
        <f t="shared" si="49"/>
        <v>-9.6303183967675245</v>
      </c>
      <c r="ET71" s="26"/>
      <c r="EU71" s="23">
        <f t="shared" si="123"/>
        <v>-0.1428352102850603</v>
      </c>
      <c r="EV71" s="12">
        <f t="shared" si="50"/>
        <v>0.41851067275318532</v>
      </c>
      <c r="EW71" s="26"/>
      <c r="EX71" s="27">
        <f t="shared" si="108"/>
        <v>0.99987412330575753</v>
      </c>
      <c r="EY71" s="26"/>
      <c r="EZ71" s="23">
        <f t="shared" si="281"/>
        <v>-9.1576126112573633</v>
      </c>
      <c r="FA71" s="13">
        <f t="shared" si="52"/>
        <v>16.51264175361537</v>
      </c>
      <c r="FB71" s="13">
        <f t="shared" si="282"/>
        <v>-29.266942087657817</v>
      </c>
      <c r="FC71" s="13">
        <f t="shared" si="283"/>
        <v>10.574993337775332</v>
      </c>
      <c r="FD71" s="12">
        <f t="shared" si="55"/>
        <v>0.99997445372090932</v>
      </c>
      <c r="FE71" s="13"/>
      <c r="FF71" s="23">
        <f t="shared" si="284"/>
        <v>-7.6453152160211202</v>
      </c>
      <c r="FG71" s="13">
        <f t="shared" si="285"/>
        <v>15.006338835269048</v>
      </c>
      <c r="FH71" s="13">
        <f t="shared" si="286"/>
        <v>16.844649089315851</v>
      </c>
      <c r="FI71" s="24">
        <f t="shared" si="287"/>
        <v>0.99958844565232885</v>
      </c>
      <c r="FJ71" s="25">
        <f t="shared" si="288"/>
        <v>0.99999402561621131</v>
      </c>
      <c r="FK71" s="13"/>
      <c r="FL71" s="23">
        <f t="shared" si="110"/>
        <v>13.632709081663705</v>
      </c>
      <c r="FM71" s="13">
        <f t="shared" si="124"/>
        <v>-7.6417047856548734</v>
      </c>
      <c r="FN71" s="13">
        <f t="shared" si="289"/>
        <v>2.0081538495091387</v>
      </c>
      <c r="FO71" s="13">
        <f t="shared" si="60"/>
        <v>0.99028137640474911</v>
      </c>
      <c r="FP71" s="23">
        <f t="shared" si="290"/>
        <v>1.0357584799632811</v>
      </c>
      <c r="FQ71" s="13">
        <f t="shared" si="291"/>
        <v>0.91567028352539004</v>
      </c>
      <c r="FR71" s="13">
        <f t="shared" si="292"/>
        <v>1.4168804746204486</v>
      </c>
      <c r="FS71" s="13">
        <f t="shared" si="115"/>
        <v>0.96311926272400528</v>
      </c>
      <c r="FT71" s="13">
        <f t="shared" si="293"/>
        <v>0.93780656544858587</v>
      </c>
      <c r="FU71" s="12">
        <f t="shared" si="117"/>
        <v>0.89654200094196124</v>
      </c>
      <c r="FV71" s="22"/>
      <c r="FW71" s="11">
        <f t="shared" si="141"/>
        <v>3</v>
      </c>
      <c r="FX71" s="10">
        <f t="shared" si="142"/>
        <v>2.7967186108637581</v>
      </c>
      <c r="FY71" s="10">
        <f t="shared" si="143"/>
        <v>7.6532938557435397</v>
      </c>
      <c r="FZ71" s="5">
        <f t="shared" si="144"/>
        <v>-9.63313000890472</v>
      </c>
      <c r="GA71" s="10">
        <f t="shared" si="145"/>
        <v>0.48035847820402516</v>
      </c>
      <c r="GB71" s="9">
        <f t="shared" si="275"/>
        <v>13.632709081663705</v>
      </c>
      <c r="GC71" s="8">
        <f t="shared" si="276"/>
        <v>-7.6417047856548734</v>
      </c>
      <c r="GD71" s="8">
        <f t="shared" si="120"/>
        <v>0.99028137640474911</v>
      </c>
      <c r="GE71" s="7">
        <f t="shared" si="121"/>
        <v>0.91567028352539004</v>
      </c>
      <c r="GF71" s="6">
        <f t="shared" si="277"/>
        <v>0.99958844565232885</v>
      </c>
      <c r="GG71" s="5">
        <f t="shared" si="278"/>
        <v>0.99999402561621131</v>
      </c>
      <c r="GH71" s="4">
        <f t="shared" si="279"/>
        <v>0.99997445372090932</v>
      </c>
      <c r="GI71" s="4">
        <f t="shared" si="149"/>
        <v>0.99987412330575753</v>
      </c>
      <c r="GJ71" s="4">
        <f t="shared" si="150"/>
        <v>0.41851067275318532</v>
      </c>
      <c r="GK71" s="1"/>
    </row>
    <row r="72" spans="1:193" x14ac:dyDescent="0.4">
      <c r="A72" s="32"/>
      <c r="B72" s="33"/>
      <c r="C72" s="33"/>
      <c r="D72" s="32"/>
      <c r="E72" s="32"/>
      <c r="F72" s="20" t="s">
        <v>84</v>
      </c>
      <c r="G72" s="19">
        <v>850</v>
      </c>
      <c r="H72" s="18">
        <v>1</v>
      </c>
      <c r="I72" s="17">
        <v>3.4</v>
      </c>
      <c r="J72" s="16">
        <v>52.63</v>
      </c>
      <c r="K72" s="16">
        <v>1.18</v>
      </c>
      <c r="L72" s="16">
        <v>17.13</v>
      </c>
      <c r="M72" s="16">
        <v>0</v>
      </c>
      <c r="N72" s="16">
        <f t="shared" si="153"/>
        <v>6.3739999999999997</v>
      </c>
      <c r="O72" s="16">
        <v>0</v>
      </c>
      <c r="P72" s="16">
        <v>2.71</v>
      </c>
      <c r="Q72" s="16">
        <v>5.74</v>
      </c>
      <c r="R72" s="16">
        <v>4.38</v>
      </c>
      <c r="S72" s="16">
        <v>1.74</v>
      </c>
      <c r="T72" s="16">
        <v>0</v>
      </c>
      <c r="U72" s="15">
        <v>6</v>
      </c>
      <c r="V72" s="16"/>
      <c r="W72" s="28">
        <f t="shared" si="71"/>
        <v>53.767725062318682</v>
      </c>
      <c r="X72" s="24">
        <f t="shared" si="155"/>
        <v>1.2055085611540193</v>
      </c>
      <c r="Y72" s="24">
        <f t="shared" si="155"/>
        <v>17.500306485227416</v>
      </c>
      <c r="Z72" s="24">
        <f t="shared" si="154"/>
        <v>0</v>
      </c>
      <c r="AA72" s="24">
        <f t="shared" si="154"/>
        <v>6.5117894650811179</v>
      </c>
      <c r="AB72" s="24">
        <f t="shared" si="154"/>
        <v>0</v>
      </c>
      <c r="AC72" s="24">
        <f t="shared" si="154"/>
        <v>2.7685832209554171</v>
      </c>
      <c r="AD72" s="24">
        <f t="shared" si="154"/>
        <v>5.8640840178170093</v>
      </c>
      <c r="AE72" s="24">
        <f t="shared" si="154"/>
        <v>4.4746843202157667</v>
      </c>
      <c r="AF72" s="24">
        <f t="shared" si="154"/>
        <v>1.777614318989825</v>
      </c>
      <c r="AG72" s="24">
        <f t="shared" si="154"/>
        <v>0</v>
      </c>
      <c r="AH72" s="24">
        <f t="shared" si="154"/>
        <v>6.1297045482407766</v>
      </c>
      <c r="AI72" s="14">
        <f t="shared" si="72"/>
        <v>100.00000000000004</v>
      </c>
      <c r="AJ72" s="26"/>
      <c r="AK72" s="50">
        <f t="shared" si="73"/>
        <v>0.89478657118187188</v>
      </c>
      <c r="AL72" s="47">
        <f t="shared" si="74"/>
        <v>1.5087716660250553E-2</v>
      </c>
      <c r="AM72" s="47">
        <f t="shared" si="75"/>
        <v>0.17163894159697349</v>
      </c>
      <c r="AN72" s="49">
        <f t="shared" si="76"/>
        <v>0</v>
      </c>
      <c r="AO72" s="49">
        <f t="shared" si="77"/>
        <v>9.0630333543230593E-2</v>
      </c>
      <c r="AP72" s="47">
        <f t="shared" si="78"/>
        <v>0</v>
      </c>
      <c r="AQ72" s="47">
        <f t="shared" si="79"/>
        <v>6.8665258456235542E-2</v>
      </c>
      <c r="AR72" s="47">
        <f t="shared" si="80"/>
        <v>0.10456640545322771</v>
      </c>
      <c r="AS72" s="47">
        <f t="shared" si="81"/>
        <v>7.2195616654013667E-2</v>
      </c>
      <c r="AT72" s="47">
        <f t="shared" si="82"/>
        <v>1.8870640328979033E-2</v>
      </c>
      <c r="AU72" s="47">
        <f t="shared" si="83"/>
        <v>0</v>
      </c>
      <c r="AV72" s="47">
        <f t="shared" si="84"/>
        <v>0.34016118469704643</v>
      </c>
      <c r="AW72" s="47">
        <f t="shared" si="85"/>
        <v>1.4364414838747823</v>
      </c>
      <c r="AX72" s="47">
        <f t="shared" si="86"/>
        <v>4.3007990169967335E-2</v>
      </c>
      <c r="AY72" s="46">
        <f t="shared" si="87"/>
        <v>2.3818735761847874E-2</v>
      </c>
      <c r="AZ72" s="26"/>
      <c r="BA72" s="23">
        <f t="shared" si="88"/>
        <v>0.62291891540767586</v>
      </c>
      <c r="BB72" s="13">
        <f t="shared" si="6"/>
        <v>1.0503537268745283E-2</v>
      </c>
      <c r="BC72" s="13">
        <f t="shared" si="7"/>
        <v>0.11948898964821014</v>
      </c>
      <c r="BD72" s="13">
        <f t="shared" si="8"/>
        <v>0</v>
      </c>
      <c r="BE72" s="13">
        <f t="shared" si="9"/>
        <v>6.309364813020886E-2</v>
      </c>
      <c r="BF72" s="13">
        <f t="shared" si="10"/>
        <v>2.994064892497663E-2</v>
      </c>
      <c r="BG72" s="13">
        <f t="shared" si="11"/>
        <v>1.6581765445534993E-2</v>
      </c>
      <c r="BH72" s="13">
        <f t="shared" si="12"/>
        <v>0</v>
      </c>
      <c r="BI72" s="13">
        <f t="shared" si="13"/>
        <v>4.7802335999801326E-2</v>
      </c>
      <c r="BJ72" s="13">
        <f t="shared" si="14"/>
        <v>7.2795450860386732E-2</v>
      </c>
      <c r="BK72" s="13">
        <f t="shared" si="15"/>
        <v>5.0260047112581939E-2</v>
      </c>
      <c r="BL72" s="13">
        <f t="shared" si="16"/>
        <v>1.3137075572389989E-2</v>
      </c>
      <c r="BM72" s="13">
        <f t="shared" si="17"/>
        <v>0</v>
      </c>
      <c r="BN72" s="13">
        <f t="shared" si="18"/>
        <v>0.23680824350704913</v>
      </c>
      <c r="BO72" s="12">
        <f t="shared" si="89"/>
        <v>1.0000000000000002</v>
      </c>
      <c r="BP72" s="13"/>
      <c r="BQ72" s="23">
        <f t="shared" si="90"/>
        <v>1.7895731423637438</v>
      </c>
      <c r="BR72" s="13">
        <f t="shared" si="19"/>
        <v>3.0175433320501106E-2</v>
      </c>
      <c r="BS72" s="13">
        <f t="shared" si="20"/>
        <v>0.51471489662433578</v>
      </c>
      <c r="BT72" s="13">
        <f t="shared" si="21"/>
        <v>0</v>
      </c>
      <c r="BU72" s="13">
        <f t="shared" si="22"/>
        <v>9.0630333543230593E-2</v>
      </c>
      <c r="BV72" s="13">
        <f t="shared" si="91"/>
        <v>4.3007990169967335E-2</v>
      </c>
      <c r="BW72" s="24">
        <f t="shared" si="92"/>
        <v>7.1456207285543624E-2</v>
      </c>
      <c r="BX72" s="13">
        <f t="shared" si="23"/>
        <v>0</v>
      </c>
      <c r="BY72" s="13">
        <f t="shared" si="24"/>
        <v>6.8699335507578591E-2</v>
      </c>
      <c r="BZ72" s="13">
        <f t="shared" si="25"/>
        <v>0.10452912687730855</v>
      </c>
      <c r="CA72" s="13">
        <f t="shared" si="26"/>
        <v>7.2172327745415585E-2</v>
      </c>
      <c r="CB72" s="13">
        <f t="shared" si="27"/>
        <v>1.8870640328979033E-2</v>
      </c>
      <c r="CC72" s="13">
        <f t="shared" si="28"/>
        <v>0</v>
      </c>
      <c r="CD72" s="13">
        <f t="shared" si="93"/>
        <v>0.34016118469704643</v>
      </c>
      <c r="CE72" s="12">
        <f t="shared" si="94"/>
        <v>3.0295264210081392</v>
      </c>
      <c r="CF72" s="13"/>
      <c r="CG72" s="23">
        <f t="shared" si="280"/>
        <v>0.59071052490383147</v>
      </c>
      <c r="CH72" s="13">
        <f t="shared" si="280"/>
        <v>9.9604456694124457E-3</v>
      </c>
      <c r="CI72" s="13">
        <f t="shared" si="280"/>
        <v>0.16989945790043762</v>
      </c>
      <c r="CJ72" s="13">
        <f t="shared" si="280"/>
        <v>0</v>
      </c>
      <c r="CK72" s="13">
        <f t="shared" si="280"/>
        <v>2.991567689086911E-2</v>
      </c>
      <c r="CL72" s="13">
        <f t="shared" si="280"/>
        <v>1.4196274992596207E-2</v>
      </c>
      <c r="CM72" s="13">
        <f t="shared" si="280"/>
        <v>2.3586593201509382E-2</v>
      </c>
      <c r="CN72" s="13">
        <f t="shared" si="280"/>
        <v>0</v>
      </c>
      <c r="CO72" s="13">
        <f t="shared" si="280"/>
        <v>2.2676592298778313E-2</v>
      </c>
      <c r="CP72" s="13">
        <f t="shared" si="156"/>
        <v>3.4503454451644711E-2</v>
      </c>
      <c r="CQ72" s="13">
        <f t="shared" si="156"/>
        <v>2.3822973533070793E-2</v>
      </c>
      <c r="CR72" s="13">
        <f t="shared" si="156"/>
        <v>6.2289076596663004E-3</v>
      </c>
      <c r="CS72" s="13">
        <f t="shared" si="156"/>
        <v>0</v>
      </c>
      <c r="CT72" s="13">
        <f t="shared" si="156"/>
        <v>0.11228196669228935</v>
      </c>
      <c r="CU72" s="12">
        <f t="shared" si="30"/>
        <v>1.0000000000000002</v>
      </c>
      <c r="CV72" s="26"/>
      <c r="CW72" s="23">
        <f t="shared" si="31"/>
        <v>0.89478657118187188</v>
      </c>
      <c r="CX72" s="13">
        <f t="shared" si="32"/>
        <v>1.5087716660250553E-2</v>
      </c>
      <c r="CY72" s="13">
        <f t="shared" si="33"/>
        <v>0.34314326441622384</v>
      </c>
      <c r="CZ72" s="13">
        <f t="shared" si="34"/>
        <v>0</v>
      </c>
      <c r="DA72" s="13">
        <f t="shared" si="35"/>
        <v>7.9944289693593323E-2</v>
      </c>
      <c r="DB72" s="13">
        <f t="shared" si="36"/>
        <v>4.3007990169967335E-2</v>
      </c>
      <c r="DC72" s="24">
        <f t="shared" si="37"/>
        <v>4.7637471523695747E-2</v>
      </c>
      <c r="DD72" s="13">
        <f t="shared" si="38"/>
        <v>0</v>
      </c>
      <c r="DE72" s="13">
        <f t="shared" si="39"/>
        <v>6.8699335507578591E-2</v>
      </c>
      <c r="DF72" s="13">
        <f t="shared" si="40"/>
        <v>0.10452912687730855</v>
      </c>
      <c r="DG72" s="13">
        <f t="shared" si="41"/>
        <v>0.14434465549083117</v>
      </c>
      <c r="DH72" s="13">
        <f t="shared" si="42"/>
        <v>3.7741280657958065E-2</v>
      </c>
      <c r="DI72" s="13">
        <f t="shared" si="43"/>
        <v>0</v>
      </c>
      <c r="DJ72" s="13">
        <f t="shared" si="95"/>
        <v>0.68032236939409285</v>
      </c>
      <c r="DK72" s="12">
        <f t="shared" si="96"/>
        <v>2.3685986098797089</v>
      </c>
      <c r="DL72" s="26"/>
      <c r="DM72" s="23">
        <f t="shared" si="152"/>
        <v>0.3777704535709891</v>
      </c>
      <c r="DN72" s="13">
        <f t="shared" si="152"/>
        <v>6.3698917145851037E-3</v>
      </c>
      <c r="DO72" s="13">
        <f t="shared" si="152"/>
        <v>0.14487185080027157</v>
      </c>
      <c r="DP72" s="13">
        <f t="shared" si="152"/>
        <v>0</v>
      </c>
      <c r="DQ72" s="13">
        <f t="shared" si="152"/>
        <v>3.3751725328274744E-2</v>
      </c>
      <c r="DR72" s="13">
        <f t="shared" si="294"/>
        <v>1.8157567935139306E-2</v>
      </c>
      <c r="DS72" s="13">
        <f t="shared" si="294"/>
        <v>2.0112091312134584E-2</v>
      </c>
      <c r="DT72" s="13">
        <f t="shared" si="294"/>
        <v>0</v>
      </c>
      <c r="DU72" s="13">
        <f t="shared" si="294"/>
        <v>2.9004211697594273E-2</v>
      </c>
      <c r="DV72" s="13">
        <f t="shared" si="294"/>
        <v>4.4131211781221612E-2</v>
      </c>
      <c r="DW72" s="13">
        <f t="shared" si="294"/>
        <v>6.0940952548377045E-2</v>
      </c>
      <c r="DX72" s="13">
        <f t="shared" si="294"/>
        <v>1.5934012838027794E-2</v>
      </c>
      <c r="DY72" s="13">
        <f t="shared" si="294"/>
        <v>0</v>
      </c>
      <c r="DZ72" s="13">
        <f t="shared" si="294"/>
        <v>0.28722568972065871</v>
      </c>
      <c r="EA72" s="12">
        <f t="shared" si="45"/>
        <v>1</v>
      </c>
      <c r="EB72" s="26"/>
      <c r="EC72" s="30">
        <f t="shared" si="46"/>
        <v>1123</v>
      </c>
      <c r="ED72" s="14">
        <f t="shared" si="98"/>
        <v>1000000000</v>
      </c>
      <c r="EE72" s="29"/>
      <c r="EF72" s="184">
        <f t="shared" si="122"/>
        <v>-9.2331300089047197</v>
      </c>
      <c r="EG72" s="13">
        <f t="shared" si="99"/>
        <v>3.4</v>
      </c>
      <c r="EH72" s="13">
        <f t="shared" si="100"/>
        <v>3.1967186108637584</v>
      </c>
      <c r="EI72" s="12">
        <f t="shared" si="47"/>
        <v>8.0532938557435401</v>
      </c>
      <c r="EJ72" s="29"/>
      <c r="EK72" s="28">
        <f t="shared" si="101"/>
        <v>-0.59123104719543285</v>
      </c>
      <c r="EL72" s="24">
        <f t="shared" si="102"/>
        <v>-0.25672212209962347</v>
      </c>
      <c r="EM72" s="24">
        <f t="shared" si="103"/>
        <v>0.55364530154815461</v>
      </c>
      <c r="EN72" s="24">
        <f t="shared" si="104"/>
        <v>2.9940648924976627E-2</v>
      </c>
      <c r="EO72" s="24">
        <f t="shared" si="105"/>
        <v>1.6576499602616115E-2</v>
      </c>
      <c r="EP72" s="24">
        <f t="shared" si="106"/>
        <v>0.52545700221380565</v>
      </c>
      <c r="EQ72" s="24">
        <f t="shared" si="107"/>
        <v>-0.59091342846866912</v>
      </c>
      <c r="ER72" s="24">
        <f t="shared" si="48"/>
        <v>-21.25758923055799</v>
      </c>
      <c r="ES72" s="25">
        <f t="shared" si="49"/>
        <v>-9.2303904605115026</v>
      </c>
      <c r="ET72" s="26"/>
      <c r="EU72" s="23">
        <f t="shared" si="123"/>
        <v>0.48436478971494168</v>
      </c>
      <c r="EV72" s="12">
        <f t="shared" si="50"/>
        <v>0.75311422781105986</v>
      </c>
      <c r="EW72" s="26"/>
      <c r="EX72" s="27">
        <f t="shared" si="108"/>
        <v>0.99998004777494953</v>
      </c>
      <c r="EY72" s="26"/>
      <c r="EZ72" s="23">
        <f t="shared" si="281"/>
        <v>-9.1576126112573633</v>
      </c>
      <c r="FA72" s="13">
        <f t="shared" si="52"/>
        <v>16.487287628759471</v>
      </c>
      <c r="FB72" s="13">
        <f t="shared" si="282"/>
        <v>-29.266942087657817</v>
      </c>
      <c r="FC72" s="13">
        <f t="shared" si="283"/>
        <v>12.391707287314667</v>
      </c>
      <c r="FD72" s="12">
        <f t="shared" si="55"/>
        <v>0.99999584713225798</v>
      </c>
      <c r="FE72" s="13"/>
      <c r="FF72" s="23">
        <f t="shared" si="284"/>
        <v>-7.6756345134780064</v>
      </c>
      <c r="FG72" s="13">
        <f t="shared" si="285"/>
        <v>15.006338835269048</v>
      </c>
      <c r="FH72" s="13">
        <f t="shared" si="286"/>
        <v>16.844649089315851</v>
      </c>
      <c r="FI72" s="24">
        <f t="shared" si="287"/>
        <v>0.99993915004779321</v>
      </c>
      <c r="FJ72" s="25">
        <f t="shared" si="288"/>
        <v>0.99999911696883492</v>
      </c>
      <c r="FK72" s="13"/>
      <c r="FL72" s="23">
        <f t="shared" si="110"/>
        <v>13.632709081663705</v>
      </c>
      <c r="FM72" s="13">
        <f t="shared" si="124"/>
        <v>-7.6534482480256454</v>
      </c>
      <c r="FN72" s="13">
        <f t="shared" si="289"/>
        <v>2.8198973118799131</v>
      </c>
      <c r="FO72" s="13">
        <f t="shared" si="60"/>
        <v>0.99848836931718477</v>
      </c>
      <c r="FP72" s="23">
        <f t="shared" si="290"/>
        <v>1.8475019423340555</v>
      </c>
      <c r="FQ72" s="13">
        <f t="shared" si="291"/>
        <v>0.98599214896889131</v>
      </c>
      <c r="FR72" s="13">
        <f t="shared" si="292"/>
        <v>2.2286239369912231</v>
      </c>
      <c r="FS72" s="13">
        <f t="shared" si="115"/>
        <v>0.99412756552963721</v>
      </c>
      <c r="FT72" s="13">
        <f t="shared" si="293"/>
        <v>1.7495500278193603</v>
      </c>
      <c r="FU72" s="12">
        <f t="shared" si="117"/>
        <v>0.98251011308349423</v>
      </c>
      <c r="FV72" s="22"/>
      <c r="FW72" s="11">
        <f t="shared" si="141"/>
        <v>3.4</v>
      </c>
      <c r="FX72" s="10">
        <f t="shared" si="142"/>
        <v>3.1967186108637584</v>
      </c>
      <c r="FY72" s="10">
        <f t="shared" si="143"/>
        <v>8.0532938557435401</v>
      </c>
      <c r="FZ72" s="5">
        <f t="shared" si="144"/>
        <v>-9.2331300089047197</v>
      </c>
      <c r="GA72" s="10">
        <f t="shared" si="145"/>
        <v>0.52545700221380565</v>
      </c>
      <c r="GB72" s="9">
        <f t="shared" si="275"/>
        <v>13.632709081663705</v>
      </c>
      <c r="GC72" s="8">
        <f t="shared" si="276"/>
        <v>-7.6534482480256454</v>
      </c>
      <c r="GD72" s="8">
        <f t="shared" si="120"/>
        <v>0.99848836931718477</v>
      </c>
      <c r="GE72" s="7">
        <f t="shared" si="121"/>
        <v>0.98599214896889131</v>
      </c>
      <c r="GF72" s="6">
        <f t="shared" si="277"/>
        <v>0.99993915004779321</v>
      </c>
      <c r="GG72" s="5">
        <f t="shared" si="278"/>
        <v>0.99999911696883492</v>
      </c>
      <c r="GH72" s="4">
        <f t="shared" si="279"/>
        <v>0.99999584713225798</v>
      </c>
      <c r="GI72" s="4">
        <f t="shared" si="149"/>
        <v>0.99998004777494953</v>
      </c>
      <c r="GJ72" s="4">
        <f t="shared" si="150"/>
        <v>0.75311422781105986</v>
      </c>
      <c r="GK72" s="1"/>
    </row>
    <row r="73" spans="1:193" x14ac:dyDescent="0.4">
      <c r="A73" s="32"/>
      <c r="B73" s="33"/>
      <c r="C73" s="33"/>
      <c r="D73" s="32"/>
      <c r="E73" s="32"/>
      <c r="F73" s="20" t="s">
        <v>84</v>
      </c>
      <c r="G73" s="19">
        <v>850</v>
      </c>
      <c r="H73" s="18">
        <v>1</v>
      </c>
      <c r="I73" s="17">
        <v>3.8</v>
      </c>
      <c r="J73" s="16">
        <v>52.63</v>
      </c>
      <c r="K73" s="16">
        <v>1.18</v>
      </c>
      <c r="L73" s="16">
        <v>17.13</v>
      </c>
      <c r="M73" s="16">
        <v>0</v>
      </c>
      <c r="N73" s="16">
        <f t="shared" si="153"/>
        <v>6.3739999999999997</v>
      </c>
      <c r="O73" s="16">
        <v>0</v>
      </c>
      <c r="P73" s="16">
        <v>2.71</v>
      </c>
      <c r="Q73" s="16">
        <v>5.74</v>
      </c>
      <c r="R73" s="16">
        <v>4.38</v>
      </c>
      <c r="S73" s="16">
        <v>1.74</v>
      </c>
      <c r="T73" s="16">
        <v>0</v>
      </c>
      <c r="U73" s="15">
        <v>6</v>
      </c>
      <c r="V73" s="16"/>
      <c r="W73" s="28">
        <f t="shared" si="71"/>
        <v>53.767725062318682</v>
      </c>
      <c r="X73" s="24">
        <f t="shared" si="155"/>
        <v>1.2055085611540193</v>
      </c>
      <c r="Y73" s="24">
        <f t="shared" si="155"/>
        <v>17.500306485227416</v>
      </c>
      <c r="Z73" s="24">
        <f t="shared" si="154"/>
        <v>0</v>
      </c>
      <c r="AA73" s="24">
        <f t="shared" si="154"/>
        <v>6.5117894650811179</v>
      </c>
      <c r="AB73" s="24">
        <f t="shared" si="154"/>
        <v>0</v>
      </c>
      <c r="AC73" s="24">
        <f t="shared" si="154"/>
        <v>2.7685832209554171</v>
      </c>
      <c r="AD73" s="24">
        <f t="shared" si="154"/>
        <v>5.8640840178170093</v>
      </c>
      <c r="AE73" s="24">
        <f t="shared" si="154"/>
        <v>4.4746843202157667</v>
      </c>
      <c r="AF73" s="24">
        <f t="shared" si="154"/>
        <v>1.777614318989825</v>
      </c>
      <c r="AG73" s="24">
        <f t="shared" si="154"/>
        <v>0</v>
      </c>
      <c r="AH73" s="24">
        <f t="shared" si="154"/>
        <v>6.1297045482407766</v>
      </c>
      <c r="AI73" s="14">
        <f t="shared" si="72"/>
        <v>100.00000000000004</v>
      </c>
      <c r="AJ73" s="26"/>
      <c r="AK73" s="50">
        <f t="shared" si="73"/>
        <v>0.89478657118187188</v>
      </c>
      <c r="AL73" s="47">
        <f t="shared" si="74"/>
        <v>1.5087716660250553E-2</v>
      </c>
      <c r="AM73" s="47">
        <f t="shared" si="75"/>
        <v>0.17163894159697349</v>
      </c>
      <c r="AN73" s="49">
        <f t="shared" si="76"/>
        <v>0</v>
      </c>
      <c r="AO73" s="49">
        <f t="shared" si="77"/>
        <v>9.0630333543230593E-2</v>
      </c>
      <c r="AP73" s="47">
        <f t="shared" si="78"/>
        <v>0</v>
      </c>
      <c r="AQ73" s="47">
        <f t="shared" si="79"/>
        <v>6.8665258456235542E-2</v>
      </c>
      <c r="AR73" s="47">
        <f t="shared" si="80"/>
        <v>0.10456640545322771</v>
      </c>
      <c r="AS73" s="47">
        <f t="shared" si="81"/>
        <v>7.2195616654013667E-2</v>
      </c>
      <c r="AT73" s="47">
        <f t="shared" si="82"/>
        <v>1.8870640328979033E-2</v>
      </c>
      <c r="AU73" s="47">
        <f t="shared" si="83"/>
        <v>0</v>
      </c>
      <c r="AV73" s="47">
        <f t="shared" si="84"/>
        <v>0.34016118469704643</v>
      </c>
      <c r="AW73" s="47">
        <f t="shared" si="85"/>
        <v>1.4364414838747823</v>
      </c>
      <c r="AX73" s="47">
        <f t="shared" si="86"/>
        <v>3.8957990144879107E-2</v>
      </c>
      <c r="AY73" s="46">
        <f t="shared" si="87"/>
        <v>2.5844379054471157E-2</v>
      </c>
      <c r="AZ73" s="26"/>
      <c r="BA73" s="23">
        <f t="shared" ref="BA73:BA95" si="295">IF(OR(AW73="",$AK73=""),"",AK73/$AW73)</f>
        <v>0.62291891540767586</v>
      </c>
      <c r="BB73" s="13">
        <f t="shared" ref="BB73:BB95" si="296">IF(OR(AW73="",$AL73=""),"",AL73/$AW73)</f>
        <v>1.0503537268745283E-2</v>
      </c>
      <c r="BC73" s="13">
        <f t="shared" ref="BC73:BC95" si="297">IF(OR(AW73="",$AM73=""),"",AM73/$AW73)</f>
        <v>0.11948898964821014</v>
      </c>
      <c r="BD73" s="13">
        <f t="shared" ref="BD73:BD95" si="298">IF(OR(AW73="",$AN73=""),"",AN73/$AW73)</f>
        <v>0</v>
      </c>
      <c r="BE73" s="13">
        <f t="shared" ref="BE73:BE95" si="299">IF(OR(AW73="",$AO73=""),"",AO73/$AW73)</f>
        <v>6.309364813020886E-2</v>
      </c>
      <c r="BF73" s="13">
        <f t="shared" ref="BF73:BF95" si="300">IF(OR(AW73="",$AX73=""),"",AX73/$AW73)</f>
        <v>2.7121181462812137E-2</v>
      </c>
      <c r="BG73" s="13">
        <f t="shared" ref="BG73:BG95" si="301">IF(OR(AW73="",$AY73=""),"",AY73/$AW73)</f>
        <v>1.7991947005565643E-2</v>
      </c>
      <c r="BH73" s="13">
        <f t="shared" ref="BH73:BH95" si="302">IF(OR(AW73="",$AP73=""),"",AP73/$AW73)</f>
        <v>0</v>
      </c>
      <c r="BI73" s="13">
        <f t="shared" ref="BI73:BI95" si="303">IF(OR(AW73="",$AQ73=""),"",AQ73/$AW73)</f>
        <v>4.7802335999801326E-2</v>
      </c>
      <c r="BJ73" s="13">
        <f t="shared" ref="BJ73:BJ95" si="304">IF(OR(AW73="",$AR73=""),"",AR73/$AW73)</f>
        <v>7.2795450860386732E-2</v>
      </c>
      <c r="BK73" s="13">
        <f t="shared" ref="BK73:BK95" si="305">IF(OR(AW73="",$AS73=""),"",AS73/$AW73)</f>
        <v>5.0260047112581939E-2</v>
      </c>
      <c r="BL73" s="13">
        <f t="shared" ref="BL73:BL95" si="306">IF(OR(AW73="",$AT73=""),"",AT73/$AW73)</f>
        <v>1.3137075572389989E-2</v>
      </c>
      <c r="BM73" s="13">
        <f t="shared" ref="BM73:BM95" si="307">IF(OR(AW73="",$AU73=""),"",AU73/$AW73)</f>
        <v>0</v>
      </c>
      <c r="BN73" s="13">
        <f t="shared" ref="BN73:BN95" si="308">IF(OR(AV73="",AW73=""),"",AV73/AW73)</f>
        <v>0.23680824350704913</v>
      </c>
      <c r="BO73" s="12">
        <f t="shared" ref="BO73:BO95" si="309">IF(SUM(BA73:BE73,BH73:BM73)=0,"",SUM(BA73:BE73,BH73:BM73))</f>
        <v>1.0000000000000002</v>
      </c>
      <c r="BP73" s="13"/>
      <c r="BQ73" s="23">
        <f t="shared" ref="BQ73:BQ95" si="310">IF(W73="","",W73/(60.09/2))</f>
        <v>1.7895731423637438</v>
      </c>
      <c r="BR73" s="13">
        <f t="shared" ref="BR73:BR95" si="311">IF(X73="","",X73/(79.9/2))</f>
        <v>3.0175433320501106E-2</v>
      </c>
      <c r="BS73" s="13">
        <f t="shared" ref="BS73:BS95" si="312">IF(Y73="","",Y73/(102/3))</f>
        <v>0.51471489662433578</v>
      </c>
      <c r="BT73" s="13">
        <f t="shared" ref="BT73:BT95" si="313">IF(Z73="","",Z73/(151.9922/3))</f>
        <v>0</v>
      </c>
      <c r="BU73" s="13">
        <f t="shared" ref="BU73:BU95" si="314">IF(AA73="","",AA73/(71.85))</f>
        <v>9.0630333543230593E-2</v>
      </c>
      <c r="BV73" s="13">
        <f t="shared" ref="BV73:BV95" si="315">IF($AA73="","",$AA73*(1-$EP73)/71.85)</f>
        <v>3.8957990144879107E-2</v>
      </c>
      <c r="BW73" s="24">
        <f t="shared" ref="BW73:BW95" si="316">IF(AA73="","",$AA73*$EP73*1.111/(159.6/3))</f>
        <v>7.7533137163413465E-2</v>
      </c>
      <c r="BX73" s="13">
        <f t="shared" ref="BX73:BX95" si="317">IF(AB73="","",AB73/71)</f>
        <v>0</v>
      </c>
      <c r="BY73" s="13">
        <f t="shared" ref="BY73:BY95" si="318">IF(AC73="","",AC73/40.3)</f>
        <v>6.8699335507578591E-2</v>
      </c>
      <c r="BZ73" s="13">
        <f t="shared" ref="BZ73:BZ95" si="319">IF(AD73="","",AD73/56.1)</f>
        <v>0.10452912687730855</v>
      </c>
      <c r="CA73" s="13">
        <f t="shared" ref="CA73:CA95" si="320">IF(AE73="","",AE73/62)</f>
        <v>7.2172327745415585E-2</v>
      </c>
      <c r="CB73" s="13">
        <f t="shared" ref="CB73:CB95" si="321">IF(AF73="","",AF73/94.2)</f>
        <v>1.8870640328979033E-2</v>
      </c>
      <c r="CC73" s="13">
        <f t="shared" ref="CC73:CC95" si="322">IF(AG73="","",AG73/(70.97/5))</f>
        <v>0</v>
      </c>
      <c r="CD73" s="13">
        <f t="shared" ref="CD73:CD95" si="323">IF(AH73="","",AH73/(18.02))</f>
        <v>0.34016118469704643</v>
      </c>
      <c r="CE73" s="12">
        <f t="shared" ref="CE73:CE95" si="324">IF(SUM(BQ73:BU73,BX73:CD73)=0,"",SUM(BQ73:BU73,BX73:CD73))</f>
        <v>3.0295264210081392</v>
      </c>
      <c r="CF73" s="13"/>
      <c r="CG73" s="23">
        <f t="shared" si="280"/>
        <v>0.59071052490383147</v>
      </c>
      <c r="CH73" s="13">
        <f t="shared" si="280"/>
        <v>9.9604456694124457E-3</v>
      </c>
      <c r="CI73" s="13">
        <f t="shared" si="280"/>
        <v>0.16989945790043762</v>
      </c>
      <c r="CJ73" s="13">
        <f t="shared" si="280"/>
        <v>0</v>
      </c>
      <c r="CK73" s="13">
        <f t="shared" si="280"/>
        <v>2.991567689086911E-2</v>
      </c>
      <c r="CL73" s="13">
        <f t="shared" si="280"/>
        <v>1.2859432376864701E-2</v>
      </c>
      <c r="CM73" s="13">
        <f t="shared" si="280"/>
        <v>2.5592494135638754E-2</v>
      </c>
      <c r="CN73" s="13">
        <f t="shared" si="280"/>
        <v>0</v>
      </c>
      <c r="CO73" s="13">
        <f t="shared" si="280"/>
        <v>2.2676592298778313E-2</v>
      </c>
      <c r="CP73" s="13">
        <f t="shared" si="156"/>
        <v>3.4503454451644711E-2</v>
      </c>
      <c r="CQ73" s="13">
        <f t="shared" si="156"/>
        <v>2.3822973533070793E-2</v>
      </c>
      <c r="CR73" s="13">
        <f t="shared" si="156"/>
        <v>6.2289076596663004E-3</v>
      </c>
      <c r="CS73" s="13">
        <f t="shared" si="156"/>
        <v>0</v>
      </c>
      <c r="CT73" s="13">
        <f t="shared" si="156"/>
        <v>0.11228196669228935</v>
      </c>
      <c r="CU73" s="12">
        <f t="shared" ref="CU73:CU95" si="325">IF(SUM(CG73:CK73,CN73:CT73)=0,"",SUM(CG73:CK73,CN73:CT73))</f>
        <v>1.0000000000000002</v>
      </c>
      <c r="CV73" s="26"/>
      <c r="CW73" s="23">
        <f t="shared" ref="CW73:CW95" si="326">IF(W73="","",W73/60.09)</f>
        <v>0.89478657118187188</v>
      </c>
      <c r="CX73" s="13">
        <f t="shared" ref="CX73:CX95" si="327">IF(X73="","",X73/79.9)</f>
        <v>1.5087716660250553E-2</v>
      </c>
      <c r="CY73" s="13">
        <f t="shared" ref="CY73:CY95" si="328">IF(Y73="","",Y73/(102/2))</f>
        <v>0.34314326441622384</v>
      </c>
      <c r="CZ73" s="13">
        <f t="shared" ref="CZ73:CZ95" si="329">IF(Z73="","",Z73/(151.9922/2))</f>
        <v>0</v>
      </c>
      <c r="DA73" s="13">
        <f t="shared" ref="DA73:DA95" si="330">IF(Q73="","",Q73/71.8)</f>
        <v>7.9944289693593323E-2</v>
      </c>
      <c r="DB73" s="13">
        <f t="shared" ref="DB73:DB95" si="331">IF($AA73="","",$AA73*(1-$EP73)/71.85)</f>
        <v>3.8957990144879107E-2</v>
      </c>
      <c r="DC73" s="24">
        <f t="shared" ref="DC73:DC95" si="332">IF($AA73="","",$AA73*$EP73*1.111/(159.6/2))</f>
        <v>5.1688758108942315E-2</v>
      </c>
      <c r="DD73" s="13">
        <f t="shared" ref="DD73:DD95" si="333">IF(AB73="","",AB73/71)</f>
        <v>0</v>
      </c>
      <c r="DE73" s="13">
        <f t="shared" ref="DE73:DE95" si="334">IF(AC73="","",AC73/40.3)</f>
        <v>6.8699335507578591E-2</v>
      </c>
      <c r="DF73" s="13">
        <f t="shared" ref="DF73:DF95" si="335">IF(AD73="","",AD73/56.1)</f>
        <v>0.10452912687730855</v>
      </c>
      <c r="DG73" s="13">
        <f t="shared" ref="DG73:DG95" si="336">IF(AE73="","",AE73/(62/2))</f>
        <v>0.14434465549083117</v>
      </c>
      <c r="DH73" s="13">
        <f t="shared" ref="DH73:DH95" si="337">IF(AF73="","",AF73/(94.2/2))</f>
        <v>3.7741280657958065E-2</v>
      </c>
      <c r="DI73" s="13">
        <f t="shared" ref="DI73:DI95" si="338">IF(AG73="","",AG73/(70.97/2))</f>
        <v>0</v>
      </c>
      <c r="DJ73" s="13">
        <f t="shared" si="95"/>
        <v>0.68032236939409285</v>
      </c>
      <c r="DK73" s="12">
        <f t="shared" si="96"/>
        <v>2.3685986098797089</v>
      </c>
      <c r="DL73" s="26"/>
      <c r="DM73" s="23">
        <f t="shared" si="152"/>
        <v>0.3777704535709891</v>
      </c>
      <c r="DN73" s="13">
        <f t="shared" si="152"/>
        <v>6.3698917145851037E-3</v>
      </c>
      <c r="DO73" s="13">
        <f t="shared" si="152"/>
        <v>0.14487185080027157</v>
      </c>
      <c r="DP73" s="13">
        <f t="shared" si="152"/>
        <v>0</v>
      </c>
      <c r="DQ73" s="13">
        <f t="shared" si="152"/>
        <v>3.3751725328274744E-2</v>
      </c>
      <c r="DR73" s="13">
        <f t="shared" si="294"/>
        <v>1.6447696111270459E-2</v>
      </c>
      <c r="DS73" s="13">
        <f t="shared" si="294"/>
        <v>2.1822506309571534E-2</v>
      </c>
      <c r="DT73" s="13">
        <f t="shared" si="294"/>
        <v>0</v>
      </c>
      <c r="DU73" s="13">
        <f t="shared" si="294"/>
        <v>2.9004211697594273E-2</v>
      </c>
      <c r="DV73" s="13">
        <f t="shared" si="294"/>
        <v>4.4131211781221612E-2</v>
      </c>
      <c r="DW73" s="13">
        <f t="shared" si="294"/>
        <v>6.0940952548377045E-2</v>
      </c>
      <c r="DX73" s="13">
        <f t="shared" si="294"/>
        <v>1.5934012838027794E-2</v>
      </c>
      <c r="DY73" s="13">
        <f t="shared" si="294"/>
        <v>0</v>
      </c>
      <c r="DZ73" s="13">
        <f t="shared" si="294"/>
        <v>0.28722568972065871</v>
      </c>
      <c r="EA73" s="12">
        <f t="shared" ref="EA73:EA95" si="339">IF($DK73="","",DK73/$DK73)</f>
        <v>1</v>
      </c>
      <c r="EB73" s="26"/>
      <c r="EC73" s="30">
        <f t="shared" ref="EC73:EC95" si="340">IF(G73="","",G73+273)</f>
        <v>1123</v>
      </c>
      <c r="ED73" s="14">
        <f t="shared" ref="ED73:ED95" si="341">IF(H73="","",H73*1000000000)</f>
        <v>1000000000</v>
      </c>
      <c r="EE73" s="29"/>
      <c r="EF73" s="184">
        <f t="shared" si="122"/>
        <v>-8.8331300089047211</v>
      </c>
      <c r="EG73" s="13">
        <f t="shared" si="99"/>
        <v>3.8</v>
      </c>
      <c r="EH73" s="13">
        <f t="shared" si="100"/>
        <v>3.596718610863757</v>
      </c>
      <c r="EI73" s="12">
        <f t="shared" ref="EI73:EI95" si="342">IF(EF73="","",27489/($EC73)-6.702-0.055*($ED73/100000)/($EC73)+$EF73)</f>
        <v>8.4532938557435386</v>
      </c>
      <c r="EJ73" s="29"/>
      <c r="EK73" s="28">
        <f t="shared" si="101"/>
        <v>-0.41070837590469972</v>
      </c>
      <c r="EL73" s="24">
        <f t="shared" ref="EL73:EL95" si="343">IF(EK73="","",EK73/2.303)</f>
        <v>-0.17833624659344322</v>
      </c>
      <c r="EM73" s="24">
        <f t="shared" si="103"/>
        <v>0.66318030275932549</v>
      </c>
      <c r="EN73" s="24">
        <f t="shared" ref="EN73:EN95" si="344">IF(OR(AA73=0,EM73=""),"",BE73/(1+2*EM73))</f>
        <v>2.712118146281214E-2</v>
      </c>
      <c r="EO73" s="24">
        <f t="shared" ref="EO73:EO95" si="345">IF(OR(AA73=0,EM73=""),"",EM73*EN73)</f>
        <v>1.7986233333698361E-2</v>
      </c>
      <c r="EP73" s="24">
        <f t="shared" ref="EP73:EP95" si="346">IF(EN73="","",EO73*2/(EO73*2+EN73))</f>
        <v>0.5701440277024229</v>
      </c>
      <c r="EQ73" s="24">
        <f t="shared" ref="EQ73:EQ95" si="347">IF(AA73="","",LN(AY73/AX73))</f>
        <v>-0.41039075717793605</v>
      </c>
      <c r="ER73" s="24">
        <f t="shared" ref="ER73:ER95" si="348">IF(EQ73="","",(11492/$EC73-6.675+($BC73*-2.243+$BE73*-1.828+$BJ73*3.201+$BK73*5.854+$BL73*6.215)-3.36*(1-1673/$EC73-LN($EC73/1673))-0.000000701*($ED73/$EC73)-0.000000000154*(($EC73-1673)*$ED73/$EC73)+0.0000000000000000385*($ED73^2/$EC73)-$EQ73)/-0.196)</f>
        <v>-20.336555193360372</v>
      </c>
      <c r="ES73" s="25">
        <f t="shared" ref="ES73:ES95" si="349">IF(ER73="","",ER73/2.303)</f>
        <v>-8.8304625242554806</v>
      </c>
      <c r="ET73" s="26"/>
      <c r="EU73" s="23">
        <f t="shared" si="123"/>
        <v>1.1115647897149401</v>
      </c>
      <c r="EV73" s="12">
        <f t="shared" ref="EV73:EV95" si="350">IF(EU73="","",1-1/(1+10^EU73))</f>
        <v>0.92820731484774499</v>
      </c>
      <c r="EW73" s="26"/>
      <c r="EX73" s="27">
        <f t="shared" ref="EX73:EX95" si="351">IF(EG73="","",1/(1+10^(2.1-2*EG73)))</f>
        <v>0.99999683773233983</v>
      </c>
      <c r="EY73" s="26"/>
      <c r="EZ73" s="23">
        <f t="shared" si="281"/>
        <v>-9.1576126112573633</v>
      </c>
      <c r="FA73" s="13">
        <f t="shared" ref="FA73:FA95" si="352">IF($EA73="","",-8.02+(21100+44000*$DW73+18700*$DU73+4300*$DO73+44200*$DX73+35600*$DV73+12600*$DT73+16500*$DR73)/($EC73))</f>
        <v>16.462164845951065</v>
      </c>
      <c r="FB73" s="13">
        <f t="shared" si="282"/>
        <v>-29.266942087657817</v>
      </c>
      <c r="FC73" s="13">
        <f t="shared" si="283"/>
        <v>14.208652578901493</v>
      </c>
      <c r="FD73" s="12">
        <f t="shared" ref="FD73:FD95" si="353">IF(FC73="","",1-1/(1+EXP(FC73)))</f>
        <v>0.99999932506756939</v>
      </c>
      <c r="FE73" s="13"/>
      <c r="FF73" s="23">
        <f t="shared" si="284"/>
        <v>-7.7056771644960067</v>
      </c>
      <c r="FG73" s="13">
        <f t="shared" si="285"/>
        <v>15.006338835269048</v>
      </c>
      <c r="FH73" s="13">
        <f t="shared" si="286"/>
        <v>16.844649089315851</v>
      </c>
      <c r="FI73" s="24">
        <f t="shared" si="287"/>
        <v>0.99999100004973651</v>
      </c>
      <c r="FJ73" s="25">
        <f t="shared" si="288"/>
        <v>0.99999986940284769</v>
      </c>
      <c r="FK73" s="13"/>
      <c r="FL73" s="23">
        <f t="shared" ref="FL73:FL95" si="354">IF($CU73="","",195.99657+(-7632.6971*$CG73-10669.7107*$CH73-6900.9065*$CI73-4625.0612*$CK73+19113.53*$CN73+11739.931*$CP73+33266.912*$CQ73-4094.9829)/$EC73-57.2083*LOG($EC73))</f>
        <v>13.632709081663705</v>
      </c>
      <c r="FM73" s="13">
        <f t="shared" ref="FM73:FM95" si="355">IF($CU73="","",0.646657+(-3368.52*$CG73-1233.439*$CI73+1295.54*$CP73+44885.3*$CR73+10914.48*($CG73*$CL73)-225569.4*($CL73*$CQ73)-871863.8*($CL73*$CR73)+54392.37*($CL73*$CI73)-7584.703)/($EC73)+3.86057*ERF($CL73))</f>
        <v>-7.6650847800223056</v>
      </c>
      <c r="FN73" s="13">
        <f t="shared" si="289"/>
        <v>3.6315338438765679</v>
      </c>
      <c r="FO73" s="13">
        <f t="shared" ref="FO73:FO95" si="356">IF($FN73="","",1-1/(1+10^FN73))</f>
        <v>0.99976645814881993</v>
      </c>
      <c r="FP73" s="23">
        <f t="shared" si="290"/>
        <v>2.6591384743307103</v>
      </c>
      <c r="FQ73" s="13">
        <f t="shared" si="291"/>
        <v>0.9978126889441149</v>
      </c>
      <c r="FR73" s="13">
        <f t="shared" si="292"/>
        <v>3.0402604689878778</v>
      </c>
      <c r="FS73" s="13">
        <f t="shared" si="115"/>
        <v>0.99908936598712428</v>
      </c>
      <c r="FT73" s="13">
        <f t="shared" si="293"/>
        <v>2.5611865598160151</v>
      </c>
      <c r="FU73" s="12">
        <f t="shared" si="117"/>
        <v>0.99726080977799714</v>
      </c>
      <c r="FV73" s="22"/>
      <c r="FW73" s="11">
        <f t="shared" ref="FW73:FW95" si="357">EG73</f>
        <v>3.8</v>
      </c>
      <c r="FX73" s="10">
        <f t="shared" ref="FX73:FX95" si="358">EH73</f>
        <v>3.596718610863757</v>
      </c>
      <c r="FY73" s="10">
        <f t="shared" ref="FY73:FY95" si="359">EI73</f>
        <v>8.4532938557435386</v>
      </c>
      <c r="FZ73" s="5">
        <f t="shared" ref="FZ73:FZ95" si="360">EF73</f>
        <v>-8.8331300089047211</v>
      </c>
      <c r="GA73" s="10">
        <f t="shared" ref="GA73:GA95" si="361">EP73</f>
        <v>0.5701440277024229</v>
      </c>
      <c r="GB73" s="9">
        <f t="shared" si="275"/>
        <v>13.632709081663705</v>
      </c>
      <c r="GC73" s="8">
        <f t="shared" si="276"/>
        <v>-7.6650847800223056</v>
      </c>
      <c r="GD73" s="8">
        <f t="shared" si="120"/>
        <v>0.99976645814881993</v>
      </c>
      <c r="GE73" s="7">
        <f t="shared" si="121"/>
        <v>0.9978126889441149</v>
      </c>
      <c r="GF73" s="6">
        <f t="shared" si="277"/>
        <v>0.99999100004973651</v>
      </c>
      <c r="GG73" s="5">
        <f t="shared" si="278"/>
        <v>0.99999986940284769</v>
      </c>
      <c r="GH73" s="4">
        <f t="shared" si="279"/>
        <v>0.99999932506756939</v>
      </c>
      <c r="GI73" s="4">
        <f t="shared" ref="GI73:GI95" si="362">EX73</f>
        <v>0.99999683773233983</v>
      </c>
      <c r="GJ73" s="4">
        <f t="shared" ref="GJ73:GJ95" si="363">EV73</f>
        <v>0.92820731484774499</v>
      </c>
      <c r="GK73" s="1"/>
    </row>
    <row r="74" spans="1:193" x14ac:dyDescent="0.4">
      <c r="A74" s="32"/>
      <c r="B74" s="33"/>
      <c r="C74" s="33"/>
      <c r="D74" s="32"/>
      <c r="E74" s="32"/>
      <c r="F74" s="20" t="s">
        <v>84</v>
      </c>
      <c r="G74" s="19">
        <v>900</v>
      </c>
      <c r="H74" s="18">
        <v>1</v>
      </c>
      <c r="I74" s="17">
        <v>-1</v>
      </c>
      <c r="J74" s="16">
        <v>52.63</v>
      </c>
      <c r="K74" s="16">
        <v>1.18</v>
      </c>
      <c r="L74" s="16">
        <v>17.13</v>
      </c>
      <c r="M74" s="16">
        <v>0</v>
      </c>
      <c r="N74" s="16">
        <f t="shared" si="153"/>
        <v>6.3739999999999997</v>
      </c>
      <c r="O74" s="16">
        <v>0</v>
      </c>
      <c r="P74" s="16">
        <v>2.71</v>
      </c>
      <c r="Q74" s="16">
        <v>5.74</v>
      </c>
      <c r="R74" s="16">
        <v>4.38</v>
      </c>
      <c r="S74" s="16">
        <v>1.74</v>
      </c>
      <c r="T74" s="16">
        <v>0</v>
      </c>
      <c r="U74" s="15">
        <v>6</v>
      </c>
      <c r="V74" s="16"/>
      <c r="W74" s="28">
        <f t="shared" ref="W74:W95" si="364">IF(J74="","",J74/SUM($J74:$U74)*100)</f>
        <v>53.767725062318682</v>
      </c>
      <c r="X74" s="24">
        <f t="shared" si="155"/>
        <v>1.2055085611540193</v>
      </c>
      <c r="Y74" s="24">
        <f t="shared" si="155"/>
        <v>17.500306485227416</v>
      </c>
      <c r="Z74" s="24">
        <f t="shared" si="154"/>
        <v>0</v>
      </c>
      <c r="AA74" s="24">
        <f t="shared" si="154"/>
        <v>6.5117894650811179</v>
      </c>
      <c r="AB74" s="24">
        <f t="shared" si="154"/>
        <v>0</v>
      </c>
      <c r="AC74" s="24">
        <f t="shared" si="154"/>
        <v>2.7685832209554171</v>
      </c>
      <c r="AD74" s="24">
        <f t="shared" si="154"/>
        <v>5.8640840178170093</v>
      </c>
      <c r="AE74" s="24">
        <f t="shared" si="154"/>
        <v>4.4746843202157667</v>
      </c>
      <c r="AF74" s="24">
        <f t="shared" si="154"/>
        <v>1.777614318989825</v>
      </c>
      <c r="AG74" s="24">
        <f t="shared" si="154"/>
        <v>0</v>
      </c>
      <c r="AH74" s="24">
        <f t="shared" si="154"/>
        <v>6.1297045482407766</v>
      </c>
      <c r="AI74" s="14">
        <f t="shared" ref="AI74:AI95" si="365">SUM(W74:AH74)</f>
        <v>100.00000000000004</v>
      </c>
      <c r="AJ74" s="26"/>
      <c r="AK74" s="50">
        <f t="shared" ref="AK74:AK95" si="366">IF(W74="","",W74/60.09)</f>
        <v>0.89478657118187188</v>
      </c>
      <c r="AL74" s="47">
        <f t="shared" ref="AL74:AL95" si="367">IF(X74="","",X74/79.9)</f>
        <v>1.5087716660250553E-2</v>
      </c>
      <c r="AM74" s="47">
        <f t="shared" ref="AM74:AM95" si="368">IF(Y74="","",Y74/101.96)</f>
        <v>0.17163894159697349</v>
      </c>
      <c r="AN74" s="49">
        <f t="shared" ref="AN74:AN95" si="369">IF(Z74="","",Z74/151.9922)</f>
        <v>0</v>
      </c>
      <c r="AO74" s="49">
        <f t="shared" ref="AO74:AO95" si="370">IF(AA74="","",AA74/71.85)</f>
        <v>9.0630333543230593E-2</v>
      </c>
      <c r="AP74" s="47">
        <f t="shared" ref="AP74:AP95" si="371">IF(AB74="","",AB74/71)</f>
        <v>0</v>
      </c>
      <c r="AQ74" s="47">
        <f t="shared" ref="AQ74:AQ95" si="372">IF(AC74="","",AC74/40.32)</f>
        <v>6.8665258456235542E-2</v>
      </c>
      <c r="AR74" s="47">
        <f t="shared" ref="AR74:AR95" si="373">IF(AD74="","",AD74/56.08)</f>
        <v>0.10456640545322771</v>
      </c>
      <c r="AS74" s="47">
        <f t="shared" ref="AS74:AS95" si="374">IF(AE74="","",AE74/61.98)</f>
        <v>7.2195616654013667E-2</v>
      </c>
      <c r="AT74" s="47">
        <f t="shared" ref="AT74:AT95" si="375">IF(AF74="","",AF74/94.2)</f>
        <v>1.8870640328979033E-2</v>
      </c>
      <c r="AU74" s="47">
        <f t="shared" ref="AU74:AU95" si="376">IF(AG74="","",AG74/70.97)</f>
        <v>0</v>
      </c>
      <c r="AV74" s="47">
        <f t="shared" ref="AV74:AV95" si="377">IF(AH74="","",AH74/18.02)</f>
        <v>0.34016118469704643</v>
      </c>
      <c r="AW74" s="47">
        <f t="shared" ref="AW74:AW95" si="378">IF(SUM(AK74:AU74)=0,"",SUM(AK74:AU74))</f>
        <v>1.4364414838747823</v>
      </c>
      <c r="AX74" s="47">
        <f t="shared" ref="AX74:AX95" si="379">IF(OR(AA74="",I74=""),"",$AA74*(1-$EP74)/71.85)</f>
        <v>7.9446612051775681E-2</v>
      </c>
      <c r="AY74" s="46">
        <f t="shared" ref="AY74:AY95" si="380">IF(OR(AA74="",I74=""),"",($AA74*$EP74)*1.111/159.6)</f>
        <v>5.593637107505706E-3</v>
      </c>
      <c r="AZ74" s="26"/>
      <c r="BA74" s="23">
        <f t="shared" si="295"/>
        <v>0.62291891540767586</v>
      </c>
      <c r="BB74" s="13">
        <f t="shared" si="296"/>
        <v>1.0503537268745283E-2</v>
      </c>
      <c r="BC74" s="13">
        <f t="shared" si="297"/>
        <v>0.11948898964821014</v>
      </c>
      <c r="BD74" s="13">
        <f t="shared" si="298"/>
        <v>0</v>
      </c>
      <c r="BE74" s="13">
        <f t="shared" si="299"/>
        <v>6.309364813020886E-2</v>
      </c>
      <c r="BF74" s="13">
        <f t="shared" si="300"/>
        <v>5.5307934881878705E-2</v>
      </c>
      <c r="BG74" s="13">
        <f t="shared" si="301"/>
        <v>3.8940932647092189E-3</v>
      </c>
      <c r="BH74" s="13">
        <f t="shared" si="302"/>
        <v>0</v>
      </c>
      <c r="BI74" s="13">
        <f t="shared" si="303"/>
        <v>4.7802335999801326E-2</v>
      </c>
      <c r="BJ74" s="13">
        <f t="shared" si="304"/>
        <v>7.2795450860386732E-2</v>
      </c>
      <c r="BK74" s="13">
        <f t="shared" si="305"/>
        <v>5.0260047112581939E-2</v>
      </c>
      <c r="BL74" s="13">
        <f t="shared" si="306"/>
        <v>1.3137075572389989E-2</v>
      </c>
      <c r="BM74" s="13">
        <f t="shared" si="307"/>
        <v>0</v>
      </c>
      <c r="BN74" s="13">
        <f t="shared" si="308"/>
        <v>0.23680824350704913</v>
      </c>
      <c r="BO74" s="12">
        <f t="shared" si="309"/>
        <v>1.0000000000000002</v>
      </c>
      <c r="BP74" s="13"/>
      <c r="BQ74" s="23">
        <f t="shared" si="310"/>
        <v>1.7895731423637438</v>
      </c>
      <c r="BR74" s="13">
        <f t="shared" si="311"/>
        <v>3.0175433320501106E-2</v>
      </c>
      <c r="BS74" s="13">
        <f t="shared" si="312"/>
        <v>0.51471489662433578</v>
      </c>
      <c r="BT74" s="13">
        <f t="shared" si="313"/>
        <v>0</v>
      </c>
      <c r="BU74" s="13">
        <f t="shared" si="314"/>
        <v>9.0630333543230593E-2</v>
      </c>
      <c r="BV74" s="13">
        <f t="shared" si="315"/>
        <v>7.9446612051775681E-2</v>
      </c>
      <c r="BW74" s="24">
        <f t="shared" si="316"/>
        <v>1.6780911322517116E-2</v>
      </c>
      <c r="BX74" s="13">
        <f t="shared" si="317"/>
        <v>0</v>
      </c>
      <c r="BY74" s="13">
        <f t="shared" si="318"/>
        <v>6.8699335507578591E-2</v>
      </c>
      <c r="BZ74" s="13">
        <f t="shared" si="319"/>
        <v>0.10452912687730855</v>
      </c>
      <c r="CA74" s="13">
        <f t="shared" si="320"/>
        <v>7.2172327745415585E-2</v>
      </c>
      <c r="CB74" s="13">
        <f t="shared" si="321"/>
        <v>1.8870640328979033E-2</v>
      </c>
      <c r="CC74" s="13">
        <f t="shared" si="322"/>
        <v>0</v>
      </c>
      <c r="CD74" s="13">
        <f t="shared" si="323"/>
        <v>0.34016118469704643</v>
      </c>
      <c r="CE74" s="12">
        <f t="shared" si="324"/>
        <v>3.0295264210081392</v>
      </c>
      <c r="CF74" s="13"/>
      <c r="CG74" s="23">
        <f t="shared" si="280"/>
        <v>0.59071052490383147</v>
      </c>
      <c r="CH74" s="13">
        <f t="shared" si="280"/>
        <v>9.9604456694124457E-3</v>
      </c>
      <c r="CI74" s="13">
        <f t="shared" si="280"/>
        <v>0.16989945790043762</v>
      </c>
      <c r="CJ74" s="13">
        <f t="shared" si="280"/>
        <v>0</v>
      </c>
      <c r="CK74" s="13">
        <f t="shared" si="280"/>
        <v>2.991567689086911E-2</v>
      </c>
      <c r="CL74" s="13">
        <f t="shared" si="280"/>
        <v>2.6224102718119927E-2</v>
      </c>
      <c r="CM74" s="13">
        <f t="shared" si="280"/>
        <v>5.5391203080951881E-3</v>
      </c>
      <c r="CN74" s="13">
        <f t="shared" si="280"/>
        <v>0</v>
      </c>
      <c r="CO74" s="13">
        <f t="shared" si="280"/>
        <v>2.2676592298778313E-2</v>
      </c>
      <c r="CP74" s="13">
        <f t="shared" si="156"/>
        <v>3.4503454451644711E-2</v>
      </c>
      <c r="CQ74" s="13">
        <f t="shared" si="156"/>
        <v>2.3822973533070793E-2</v>
      </c>
      <c r="CR74" s="13">
        <f t="shared" si="156"/>
        <v>6.2289076596663004E-3</v>
      </c>
      <c r="CS74" s="13">
        <f t="shared" si="156"/>
        <v>0</v>
      </c>
      <c r="CT74" s="13">
        <f t="shared" si="156"/>
        <v>0.11228196669228935</v>
      </c>
      <c r="CU74" s="12">
        <f t="shared" si="325"/>
        <v>1.0000000000000002</v>
      </c>
      <c r="CV74" s="26"/>
      <c r="CW74" s="23">
        <f t="shared" si="326"/>
        <v>0.89478657118187188</v>
      </c>
      <c r="CX74" s="13">
        <f t="shared" si="327"/>
        <v>1.5087716660250553E-2</v>
      </c>
      <c r="CY74" s="13">
        <f t="shared" si="328"/>
        <v>0.34314326441622384</v>
      </c>
      <c r="CZ74" s="13">
        <f t="shared" si="329"/>
        <v>0</v>
      </c>
      <c r="DA74" s="13">
        <f t="shared" si="330"/>
        <v>7.9944289693593323E-2</v>
      </c>
      <c r="DB74" s="13">
        <f t="shared" si="331"/>
        <v>7.9446612051775681E-2</v>
      </c>
      <c r="DC74" s="24">
        <f t="shared" si="332"/>
        <v>1.1187274215011412E-2</v>
      </c>
      <c r="DD74" s="13">
        <f t="shared" si="333"/>
        <v>0</v>
      </c>
      <c r="DE74" s="13">
        <f t="shared" si="334"/>
        <v>6.8699335507578591E-2</v>
      </c>
      <c r="DF74" s="13">
        <f t="shared" si="335"/>
        <v>0.10452912687730855</v>
      </c>
      <c r="DG74" s="13">
        <f t="shared" si="336"/>
        <v>0.14434465549083117</v>
      </c>
      <c r="DH74" s="13">
        <f t="shared" si="337"/>
        <v>3.7741280657958065E-2</v>
      </c>
      <c r="DI74" s="13">
        <f t="shared" si="338"/>
        <v>0</v>
      </c>
      <c r="DJ74" s="13">
        <f t="shared" ref="DJ74:DJ95" si="381">IF(AH74="","",AH74/(18.02/2))</f>
        <v>0.68032236939409285</v>
      </c>
      <c r="DK74" s="12">
        <f t="shared" ref="DK74:DK95" si="382">IF(SUM(CW74:DA74,DD74:DJ74)=0,"",SUM(CW74:DA74,DD74:DJ74))</f>
        <v>2.3685986098797089</v>
      </c>
      <c r="DL74" s="26"/>
      <c r="DM74" s="23">
        <f t="shared" si="152"/>
        <v>0.3777704535709891</v>
      </c>
      <c r="DN74" s="13">
        <f t="shared" si="152"/>
        <v>6.3698917145851037E-3</v>
      </c>
      <c r="DO74" s="13">
        <f t="shared" si="152"/>
        <v>0.14487185080027157</v>
      </c>
      <c r="DP74" s="13">
        <f t="shared" si="152"/>
        <v>0</v>
      </c>
      <c r="DQ74" s="13">
        <f t="shared" si="152"/>
        <v>3.3751725328274744E-2</v>
      </c>
      <c r="DR74" s="13">
        <f t="shared" si="294"/>
        <v>3.3541610520412504E-2</v>
      </c>
      <c r="DS74" s="13">
        <f t="shared" si="294"/>
        <v>4.7231616907769634E-3</v>
      </c>
      <c r="DT74" s="13">
        <f t="shared" si="294"/>
        <v>0</v>
      </c>
      <c r="DU74" s="13">
        <f t="shared" si="294"/>
        <v>2.9004211697594273E-2</v>
      </c>
      <c r="DV74" s="13">
        <f t="shared" si="294"/>
        <v>4.4131211781221612E-2</v>
      </c>
      <c r="DW74" s="13">
        <f t="shared" si="294"/>
        <v>6.0940952548377045E-2</v>
      </c>
      <c r="DX74" s="13">
        <f t="shared" si="294"/>
        <v>1.5934012838027794E-2</v>
      </c>
      <c r="DY74" s="13">
        <f t="shared" si="294"/>
        <v>0</v>
      </c>
      <c r="DZ74" s="13">
        <f t="shared" si="294"/>
        <v>0.28722568972065871</v>
      </c>
      <c r="EA74" s="12">
        <f t="shared" si="339"/>
        <v>1</v>
      </c>
      <c r="EB74" s="26"/>
      <c r="EC74" s="30">
        <f t="shared" si="340"/>
        <v>1173</v>
      </c>
      <c r="ED74" s="14">
        <f t="shared" si="341"/>
        <v>1000000000</v>
      </c>
      <c r="EE74" s="29"/>
      <c r="EF74" s="184">
        <f t="shared" si="122"/>
        <v>-12.722297527706734</v>
      </c>
      <c r="EG74" s="13">
        <f t="shared" ref="EG74:EG95" si="383">IF(I74="","",I74)</f>
        <v>-1</v>
      </c>
      <c r="EH74" s="13">
        <f t="shared" ref="EH74:EH95" si="384">IF(EF74="","",24930/($EC74)-9.36-0.046*($ED74/100000)/($EC74)+$EF74)</f>
        <v>-1.2212574595055408</v>
      </c>
      <c r="EI74" s="12">
        <f t="shared" si="342"/>
        <v>3.5416018755328214</v>
      </c>
      <c r="EJ74" s="29"/>
      <c r="EK74" s="28">
        <f t="shared" ref="EK74:EK95" si="385">IF(OR(EF74="",AW74=""),"",0.196*LN(10^$EF74)+11492/$EC74-6.675+($BC74*-2.243+$BE74*-1.828+$BJ74*3.201+$BK74*5.854+$BL74*6.215)-3.36*(1-1673.15/$EC74-LN($EC74/1673.15))-0.000000701*($ED74/$EC74)-0.000000000154*(($EC74-1673.15)*$ED74/$EC74)+0.0000000000000000385*($ED74^2/$EC74))</f>
        <v>-2.653773147341191</v>
      </c>
      <c r="EL74" s="24">
        <f t="shared" si="343"/>
        <v>-1.1523113970217937</v>
      </c>
      <c r="EM74" s="24">
        <f t="shared" ref="EM74:EM95" si="386">IF(EK74="","",EXP(EK74))</f>
        <v>7.0385137909760323E-2</v>
      </c>
      <c r="EN74" s="24">
        <f t="shared" si="344"/>
        <v>5.5307934881878705E-2</v>
      </c>
      <c r="EO74" s="24">
        <f t="shared" si="345"/>
        <v>3.8928566241650761E-3</v>
      </c>
      <c r="EP74" s="24">
        <f t="shared" si="346"/>
        <v>0.12339931956799308</v>
      </c>
      <c r="EQ74" s="24">
        <f t="shared" si="347"/>
        <v>-2.653455528614427</v>
      </c>
      <c r="ER74" s="24">
        <f t="shared" si="348"/>
        <v>-29.29179642361208</v>
      </c>
      <c r="ES74" s="25">
        <f t="shared" si="349"/>
        <v>-12.718973696748623</v>
      </c>
      <c r="ET74" s="26"/>
      <c r="EU74" s="23">
        <f t="shared" si="123"/>
        <v>-6.2085811941409332</v>
      </c>
      <c r="EV74" s="12">
        <f t="shared" si="350"/>
        <v>6.1861228040083205E-7</v>
      </c>
      <c r="EW74" s="26"/>
      <c r="EX74" s="27">
        <f t="shared" si="351"/>
        <v>7.9426514400130776E-5</v>
      </c>
      <c r="EY74" s="26"/>
      <c r="EZ74" s="23">
        <f t="shared" si="281"/>
        <v>-8.3698223188274223</v>
      </c>
      <c r="FA74" s="13">
        <f t="shared" si="352"/>
        <v>15.659045788366488</v>
      </c>
      <c r="FB74" s="13">
        <f t="shared" si="282"/>
        <v>-27.172509068173227</v>
      </c>
      <c r="FC74" s="13">
        <f t="shared" si="283"/>
        <v>-7.386968096497931</v>
      </c>
      <c r="FD74" s="12">
        <f t="shared" si="353"/>
        <v>6.1888742018756382E-4</v>
      </c>
      <c r="FE74" s="13"/>
      <c r="FF74" s="23">
        <f t="shared" si="284"/>
        <v>-7.0800863344644149</v>
      </c>
      <c r="FG74" s="13">
        <f t="shared" si="285"/>
        <v>13.814764289861159</v>
      </c>
      <c r="FH74" s="13">
        <f t="shared" si="286"/>
        <v>15.215974285169665</v>
      </c>
      <c r="FI74" s="24">
        <f t="shared" si="287"/>
        <v>2.8199624267033485E-5</v>
      </c>
      <c r="FJ74" s="25">
        <f t="shared" si="288"/>
        <v>7.0983462096663175E-4</v>
      </c>
      <c r="FK74" s="13"/>
      <c r="FL74" s="23">
        <f t="shared" si="354"/>
        <v>12.885330668774174</v>
      </c>
      <c r="FM74" s="13">
        <f t="shared" si="355"/>
        <v>-7.1945603010618191</v>
      </c>
      <c r="FN74" s="13">
        <f t="shared" si="289"/>
        <v>-5.3647040855774755</v>
      </c>
      <c r="FO74" s="13">
        <f t="shared" si="356"/>
        <v>4.3181133575487252E-6</v>
      </c>
      <c r="FP74" s="23">
        <f t="shared" si="290"/>
        <v>-6.2956503771375765</v>
      </c>
      <c r="FQ74" s="13">
        <f t="shared" si="291"/>
        <v>5.062317769422009E-7</v>
      </c>
      <c r="FR74" s="13">
        <f t="shared" si="292"/>
        <v>-5.9307739918008338</v>
      </c>
      <c r="FS74" s="13">
        <f t="shared" ref="FS74:FS95" si="387">IF($FT74="","",1-1/(1+10^FR74))</f>
        <v>1.1728041630076902E-6</v>
      </c>
      <c r="FT74" s="13">
        <f t="shared" si="293"/>
        <v>-6.3894270182287976</v>
      </c>
      <c r="FU74" s="12">
        <f t="shared" ref="FU74:FU95" si="388">IF($FT74="","",1-1/(1+10^FT74))</f>
        <v>4.0791793887162697E-7</v>
      </c>
      <c r="FV74" s="22"/>
      <c r="FW74" s="11">
        <f t="shared" si="357"/>
        <v>-1</v>
      </c>
      <c r="FX74" s="10">
        <f t="shared" si="358"/>
        <v>-1.2212574595055408</v>
      </c>
      <c r="FY74" s="10">
        <f t="shared" si="359"/>
        <v>3.5416018755328214</v>
      </c>
      <c r="FZ74" s="5">
        <f t="shared" si="360"/>
        <v>-12.722297527706734</v>
      </c>
      <c r="GA74" s="10">
        <f t="shared" si="361"/>
        <v>0.12339931956799308</v>
      </c>
      <c r="GB74" s="9">
        <f t="shared" si="275"/>
        <v>12.885330668774174</v>
      </c>
      <c r="GC74" s="8">
        <f t="shared" si="276"/>
        <v>-7.1945603010618191</v>
      </c>
      <c r="GD74" s="8">
        <f t="shared" ref="GD74:GD95" si="389">$FO74</f>
        <v>4.3181133575487252E-6</v>
      </c>
      <c r="GE74" s="7">
        <f t="shared" ref="GE74:GE95" si="390">$FQ74</f>
        <v>5.062317769422009E-7</v>
      </c>
      <c r="GF74" s="6">
        <f t="shared" si="277"/>
        <v>2.8199624267033485E-5</v>
      </c>
      <c r="GG74" s="5">
        <f t="shared" si="278"/>
        <v>7.0983462096663175E-4</v>
      </c>
      <c r="GH74" s="4">
        <f t="shared" si="279"/>
        <v>6.1888742018756382E-4</v>
      </c>
      <c r="GI74" s="4">
        <f t="shared" si="362"/>
        <v>7.9426514400130776E-5</v>
      </c>
      <c r="GJ74" s="4">
        <f t="shared" si="363"/>
        <v>6.1861228040083205E-7</v>
      </c>
      <c r="GK74" s="1"/>
    </row>
    <row r="75" spans="1:193" x14ac:dyDescent="0.4">
      <c r="A75" s="32"/>
      <c r="B75" s="33"/>
      <c r="C75" s="33"/>
      <c r="D75" s="32"/>
      <c r="E75" s="32"/>
      <c r="F75" s="20" t="s">
        <v>84</v>
      </c>
      <c r="G75" s="19">
        <v>900</v>
      </c>
      <c r="H75" s="18">
        <v>1</v>
      </c>
      <c r="I75" s="17">
        <v>-0.6</v>
      </c>
      <c r="J75" s="16">
        <v>52.63</v>
      </c>
      <c r="K75" s="16">
        <v>1.18</v>
      </c>
      <c r="L75" s="16">
        <v>17.13</v>
      </c>
      <c r="M75" s="16">
        <v>0</v>
      </c>
      <c r="N75" s="16">
        <f t="shared" si="153"/>
        <v>6.3739999999999997</v>
      </c>
      <c r="O75" s="16">
        <v>0</v>
      </c>
      <c r="P75" s="16">
        <v>2.71</v>
      </c>
      <c r="Q75" s="16">
        <v>5.74</v>
      </c>
      <c r="R75" s="16">
        <v>4.38</v>
      </c>
      <c r="S75" s="16">
        <v>1.74</v>
      </c>
      <c r="T75" s="16">
        <v>0</v>
      </c>
      <c r="U75" s="15">
        <v>6</v>
      </c>
      <c r="V75" s="16"/>
      <c r="W75" s="28">
        <f t="shared" si="364"/>
        <v>53.767725062318682</v>
      </c>
      <c r="X75" s="24">
        <f t="shared" si="155"/>
        <v>1.2055085611540193</v>
      </c>
      <c r="Y75" s="24">
        <f t="shared" si="155"/>
        <v>17.500306485227416</v>
      </c>
      <c r="Z75" s="24">
        <f t="shared" si="154"/>
        <v>0</v>
      </c>
      <c r="AA75" s="24">
        <f t="shared" si="154"/>
        <v>6.5117894650811179</v>
      </c>
      <c r="AB75" s="24">
        <f t="shared" si="154"/>
        <v>0</v>
      </c>
      <c r="AC75" s="24">
        <f t="shared" si="154"/>
        <v>2.7685832209554171</v>
      </c>
      <c r="AD75" s="24">
        <f t="shared" si="154"/>
        <v>5.8640840178170093</v>
      </c>
      <c r="AE75" s="24">
        <f t="shared" si="154"/>
        <v>4.4746843202157667</v>
      </c>
      <c r="AF75" s="24">
        <f t="shared" si="154"/>
        <v>1.777614318989825</v>
      </c>
      <c r="AG75" s="24">
        <f t="shared" si="154"/>
        <v>0</v>
      </c>
      <c r="AH75" s="24">
        <f t="shared" si="154"/>
        <v>6.1297045482407766</v>
      </c>
      <c r="AI75" s="14">
        <f t="shared" si="365"/>
        <v>100.00000000000004</v>
      </c>
      <c r="AJ75" s="26"/>
      <c r="AK75" s="50">
        <f t="shared" si="366"/>
        <v>0.89478657118187188</v>
      </c>
      <c r="AL75" s="47">
        <f t="shared" si="367"/>
        <v>1.5087716660250553E-2</v>
      </c>
      <c r="AM75" s="47">
        <f t="shared" si="368"/>
        <v>0.17163894159697349</v>
      </c>
      <c r="AN75" s="49">
        <f t="shared" si="369"/>
        <v>0</v>
      </c>
      <c r="AO75" s="49">
        <f t="shared" si="370"/>
        <v>9.0630333543230593E-2</v>
      </c>
      <c r="AP75" s="47">
        <f t="shared" si="371"/>
        <v>0</v>
      </c>
      <c r="AQ75" s="47">
        <f t="shared" si="372"/>
        <v>6.8665258456235542E-2</v>
      </c>
      <c r="AR75" s="47">
        <f t="shared" si="373"/>
        <v>0.10456640545322771</v>
      </c>
      <c r="AS75" s="47">
        <f t="shared" si="374"/>
        <v>7.2195616654013667E-2</v>
      </c>
      <c r="AT75" s="47">
        <f t="shared" si="375"/>
        <v>1.8870640328979033E-2</v>
      </c>
      <c r="AU75" s="47">
        <f t="shared" si="376"/>
        <v>0</v>
      </c>
      <c r="AV75" s="47">
        <f t="shared" si="377"/>
        <v>0.34016118469704643</v>
      </c>
      <c r="AW75" s="47">
        <f t="shared" si="378"/>
        <v>1.4364414838747823</v>
      </c>
      <c r="AX75" s="47">
        <f t="shared" si="379"/>
        <v>7.7553248307666606E-2</v>
      </c>
      <c r="AY75" s="46">
        <f t="shared" si="380"/>
        <v>6.5406197112075661E-3</v>
      </c>
      <c r="AZ75" s="26"/>
      <c r="BA75" s="23">
        <f t="shared" si="295"/>
        <v>0.62291891540767586</v>
      </c>
      <c r="BB75" s="13">
        <f t="shared" si="296"/>
        <v>1.0503537268745283E-2</v>
      </c>
      <c r="BC75" s="13">
        <f t="shared" si="297"/>
        <v>0.11948898964821014</v>
      </c>
      <c r="BD75" s="13">
        <f t="shared" si="298"/>
        <v>0</v>
      </c>
      <c r="BE75" s="13">
        <f t="shared" si="299"/>
        <v>6.309364813020886E-2</v>
      </c>
      <c r="BF75" s="13">
        <f t="shared" si="300"/>
        <v>5.3989841687437014E-2</v>
      </c>
      <c r="BG75" s="13">
        <f t="shared" si="301"/>
        <v>4.5533492207175258E-3</v>
      </c>
      <c r="BH75" s="13">
        <f t="shared" si="302"/>
        <v>0</v>
      </c>
      <c r="BI75" s="13">
        <f t="shared" si="303"/>
        <v>4.7802335999801326E-2</v>
      </c>
      <c r="BJ75" s="13">
        <f t="shared" si="304"/>
        <v>7.2795450860386732E-2</v>
      </c>
      <c r="BK75" s="13">
        <f t="shared" si="305"/>
        <v>5.0260047112581939E-2</v>
      </c>
      <c r="BL75" s="13">
        <f t="shared" si="306"/>
        <v>1.3137075572389989E-2</v>
      </c>
      <c r="BM75" s="13">
        <f t="shared" si="307"/>
        <v>0</v>
      </c>
      <c r="BN75" s="13">
        <f t="shared" si="308"/>
        <v>0.23680824350704913</v>
      </c>
      <c r="BO75" s="12">
        <f t="shared" si="309"/>
        <v>1.0000000000000002</v>
      </c>
      <c r="BP75" s="13"/>
      <c r="BQ75" s="23">
        <f t="shared" si="310"/>
        <v>1.7895731423637438</v>
      </c>
      <c r="BR75" s="13">
        <f t="shared" si="311"/>
        <v>3.0175433320501106E-2</v>
      </c>
      <c r="BS75" s="13">
        <f t="shared" si="312"/>
        <v>0.51471489662433578</v>
      </c>
      <c r="BT75" s="13">
        <f t="shared" si="313"/>
        <v>0</v>
      </c>
      <c r="BU75" s="13">
        <f t="shared" si="314"/>
        <v>9.0630333543230593E-2</v>
      </c>
      <c r="BV75" s="13">
        <f t="shared" si="315"/>
        <v>7.7553248307666606E-2</v>
      </c>
      <c r="BW75" s="24">
        <f t="shared" si="316"/>
        <v>1.9621859133622702E-2</v>
      </c>
      <c r="BX75" s="13">
        <f t="shared" si="317"/>
        <v>0</v>
      </c>
      <c r="BY75" s="13">
        <f t="shared" si="318"/>
        <v>6.8699335507578591E-2</v>
      </c>
      <c r="BZ75" s="13">
        <f t="shared" si="319"/>
        <v>0.10452912687730855</v>
      </c>
      <c r="CA75" s="13">
        <f t="shared" si="320"/>
        <v>7.2172327745415585E-2</v>
      </c>
      <c r="CB75" s="13">
        <f t="shared" si="321"/>
        <v>1.8870640328979033E-2</v>
      </c>
      <c r="CC75" s="13">
        <f t="shared" si="322"/>
        <v>0</v>
      </c>
      <c r="CD75" s="13">
        <f t="shared" si="323"/>
        <v>0.34016118469704643</v>
      </c>
      <c r="CE75" s="12">
        <f t="shared" si="324"/>
        <v>3.0295264210081392</v>
      </c>
      <c r="CF75" s="13"/>
      <c r="CG75" s="23">
        <f t="shared" si="280"/>
        <v>0.59071052490383147</v>
      </c>
      <c r="CH75" s="13">
        <f t="shared" si="280"/>
        <v>9.9604456694124457E-3</v>
      </c>
      <c r="CI75" s="13">
        <f t="shared" si="280"/>
        <v>0.16989945790043762</v>
      </c>
      <c r="CJ75" s="13">
        <f t="shared" si="280"/>
        <v>0</v>
      </c>
      <c r="CK75" s="13">
        <f t="shared" si="280"/>
        <v>2.991567689086911E-2</v>
      </c>
      <c r="CL75" s="13">
        <f t="shared" si="280"/>
        <v>2.5599132514533118E-2</v>
      </c>
      <c r="CM75" s="13">
        <f t="shared" si="280"/>
        <v>6.4768734141269222E-3</v>
      </c>
      <c r="CN75" s="13">
        <f t="shared" si="280"/>
        <v>0</v>
      </c>
      <c r="CO75" s="13">
        <f t="shared" si="280"/>
        <v>2.2676592298778313E-2</v>
      </c>
      <c r="CP75" s="13">
        <f t="shared" si="156"/>
        <v>3.4503454451644711E-2</v>
      </c>
      <c r="CQ75" s="13">
        <f t="shared" si="156"/>
        <v>2.3822973533070793E-2</v>
      </c>
      <c r="CR75" s="13">
        <f t="shared" si="156"/>
        <v>6.2289076596663004E-3</v>
      </c>
      <c r="CS75" s="13">
        <f t="shared" si="156"/>
        <v>0</v>
      </c>
      <c r="CT75" s="13">
        <f t="shared" si="156"/>
        <v>0.11228196669228935</v>
      </c>
      <c r="CU75" s="12">
        <f t="shared" si="325"/>
        <v>1.0000000000000002</v>
      </c>
      <c r="CV75" s="26"/>
      <c r="CW75" s="23">
        <f t="shared" si="326"/>
        <v>0.89478657118187188</v>
      </c>
      <c r="CX75" s="13">
        <f t="shared" si="327"/>
        <v>1.5087716660250553E-2</v>
      </c>
      <c r="CY75" s="13">
        <f t="shared" si="328"/>
        <v>0.34314326441622384</v>
      </c>
      <c r="CZ75" s="13">
        <f t="shared" si="329"/>
        <v>0</v>
      </c>
      <c r="DA75" s="13">
        <f t="shared" si="330"/>
        <v>7.9944289693593323E-2</v>
      </c>
      <c r="DB75" s="13">
        <f t="shared" si="331"/>
        <v>7.7553248307666606E-2</v>
      </c>
      <c r="DC75" s="24">
        <f t="shared" si="332"/>
        <v>1.3081239422415132E-2</v>
      </c>
      <c r="DD75" s="13">
        <f t="shared" si="333"/>
        <v>0</v>
      </c>
      <c r="DE75" s="13">
        <f t="shared" si="334"/>
        <v>6.8699335507578591E-2</v>
      </c>
      <c r="DF75" s="13">
        <f t="shared" si="335"/>
        <v>0.10452912687730855</v>
      </c>
      <c r="DG75" s="13">
        <f t="shared" si="336"/>
        <v>0.14434465549083117</v>
      </c>
      <c r="DH75" s="13">
        <f t="shared" si="337"/>
        <v>3.7741280657958065E-2</v>
      </c>
      <c r="DI75" s="13">
        <f t="shared" si="338"/>
        <v>0</v>
      </c>
      <c r="DJ75" s="13">
        <f t="shared" si="381"/>
        <v>0.68032236939409285</v>
      </c>
      <c r="DK75" s="12">
        <f t="shared" si="382"/>
        <v>2.3685986098797089</v>
      </c>
      <c r="DL75" s="26"/>
      <c r="DM75" s="23">
        <f t="shared" si="152"/>
        <v>0.3777704535709891</v>
      </c>
      <c r="DN75" s="13">
        <f t="shared" si="152"/>
        <v>6.3698917145851037E-3</v>
      </c>
      <c r="DO75" s="13">
        <f t="shared" si="152"/>
        <v>0.14487185080027157</v>
      </c>
      <c r="DP75" s="13">
        <f t="shared" si="152"/>
        <v>0</v>
      </c>
      <c r="DQ75" s="13">
        <f t="shared" si="152"/>
        <v>3.3751725328274744E-2</v>
      </c>
      <c r="DR75" s="13">
        <f t="shared" si="294"/>
        <v>3.2742250199836606E-2</v>
      </c>
      <c r="DS75" s="13">
        <f t="shared" si="294"/>
        <v>5.5227759434847735E-3</v>
      </c>
      <c r="DT75" s="13">
        <f t="shared" si="294"/>
        <v>0</v>
      </c>
      <c r="DU75" s="13">
        <f t="shared" si="294"/>
        <v>2.9004211697594273E-2</v>
      </c>
      <c r="DV75" s="13">
        <f t="shared" si="294"/>
        <v>4.4131211781221612E-2</v>
      </c>
      <c r="DW75" s="13">
        <f t="shared" si="294"/>
        <v>6.0940952548377045E-2</v>
      </c>
      <c r="DX75" s="13">
        <f t="shared" si="294"/>
        <v>1.5934012838027794E-2</v>
      </c>
      <c r="DY75" s="13">
        <f t="shared" si="294"/>
        <v>0</v>
      </c>
      <c r="DZ75" s="13">
        <f t="shared" si="294"/>
        <v>0.28722568972065871</v>
      </c>
      <c r="EA75" s="12">
        <f t="shared" si="339"/>
        <v>1</v>
      </c>
      <c r="EB75" s="26"/>
      <c r="EC75" s="30">
        <f t="shared" si="340"/>
        <v>1173</v>
      </c>
      <c r="ED75" s="14">
        <f t="shared" si="341"/>
        <v>1000000000</v>
      </c>
      <c r="EE75" s="29"/>
      <c r="EF75" s="184">
        <f t="shared" ref="EF75:EF95" si="391">IF(I75="","",-25096.3/(G75+273)+8.735+0.11*(H75*10000-1)/(273+G75)+I75)</f>
        <v>-12.322297527706734</v>
      </c>
      <c r="EG75" s="13">
        <f t="shared" si="383"/>
        <v>-0.6</v>
      </c>
      <c r="EH75" s="13">
        <f t="shared" si="384"/>
        <v>-0.82125745950554041</v>
      </c>
      <c r="EI75" s="12">
        <f t="shared" si="342"/>
        <v>3.9416018755328217</v>
      </c>
      <c r="EJ75" s="29"/>
      <c r="EK75" s="28">
        <f t="shared" si="385"/>
        <v>-2.473250476050457</v>
      </c>
      <c r="EL75" s="24">
        <f t="shared" si="343"/>
        <v>-1.0739255215156132</v>
      </c>
      <c r="EM75" s="24">
        <f t="shared" si="386"/>
        <v>8.4310364304052227E-2</v>
      </c>
      <c r="EN75" s="24">
        <f t="shared" si="344"/>
        <v>5.3989841687437014E-2</v>
      </c>
      <c r="EO75" s="24">
        <f t="shared" si="345"/>
        <v>4.5519032213859204E-3</v>
      </c>
      <c r="EP75" s="24">
        <f t="shared" si="346"/>
        <v>0.1442903796588835</v>
      </c>
      <c r="EQ75" s="24">
        <f t="shared" si="347"/>
        <v>-2.4729328573236931</v>
      </c>
      <c r="ER75" s="24">
        <f t="shared" si="348"/>
        <v>-28.370762386414462</v>
      </c>
      <c r="ES75" s="25">
        <f t="shared" si="349"/>
        <v>-12.319045760492603</v>
      </c>
      <c r="ET75" s="26"/>
      <c r="EU75" s="23">
        <f t="shared" ref="EU75:EU95" si="392">IF(EP75="","",8*LOG(BG75/BF75)+8743600/(EC75)^2-27703/(EC75)+20.273)</f>
        <v>-5.5813811941409313</v>
      </c>
      <c r="EV75" s="12">
        <f t="shared" si="350"/>
        <v>2.6219093191004461E-6</v>
      </c>
      <c r="EW75" s="26"/>
      <c r="EX75" s="27">
        <f t="shared" si="351"/>
        <v>5.0093617081359819E-4</v>
      </c>
      <c r="EY75" s="26"/>
      <c r="EZ75" s="23">
        <f t="shared" si="281"/>
        <v>-8.3698223188274223</v>
      </c>
      <c r="FA75" s="13">
        <f t="shared" si="352"/>
        <v>15.647801589483709</v>
      </c>
      <c r="FB75" s="13">
        <f t="shared" si="282"/>
        <v>-27.172509068173227</v>
      </c>
      <c r="FC75" s="13">
        <f t="shared" si="283"/>
        <v>-5.5561442209854661</v>
      </c>
      <c r="FD75" s="12">
        <f t="shared" si="353"/>
        <v>3.8487747759131663E-3</v>
      </c>
      <c r="FE75" s="13"/>
      <c r="FF75" s="23">
        <f t="shared" si="284"/>
        <v>-7.0935325177789244</v>
      </c>
      <c r="FG75" s="13">
        <f t="shared" si="285"/>
        <v>13.814764289861159</v>
      </c>
      <c r="FH75" s="13">
        <f t="shared" si="286"/>
        <v>15.215974285169665</v>
      </c>
      <c r="FI75" s="24">
        <f t="shared" si="287"/>
        <v>1.8349407878004431E-4</v>
      </c>
      <c r="FJ75" s="25">
        <f t="shared" si="288"/>
        <v>4.6015981173240794E-3</v>
      </c>
      <c r="FK75" s="13"/>
      <c r="FL75" s="23">
        <f t="shared" si="354"/>
        <v>12.885330668774174</v>
      </c>
      <c r="FM75" s="13">
        <f t="shared" si="355"/>
        <v>-7.1998831593439085</v>
      </c>
      <c r="FN75" s="13">
        <f t="shared" si="289"/>
        <v>-4.5593812272953862</v>
      </c>
      <c r="FO75" s="13">
        <f t="shared" si="356"/>
        <v>2.7580795892490073E-5</v>
      </c>
      <c r="FP75" s="23">
        <f t="shared" si="290"/>
        <v>-5.4903275188554872</v>
      </c>
      <c r="FQ75" s="13">
        <f t="shared" si="291"/>
        <v>3.2334866845173948E-6</v>
      </c>
      <c r="FR75" s="13">
        <f t="shared" si="292"/>
        <v>-5.1254511335187445</v>
      </c>
      <c r="FS75" s="13">
        <f t="shared" si="387"/>
        <v>7.4911003199451542E-6</v>
      </c>
      <c r="FT75" s="13">
        <f t="shared" si="293"/>
        <v>-5.5841041599467083</v>
      </c>
      <c r="FU75" s="12">
        <f t="shared" si="388"/>
        <v>2.6055217836606914E-6</v>
      </c>
      <c r="FV75" s="22"/>
      <c r="FW75" s="11">
        <f t="shared" si="357"/>
        <v>-0.6</v>
      </c>
      <c r="FX75" s="10">
        <f t="shared" si="358"/>
        <v>-0.82125745950554041</v>
      </c>
      <c r="FY75" s="10">
        <f t="shared" si="359"/>
        <v>3.9416018755328217</v>
      </c>
      <c r="FZ75" s="5">
        <f t="shared" si="360"/>
        <v>-12.322297527706734</v>
      </c>
      <c r="GA75" s="10">
        <f t="shared" si="361"/>
        <v>0.1442903796588835</v>
      </c>
      <c r="GB75" s="9">
        <f t="shared" si="275"/>
        <v>12.885330668774174</v>
      </c>
      <c r="GC75" s="8">
        <f t="shared" si="276"/>
        <v>-7.1998831593439085</v>
      </c>
      <c r="GD75" s="8">
        <f t="shared" si="389"/>
        <v>2.7580795892490073E-5</v>
      </c>
      <c r="GE75" s="7">
        <f t="shared" si="390"/>
        <v>3.2334866845173948E-6</v>
      </c>
      <c r="GF75" s="6">
        <f t="shared" si="277"/>
        <v>1.8349407878004431E-4</v>
      </c>
      <c r="GG75" s="5">
        <f t="shared" si="278"/>
        <v>4.6015981173240794E-3</v>
      </c>
      <c r="GH75" s="4">
        <f t="shared" si="279"/>
        <v>3.8487747759131663E-3</v>
      </c>
      <c r="GI75" s="4">
        <f t="shared" si="362"/>
        <v>5.0093617081359819E-4</v>
      </c>
      <c r="GJ75" s="4">
        <f t="shared" si="363"/>
        <v>2.6219093191004461E-6</v>
      </c>
      <c r="GK75" s="1"/>
    </row>
    <row r="76" spans="1:193" x14ac:dyDescent="0.4">
      <c r="A76" s="32"/>
      <c r="B76" s="33"/>
      <c r="C76" s="33"/>
      <c r="D76" s="32"/>
      <c r="E76" s="32"/>
      <c r="F76" s="20" t="s">
        <v>84</v>
      </c>
      <c r="G76" s="19">
        <v>900</v>
      </c>
      <c r="H76" s="18">
        <v>1</v>
      </c>
      <c r="I76" s="17">
        <v>-0.2</v>
      </c>
      <c r="J76" s="16">
        <v>52.63</v>
      </c>
      <c r="K76" s="16">
        <v>1.18</v>
      </c>
      <c r="L76" s="16">
        <v>17.13</v>
      </c>
      <c r="M76" s="16">
        <v>0</v>
      </c>
      <c r="N76" s="16">
        <f t="shared" si="153"/>
        <v>6.3739999999999997</v>
      </c>
      <c r="O76" s="16">
        <v>0</v>
      </c>
      <c r="P76" s="16">
        <v>2.71</v>
      </c>
      <c r="Q76" s="16">
        <v>5.74</v>
      </c>
      <c r="R76" s="16">
        <v>4.38</v>
      </c>
      <c r="S76" s="16">
        <v>1.74</v>
      </c>
      <c r="T76" s="16">
        <v>0</v>
      </c>
      <c r="U76" s="15">
        <v>6</v>
      </c>
      <c r="V76" s="16"/>
      <c r="W76" s="28">
        <f t="shared" si="364"/>
        <v>53.767725062318682</v>
      </c>
      <c r="X76" s="24">
        <f t="shared" si="155"/>
        <v>1.2055085611540193</v>
      </c>
      <c r="Y76" s="24">
        <f t="shared" si="155"/>
        <v>17.500306485227416</v>
      </c>
      <c r="Z76" s="24">
        <f t="shared" si="154"/>
        <v>0</v>
      </c>
      <c r="AA76" s="24">
        <f t="shared" si="154"/>
        <v>6.5117894650811179</v>
      </c>
      <c r="AB76" s="24">
        <f t="shared" si="154"/>
        <v>0</v>
      </c>
      <c r="AC76" s="24">
        <f t="shared" ref="AC76:AH95" si="393">IF(P76="","",P76/SUM($J76:$U76)*100)</f>
        <v>2.7685832209554171</v>
      </c>
      <c r="AD76" s="24">
        <f t="shared" si="393"/>
        <v>5.8640840178170093</v>
      </c>
      <c r="AE76" s="24">
        <f t="shared" si="393"/>
        <v>4.4746843202157667</v>
      </c>
      <c r="AF76" s="24">
        <f t="shared" si="393"/>
        <v>1.777614318989825</v>
      </c>
      <c r="AG76" s="24">
        <f t="shared" si="393"/>
        <v>0</v>
      </c>
      <c r="AH76" s="24">
        <f t="shared" si="393"/>
        <v>6.1297045482407766</v>
      </c>
      <c r="AI76" s="14">
        <f t="shared" si="365"/>
        <v>100.00000000000004</v>
      </c>
      <c r="AJ76" s="26"/>
      <c r="AK76" s="50">
        <f t="shared" si="366"/>
        <v>0.89478657118187188</v>
      </c>
      <c r="AL76" s="47">
        <f t="shared" si="367"/>
        <v>1.5087716660250553E-2</v>
      </c>
      <c r="AM76" s="47">
        <f t="shared" si="368"/>
        <v>0.17163894159697349</v>
      </c>
      <c r="AN76" s="49">
        <f t="shared" si="369"/>
        <v>0</v>
      </c>
      <c r="AO76" s="49">
        <f t="shared" si="370"/>
        <v>9.0630333543230593E-2</v>
      </c>
      <c r="AP76" s="47">
        <f t="shared" si="371"/>
        <v>0</v>
      </c>
      <c r="AQ76" s="47">
        <f t="shared" si="372"/>
        <v>6.8665258456235542E-2</v>
      </c>
      <c r="AR76" s="47">
        <f t="shared" si="373"/>
        <v>0.10456640545322771</v>
      </c>
      <c r="AS76" s="47">
        <f t="shared" si="374"/>
        <v>7.2195616654013667E-2</v>
      </c>
      <c r="AT76" s="47">
        <f t="shared" si="375"/>
        <v>1.8870640328979033E-2</v>
      </c>
      <c r="AU76" s="47">
        <f t="shared" si="376"/>
        <v>0</v>
      </c>
      <c r="AV76" s="47">
        <f t="shared" si="377"/>
        <v>0.34016118469704643</v>
      </c>
      <c r="AW76" s="47">
        <f t="shared" si="378"/>
        <v>1.4364414838747823</v>
      </c>
      <c r="AX76" s="47">
        <f t="shared" si="379"/>
        <v>7.5400790853318536E-2</v>
      </c>
      <c r="AY76" s="46">
        <f t="shared" si="380"/>
        <v>7.6171903230712497E-3</v>
      </c>
      <c r="AZ76" s="26"/>
      <c r="BA76" s="23">
        <f t="shared" si="295"/>
        <v>0.62291891540767586</v>
      </c>
      <c r="BB76" s="13">
        <f t="shared" si="296"/>
        <v>1.0503537268745283E-2</v>
      </c>
      <c r="BC76" s="13">
        <f t="shared" si="297"/>
        <v>0.11948898964821014</v>
      </c>
      <c r="BD76" s="13">
        <f t="shared" si="298"/>
        <v>0</v>
      </c>
      <c r="BE76" s="13">
        <f t="shared" si="299"/>
        <v>6.309364813020886E-2</v>
      </c>
      <c r="BF76" s="13">
        <f t="shared" si="300"/>
        <v>5.2491376571724924E-2</v>
      </c>
      <c r="BG76" s="13">
        <f t="shared" si="301"/>
        <v>5.302819786660559E-3</v>
      </c>
      <c r="BH76" s="13">
        <f t="shared" si="302"/>
        <v>0</v>
      </c>
      <c r="BI76" s="13">
        <f t="shared" si="303"/>
        <v>4.7802335999801326E-2</v>
      </c>
      <c r="BJ76" s="13">
        <f t="shared" si="304"/>
        <v>7.2795450860386732E-2</v>
      </c>
      <c r="BK76" s="13">
        <f t="shared" si="305"/>
        <v>5.0260047112581939E-2</v>
      </c>
      <c r="BL76" s="13">
        <f t="shared" si="306"/>
        <v>1.3137075572389989E-2</v>
      </c>
      <c r="BM76" s="13">
        <f t="shared" si="307"/>
        <v>0</v>
      </c>
      <c r="BN76" s="13">
        <f t="shared" si="308"/>
        <v>0.23680824350704913</v>
      </c>
      <c r="BO76" s="12">
        <f t="shared" si="309"/>
        <v>1.0000000000000002</v>
      </c>
      <c r="BP76" s="13"/>
      <c r="BQ76" s="23">
        <f t="shared" si="310"/>
        <v>1.7895731423637438</v>
      </c>
      <c r="BR76" s="13">
        <f t="shared" si="311"/>
        <v>3.0175433320501106E-2</v>
      </c>
      <c r="BS76" s="13">
        <f t="shared" si="312"/>
        <v>0.51471489662433578</v>
      </c>
      <c r="BT76" s="13">
        <f t="shared" si="313"/>
        <v>0</v>
      </c>
      <c r="BU76" s="13">
        <f t="shared" si="314"/>
        <v>9.0630333543230593E-2</v>
      </c>
      <c r="BV76" s="13">
        <f t="shared" si="315"/>
        <v>7.5400790853318536E-2</v>
      </c>
      <c r="BW76" s="24">
        <f t="shared" si="316"/>
        <v>2.2851570969213753E-2</v>
      </c>
      <c r="BX76" s="13">
        <f t="shared" si="317"/>
        <v>0</v>
      </c>
      <c r="BY76" s="13">
        <f t="shared" si="318"/>
        <v>6.8699335507578591E-2</v>
      </c>
      <c r="BZ76" s="13">
        <f t="shared" si="319"/>
        <v>0.10452912687730855</v>
      </c>
      <c r="CA76" s="13">
        <f t="shared" si="320"/>
        <v>7.2172327745415585E-2</v>
      </c>
      <c r="CB76" s="13">
        <f t="shared" si="321"/>
        <v>1.8870640328979033E-2</v>
      </c>
      <c r="CC76" s="13">
        <f t="shared" si="322"/>
        <v>0</v>
      </c>
      <c r="CD76" s="13">
        <f t="shared" si="323"/>
        <v>0.34016118469704643</v>
      </c>
      <c r="CE76" s="12">
        <f t="shared" si="324"/>
        <v>3.0295264210081392</v>
      </c>
      <c r="CF76" s="13"/>
      <c r="CG76" s="23">
        <f t="shared" si="280"/>
        <v>0.59071052490383147</v>
      </c>
      <c r="CH76" s="13">
        <f t="shared" si="280"/>
        <v>9.9604456694124457E-3</v>
      </c>
      <c r="CI76" s="13">
        <f t="shared" si="280"/>
        <v>0.16989945790043762</v>
      </c>
      <c r="CJ76" s="13">
        <f t="shared" si="280"/>
        <v>0</v>
      </c>
      <c r="CK76" s="13">
        <f t="shared" si="280"/>
        <v>2.991567689086911E-2</v>
      </c>
      <c r="CL76" s="13">
        <f t="shared" si="280"/>
        <v>2.4888639468682146E-2</v>
      </c>
      <c r="CM76" s="13">
        <f t="shared" si="280"/>
        <v>7.5429515355107573E-3</v>
      </c>
      <c r="CN76" s="13">
        <f t="shared" si="280"/>
        <v>0</v>
      </c>
      <c r="CO76" s="13">
        <f t="shared" si="280"/>
        <v>2.2676592298778313E-2</v>
      </c>
      <c r="CP76" s="13">
        <f t="shared" si="156"/>
        <v>3.4503454451644711E-2</v>
      </c>
      <c r="CQ76" s="13">
        <f t="shared" si="156"/>
        <v>2.3822973533070793E-2</v>
      </c>
      <c r="CR76" s="13">
        <f t="shared" si="156"/>
        <v>6.2289076596663004E-3</v>
      </c>
      <c r="CS76" s="13">
        <f t="shared" si="156"/>
        <v>0</v>
      </c>
      <c r="CT76" s="13">
        <f t="shared" si="156"/>
        <v>0.11228196669228935</v>
      </c>
      <c r="CU76" s="12">
        <f t="shared" si="325"/>
        <v>1.0000000000000002</v>
      </c>
      <c r="CV76" s="26"/>
      <c r="CW76" s="23">
        <f t="shared" si="326"/>
        <v>0.89478657118187188</v>
      </c>
      <c r="CX76" s="13">
        <f t="shared" si="327"/>
        <v>1.5087716660250553E-2</v>
      </c>
      <c r="CY76" s="13">
        <f t="shared" si="328"/>
        <v>0.34314326441622384</v>
      </c>
      <c r="CZ76" s="13">
        <f t="shared" si="329"/>
        <v>0</v>
      </c>
      <c r="DA76" s="13">
        <f t="shared" si="330"/>
        <v>7.9944289693593323E-2</v>
      </c>
      <c r="DB76" s="13">
        <f t="shared" si="331"/>
        <v>7.5400790853318536E-2</v>
      </c>
      <c r="DC76" s="24">
        <f t="shared" si="332"/>
        <v>1.5234380646142499E-2</v>
      </c>
      <c r="DD76" s="13">
        <f t="shared" si="333"/>
        <v>0</v>
      </c>
      <c r="DE76" s="13">
        <f t="shared" si="334"/>
        <v>6.8699335507578591E-2</v>
      </c>
      <c r="DF76" s="13">
        <f t="shared" si="335"/>
        <v>0.10452912687730855</v>
      </c>
      <c r="DG76" s="13">
        <f t="shared" si="336"/>
        <v>0.14434465549083117</v>
      </c>
      <c r="DH76" s="13">
        <f t="shared" si="337"/>
        <v>3.7741280657958065E-2</v>
      </c>
      <c r="DI76" s="13">
        <f t="shared" si="338"/>
        <v>0</v>
      </c>
      <c r="DJ76" s="13">
        <f t="shared" si="381"/>
        <v>0.68032236939409285</v>
      </c>
      <c r="DK76" s="12">
        <f t="shared" si="382"/>
        <v>2.3685986098797089</v>
      </c>
      <c r="DL76" s="26"/>
      <c r="DM76" s="23">
        <f t="shared" si="152"/>
        <v>0.3777704535709891</v>
      </c>
      <c r="DN76" s="13">
        <f t="shared" si="152"/>
        <v>6.3698917145851037E-3</v>
      </c>
      <c r="DO76" s="13">
        <f t="shared" si="152"/>
        <v>0.14487185080027157</v>
      </c>
      <c r="DP76" s="13">
        <f t="shared" si="152"/>
        <v>0</v>
      </c>
      <c r="DQ76" s="13">
        <f t="shared" si="152"/>
        <v>3.3751725328274744E-2</v>
      </c>
      <c r="DR76" s="13">
        <f t="shared" si="294"/>
        <v>3.1833502957745896E-2</v>
      </c>
      <c r="DS76" s="13">
        <f t="shared" si="294"/>
        <v>6.4318118665602818E-3</v>
      </c>
      <c r="DT76" s="13">
        <f t="shared" si="294"/>
        <v>0</v>
      </c>
      <c r="DU76" s="13">
        <f t="shared" si="294"/>
        <v>2.9004211697594273E-2</v>
      </c>
      <c r="DV76" s="13">
        <f t="shared" si="294"/>
        <v>4.4131211781221612E-2</v>
      </c>
      <c r="DW76" s="13">
        <f t="shared" si="294"/>
        <v>6.0940952548377045E-2</v>
      </c>
      <c r="DX76" s="13">
        <f t="shared" si="294"/>
        <v>1.5934012838027794E-2</v>
      </c>
      <c r="DY76" s="13">
        <f t="shared" si="294"/>
        <v>0</v>
      </c>
      <c r="DZ76" s="13">
        <f t="shared" si="294"/>
        <v>0.28722568972065871</v>
      </c>
      <c r="EA76" s="12">
        <f t="shared" si="339"/>
        <v>1</v>
      </c>
      <c r="EB76" s="26"/>
      <c r="EC76" s="30">
        <f t="shared" si="340"/>
        <v>1173</v>
      </c>
      <c r="ED76" s="14">
        <f t="shared" si="341"/>
        <v>1000000000</v>
      </c>
      <c r="EE76" s="29"/>
      <c r="EF76" s="184">
        <f t="shared" si="391"/>
        <v>-11.922297527706734</v>
      </c>
      <c r="EG76" s="13">
        <f t="shared" si="383"/>
        <v>-0.2</v>
      </c>
      <c r="EH76" s="13">
        <f t="shared" si="384"/>
        <v>-0.42125745950554006</v>
      </c>
      <c r="EI76" s="12">
        <f t="shared" si="342"/>
        <v>4.3416018755328221</v>
      </c>
      <c r="EJ76" s="29"/>
      <c r="EK76" s="28">
        <f t="shared" si="385"/>
        <v>-2.2927278047597239</v>
      </c>
      <c r="EL76" s="24">
        <f t="shared" si="343"/>
        <v>-0.9955396460094329</v>
      </c>
      <c r="EM76" s="24">
        <f t="shared" si="386"/>
        <v>0.10099060313265787</v>
      </c>
      <c r="EN76" s="24">
        <f t="shared" si="344"/>
        <v>5.2491376571724931E-2</v>
      </c>
      <c r="EO76" s="24">
        <f t="shared" si="345"/>
        <v>5.301135779241968E-3</v>
      </c>
      <c r="EP76" s="24">
        <f t="shared" si="346"/>
        <v>0.16804023657981554</v>
      </c>
      <c r="EQ76" s="24">
        <f t="shared" si="347"/>
        <v>-2.2924101860329604</v>
      </c>
      <c r="ER76" s="24">
        <f t="shared" si="348"/>
        <v>-27.449728349216844</v>
      </c>
      <c r="ES76" s="25">
        <f t="shared" si="349"/>
        <v>-11.919117824236581</v>
      </c>
      <c r="ET76" s="26"/>
      <c r="EU76" s="23">
        <f t="shared" si="392"/>
        <v>-4.9541811941409328</v>
      </c>
      <c r="EV76" s="12">
        <f t="shared" si="350"/>
        <v>1.1112556439263344E-5</v>
      </c>
      <c r="EW76" s="26"/>
      <c r="EX76" s="27">
        <f t="shared" si="351"/>
        <v>3.1523091832602089E-3</v>
      </c>
      <c r="EY76" s="26"/>
      <c r="EZ76" s="23">
        <f t="shared" si="281"/>
        <v>-8.3698223188274223</v>
      </c>
      <c r="FA76" s="13">
        <f t="shared" si="352"/>
        <v>15.635018699889084</v>
      </c>
      <c r="FB76" s="13">
        <f t="shared" si="282"/>
        <v>-27.172509068173227</v>
      </c>
      <c r="FC76" s="13">
        <f t="shared" si="283"/>
        <v>-3.7268590361848482</v>
      </c>
      <c r="FD76" s="12">
        <f t="shared" si="353"/>
        <v>2.3502645859875382E-2</v>
      </c>
      <c r="FE76" s="13"/>
      <c r="FF76" s="23">
        <f t="shared" si="284"/>
        <v>-7.1088187181183455</v>
      </c>
      <c r="FG76" s="13">
        <f t="shared" si="285"/>
        <v>13.814764289861159</v>
      </c>
      <c r="FH76" s="13">
        <f t="shared" si="286"/>
        <v>15.215974285169665</v>
      </c>
      <c r="FI76" s="24">
        <f t="shared" si="287"/>
        <v>1.1980290340817268E-3</v>
      </c>
      <c r="FJ76" s="25">
        <f t="shared" si="288"/>
        <v>2.9327213571573085E-2</v>
      </c>
      <c r="FK76" s="13"/>
      <c r="FL76" s="23">
        <f t="shared" si="354"/>
        <v>12.885330668774174</v>
      </c>
      <c r="FM76" s="13">
        <f t="shared" si="355"/>
        <v>-7.2059345195248401</v>
      </c>
      <c r="FN76" s="13">
        <f t="shared" si="289"/>
        <v>-3.7533298671144557</v>
      </c>
      <c r="FO76" s="13">
        <f t="shared" si="356"/>
        <v>1.7643855804916342E-4</v>
      </c>
      <c r="FP76" s="23">
        <f t="shared" si="290"/>
        <v>-4.6842761586745567</v>
      </c>
      <c r="FQ76" s="13">
        <f t="shared" si="291"/>
        <v>2.0687826086218664E-5</v>
      </c>
      <c r="FR76" s="13">
        <f t="shared" si="292"/>
        <v>-4.319399773337814</v>
      </c>
      <c r="FS76" s="13">
        <f t="shared" si="387"/>
        <v>4.7926908037898563E-5</v>
      </c>
      <c r="FT76" s="13">
        <f t="shared" si="293"/>
        <v>-4.7780527997657778</v>
      </c>
      <c r="FU76" s="12">
        <f t="shared" si="388"/>
        <v>1.6670167377941247E-5</v>
      </c>
      <c r="FV76" s="22"/>
      <c r="FW76" s="11">
        <f t="shared" si="357"/>
        <v>-0.2</v>
      </c>
      <c r="FX76" s="10">
        <f t="shared" si="358"/>
        <v>-0.42125745950554006</v>
      </c>
      <c r="FY76" s="10">
        <f t="shared" si="359"/>
        <v>4.3416018755328221</v>
      </c>
      <c r="FZ76" s="5">
        <f t="shared" si="360"/>
        <v>-11.922297527706734</v>
      </c>
      <c r="GA76" s="10">
        <f t="shared" si="361"/>
        <v>0.16804023657981554</v>
      </c>
      <c r="GB76" s="9">
        <f t="shared" si="275"/>
        <v>12.885330668774174</v>
      </c>
      <c r="GC76" s="8">
        <f t="shared" si="276"/>
        <v>-7.2059345195248401</v>
      </c>
      <c r="GD76" s="8">
        <f t="shared" si="389"/>
        <v>1.7643855804916342E-4</v>
      </c>
      <c r="GE76" s="7">
        <f t="shared" si="390"/>
        <v>2.0687826086218664E-5</v>
      </c>
      <c r="GF76" s="6">
        <f t="shared" si="277"/>
        <v>1.1980290340817268E-3</v>
      </c>
      <c r="GG76" s="5">
        <f t="shared" si="278"/>
        <v>2.9327213571573085E-2</v>
      </c>
      <c r="GH76" s="4">
        <f t="shared" si="279"/>
        <v>2.3502645859875382E-2</v>
      </c>
      <c r="GI76" s="4">
        <f t="shared" si="362"/>
        <v>3.1523091832602089E-3</v>
      </c>
      <c r="GJ76" s="4">
        <f t="shared" si="363"/>
        <v>1.1112556439263344E-5</v>
      </c>
      <c r="GK76" s="1"/>
    </row>
    <row r="77" spans="1:193" x14ac:dyDescent="0.4">
      <c r="A77" s="32"/>
      <c r="B77" s="33"/>
      <c r="C77" s="33"/>
      <c r="D77" s="32"/>
      <c r="E77" s="32"/>
      <c r="F77" s="20" t="s">
        <v>84</v>
      </c>
      <c r="G77" s="19">
        <v>900</v>
      </c>
      <c r="H77" s="18">
        <v>1</v>
      </c>
      <c r="I77" s="17">
        <v>0.2</v>
      </c>
      <c r="J77" s="16">
        <v>52.63</v>
      </c>
      <c r="K77" s="16">
        <v>1.18</v>
      </c>
      <c r="L77" s="16">
        <v>17.13</v>
      </c>
      <c r="M77" s="16">
        <v>0</v>
      </c>
      <c r="N77" s="16">
        <f t="shared" si="153"/>
        <v>6.3739999999999997</v>
      </c>
      <c r="O77" s="16">
        <v>0</v>
      </c>
      <c r="P77" s="16">
        <v>2.71</v>
      </c>
      <c r="Q77" s="16">
        <v>5.74</v>
      </c>
      <c r="R77" s="16">
        <v>4.38</v>
      </c>
      <c r="S77" s="16">
        <v>1.74</v>
      </c>
      <c r="T77" s="16">
        <v>0</v>
      </c>
      <c r="U77" s="15">
        <v>6</v>
      </c>
      <c r="V77" s="16"/>
      <c r="W77" s="28">
        <f t="shared" si="364"/>
        <v>53.767725062318682</v>
      </c>
      <c r="X77" s="24">
        <f t="shared" si="155"/>
        <v>1.2055085611540193</v>
      </c>
      <c r="Y77" s="24">
        <f t="shared" si="155"/>
        <v>17.500306485227416</v>
      </c>
      <c r="Z77" s="24">
        <f t="shared" si="155"/>
        <v>0</v>
      </c>
      <c r="AA77" s="24">
        <f t="shared" si="155"/>
        <v>6.5117894650811179</v>
      </c>
      <c r="AB77" s="24">
        <f t="shared" si="155"/>
        <v>0</v>
      </c>
      <c r="AC77" s="24">
        <f t="shared" si="393"/>
        <v>2.7685832209554171</v>
      </c>
      <c r="AD77" s="24">
        <f t="shared" si="393"/>
        <v>5.8640840178170093</v>
      </c>
      <c r="AE77" s="24">
        <f t="shared" si="393"/>
        <v>4.4746843202157667</v>
      </c>
      <c r="AF77" s="24">
        <f t="shared" si="393"/>
        <v>1.777614318989825</v>
      </c>
      <c r="AG77" s="24">
        <f t="shared" si="393"/>
        <v>0</v>
      </c>
      <c r="AH77" s="24">
        <f t="shared" si="393"/>
        <v>6.1297045482407766</v>
      </c>
      <c r="AI77" s="14">
        <f t="shared" si="365"/>
        <v>100.00000000000004</v>
      </c>
      <c r="AJ77" s="26"/>
      <c r="AK77" s="50">
        <f t="shared" si="366"/>
        <v>0.89478657118187188</v>
      </c>
      <c r="AL77" s="47">
        <f t="shared" si="367"/>
        <v>1.5087716660250553E-2</v>
      </c>
      <c r="AM77" s="47">
        <f t="shared" si="368"/>
        <v>0.17163894159697349</v>
      </c>
      <c r="AN77" s="49">
        <f t="shared" si="369"/>
        <v>0</v>
      </c>
      <c r="AO77" s="49">
        <f t="shared" si="370"/>
        <v>9.0630333543230593E-2</v>
      </c>
      <c r="AP77" s="47">
        <f t="shared" si="371"/>
        <v>0</v>
      </c>
      <c r="AQ77" s="47">
        <f t="shared" si="372"/>
        <v>6.8665258456235542E-2</v>
      </c>
      <c r="AR77" s="47">
        <f t="shared" si="373"/>
        <v>0.10456640545322771</v>
      </c>
      <c r="AS77" s="47">
        <f t="shared" si="374"/>
        <v>7.2195616654013667E-2</v>
      </c>
      <c r="AT77" s="47">
        <f t="shared" si="375"/>
        <v>1.8870640328979033E-2</v>
      </c>
      <c r="AU77" s="47">
        <f t="shared" si="376"/>
        <v>0</v>
      </c>
      <c r="AV77" s="47">
        <f t="shared" si="377"/>
        <v>0.34016118469704643</v>
      </c>
      <c r="AW77" s="47">
        <f t="shared" si="378"/>
        <v>1.4364414838747823</v>
      </c>
      <c r="AX77" s="47">
        <f t="shared" si="379"/>
        <v>7.2974700860727229E-2</v>
      </c>
      <c r="AY77" s="46">
        <f t="shared" si="380"/>
        <v>8.830620666367606E-3</v>
      </c>
      <c r="AZ77" s="26"/>
      <c r="BA77" s="23">
        <f t="shared" si="295"/>
        <v>0.62291891540767586</v>
      </c>
      <c r="BB77" s="13">
        <f t="shared" si="296"/>
        <v>1.0503537268745283E-2</v>
      </c>
      <c r="BC77" s="13">
        <f t="shared" si="297"/>
        <v>0.11948898964821014</v>
      </c>
      <c r="BD77" s="13">
        <f t="shared" si="298"/>
        <v>0</v>
      </c>
      <c r="BE77" s="13">
        <f t="shared" si="299"/>
        <v>6.309364813020886E-2</v>
      </c>
      <c r="BF77" s="13">
        <f t="shared" si="300"/>
        <v>5.0802418114435761E-2</v>
      </c>
      <c r="BG77" s="13">
        <f t="shared" si="301"/>
        <v>6.1475672803232616E-3</v>
      </c>
      <c r="BH77" s="13">
        <f t="shared" si="302"/>
        <v>0</v>
      </c>
      <c r="BI77" s="13">
        <f t="shared" si="303"/>
        <v>4.7802335999801326E-2</v>
      </c>
      <c r="BJ77" s="13">
        <f t="shared" si="304"/>
        <v>7.2795450860386732E-2</v>
      </c>
      <c r="BK77" s="13">
        <f t="shared" si="305"/>
        <v>5.0260047112581939E-2</v>
      </c>
      <c r="BL77" s="13">
        <f t="shared" si="306"/>
        <v>1.3137075572389989E-2</v>
      </c>
      <c r="BM77" s="13">
        <f t="shared" si="307"/>
        <v>0</v>
      </c>
      <c r="BN77" s="13">
        <f t="shared" si="308"/>
        <v>0.23680824350704913</v>
      </c>
      <c r="BO77" s="12">
        <f t="shared" si="309"/>
        <v>1.0000000000000002</v>
      </c>
      <c r="BP77" s="13"/>
      <c r="BQ77" s="23">
        <f t="shared" si="310"/>
        <v>1.7895731423637438</v>
      </c>
      <c r="BR77" s="13">
        <f t="shared" si="311"/>
        <v>3.0175433320501106E-2</v>
      </c>
      <c r="BS77" s="13">
        <f t="shared" si="312"/>
        <v>0.51471489662433578</v>
      </c>
      <c r="BT77" s="13">
        <f t="shared" si="313"/>
        <v>0</v>
      </c>
      <c r="BU77" s="13">
        <f t="shared" si="314"/>
        <v>9.0630333543230593E-2</v>
      </c>
      <c r="BV77" s="13">
        <f t="shared" si="315"/>
        <v>7.2974700860727229E-2</v>
      </c>
      <c r="BW77" s="24">
        <f t="shared" si="316"/>
        <v>2.649186199910282E-2</v>
      </c>
      <c r="BX77" s="13">
        <f t="shared" si="317"/>
        <v>0</v>
      </c>
      <c r="BY77" s="13">
        <f t="shared" si="318"/>
        <v>6.8699335507578591E-2</v>
      </c>
      <c r="BZ77" s="13">
        <f t="shared" si="319"/>
        <v>0.10452912687730855</v>
      </c>
      <c r="CA77" s="13">
        <f t="shared" si="320"/>
        <v>7.2172327745415585E-2</v>
      </c>
      <c r="CB77" s="13">
        <f t="shared" si="321"/>
        <v>1.8870640328979033E-2</v>
      </c>
      <c r="CC77" s="13">
        <f t="shared" si="322"/>
        <v>0</v>
      </c>
      <c r="CD77" s="13">
        <f t="shared" si="323"/>
        <v>0.34016118469704643</v>
      </c>
      <c r="CE77" s="12">
        <f t="shared" si="324"/>
        <v>3.0295264210081392</v>
      </c>
      <c r="CF77" s="13"/>
      <c r="CG77" s="23">
        <f t="shared" si="280"/>
        <v>0.59071052490383147</v>
      </c>
      <c r="CH77" s="13">
        <f t="shared" si="280"/>
        <v>9.9604456694124457E-3</v>
      </c>
      <c r="CI77" s="13">
        <f t="shared" si="280"/>
        <v>0.16989945790043762</v>
      </c>
      <c r="CJ77" s="13">
        <f t="shared" si="280"/>
        <v>0</v>
      </c>
      <c r="CK77" s="13">
        <f t="shared" si="280"/>
        <v>2.991567689086911E-2</v>
      </c>
      <c r="CL77" s="13">
        <f t="shared" si="280"/>
        <v>2.4087824537421709E-2</v>
      </c>
      <c r="CM77" s="13">
        <f t="shared" si="280"/>
        <v>8.7445555237267384E-3</v>
      </c>
      <c r="CN77" s="13">
        <f t="shared" si="280"/>
        <v>0</v>
      </c>
      <c r="CO77" s="13">
        <f t="shared" si="280"/>
        <v>2.2676592298778313E-2</v>
      </c>
      <c r="CP77" s="13">
        <f t="shared" si="156"/>
        <v>3.4503454451644711E-2</v>
      </c>
      <c r="CQ77" s="13">
        <f t="shared" si="156"/>
        <v>2.3822973533070793E-2</v>
      </c>
      <c r="CR77" s="13">
        <f t="shared" si="156"/>
        <v>6.2289076596663004E-3</v>
      </c>
      <c r="CS77" s="13">
        <f t="shared" si="156"/>
        <v>0</v>
      </c>
      <c r="CT77" s="13">
        <f t="shared" si="156"/>
        <v>0.11228196669228935</v>
      </c>
      <c r="CU77" s="12">
        <f t="shared" si="325"/>
        <v>1.0000000000000002</v>
      </c>
      <c r="CV77" s="26"/>
      <c r="CW77" s="23">
        <f t="shared" si="326"/>
        <v>0.89478657118187188</v>
      </c>
      <c r="CX77" s="13">
        <f t="shared" si="327"/>
        <v>1.5087716660250553E-2</v>
      </c>
      <c r="CY77" s="13">
        <f t="shared" si="328"/>
        <v>0.34314326441622384</v>
      </c>
      <c r="CZ77" s="13">
        <f t="shared" si="329"/>
        <v>0</v>
      </c>
      <c r="DA77" s="13">
        <f t="shared" si="330"/>
        <v>7.9944289693593323E-2</v>
      </c>
      <c r="DB77" s="13">
        <f t="shared" si="331"/>
        <v>7.2974700860727229E-2</v>
      </c>
      <c r="DC77" s="24">
        <f t="shared" si="332"/>
        <v>1.7661241332735212E-2</v>
      </c>
      <c r="DD77" s="13">
        <f t="shared" si="333"/>
        <v>0</v>
      </c>
      <c r="DE77" s="13">
        <f t="shared" si="334"/>
        <v>6.8699335507578591E-2</v>
      </c>
      <c r="DF77" s="13">
        <f t="shared" si="335"/>
        <v>0.10452912687730855</v>
      </c>
      <c r="DG77" s="13">
        <f t="shared" si="336"/>
        <v>0.14434465549083117</v>
      </c>
      <c r="DH77" s="13">
        <f t="shared" si="337"/>
        <v>3.7741280657958065E-2</v>
      </c>
      <c r="DI77" s="13">
        <f t="shared" si="338"/>
        <v>0</v>
      </c>
      <c r="DJ77" s="13">
        <f t="shared" si="381"/>
        <v>0.68032236939409285</v>
      </c>
      <c r="DK77" s="12">
        <f t="shared" si="382"/>
        <v>2.3685986098797089</v>
      </c>
      <c r="DL77" s="26"/>
      <c r="DM77" s="23">
        <f t="shared" si="152"/>
        <v>0.3777704535709891</v>
      </c>
      <c r="DN77" s="13">
        <f t="shared" si="152"/>
        <v>6.3698917145851037E-3</v>
      </c>
      <c r="DO77" s="13">
        <f t="shared" si="152"/>
        <v>0.14487185080027157</v>
      </c>
      <c r="DP77" s="13">
        <f t="shared" si="152"/>
        <v>0</v>
      </c>
      <c r="DQ77" s="13">
        <f t="shared" si="152"/>
        <v>3.3751725328274744E-2</v>
      </c>
      <c r="DR77" s="13">
        <f t="shared" si="294"/>
        <v>3.0809230638040992E-2</v>
      </c>
      <c r="DS77" s="13">
        <f t="shared" si="294"/>
        <v>7.456409566005847E-3</v>
      </c>
      <c r="DT77" s="13">
        <f t="shared" si="294"/>
        <v>0</v>
      </c>
      <c r="DU77" s="13">
        <f t="shared" si="294"/>
        <v>2.9004211697594273E-2</v>
      </c>
      <c r="DV77" s="13">
        <f t="shared" si="294"/>
        <v>4.4131211781221612E-2</v>
      </c>
      <c r="DW77" s="13">
        <f t="shared" si="294"/>
        <v>6.0940952548377045E-2</v>
      </c>
      <c r="DX77" s="13">
        <f t="shared" si="294"/>
        <v>1.5934012838027794E-2</v>
      </c>
      <c r="DY77" s="13">
        <f t="shared" si="294"/>
        <v>0</v>
      </c>
      <c r="DZ77" s="13">
        <f t="shared" si="294"/>
        <v>0.28722568972065871</v>
      </c>
      <c r="EA77" s="12">
        <f t="shared" si="339"/>
        <v>1</v>
      </c>
      <c r="EB77" s="26"/>
      <c r="EC77" s="30">
        <f t="shared" si="340"/>
        <v>1173</v>
      </c>
      <c r="ED77" s="14">
        <f t="shared" si="341"/>
        <v>1000000000</v>
      </c>
      <c r="EE77" s="29"/>
      <c r="EF77" s="184">
        <f t="shared" si="391"/>
        <v>-11.522297527706735</v>
      </c>
      <c r="EG77" s="13">
        <f t="shared" si="383"/>
        <v>0.2</v>
      </c>
      <c r="EH77" s="13">
        <f t="shared" si="384"/>
        <v>-2.1257459505541476E-2</v>
      </c>
      <c r="EI77" s="12">
        <f t="shared" si="342"/>
        <v>4.7416018755328206</v>
      </c>
      <c r="EJ77" s="29"/>
      <c r="EK77" s="28">
        <f t="shared" si="385"/>
        <v>-2.1122051334689917</v>
      </c>
      <c r="EL77" s="24">
        <f t="shared" si="343"/>
        <v>-0.91715377050325309</v>
      </c>
      <c r="EM77" s="24">
        <f t="shared" si="386"/>
        <v>0.12097091508603286</v>
      </c>
      <c r="EN77" s="24">
        <f t="shared" si="344"/>
        <v>5.0802418114435768E-2</v>
      </c>
      <c r="EO77" s="24">
        <f t="shared" si="345"/>
        <v>6.1456150078865466E-3</v>
      </c>
      <c r="EP77" s="24">
        <f t="shared" si="346"/>
        <v>0.19480930933661017</v>
      </c>
      <c r="EQ77" s="24">
        <f t="shared" si="347"/>
        <v>-2.1118875147422278</v>
      </c>
      <c r="ER77" s="24">
        <f t="shared" si="348"/>
        <v>-26.528694312019226</v>
      </c>
      <c r="ES77" s="25">
        <f t="shared" si="349"/>
        <v>-11.519189887980559</v>
      </c>
      <c r="ET77" s="26"/>
      <c r="EU77" s="23">
        <f t="shared" si="392"/>
        <v>-4.326981194140938</v>
      </c>
      <c r="EV77" s="12">
        <f t="shared" si="350"/>
        <v>4.7097553830033334E-5</v>
      </c>
      <c r="EW77" s="26"/>
      <c r="EX77" s="27">
        <f t="shared" si="351"/>
        <v>1.9562303872579508E-2</v>
      </c>
      <c r="EY77" s="26"/>
      <c r="EZ77" s="23">
        <f t="shared" si="281"/>
        <v>-8.3698223188274223</v>
      </c>
      <c r="FA77" s="13">
        <f t="shared" si="352"/>
        <v>15.620610777233384</v>
      </c>
      <c r="FB77" s="13">
        <f t="shared" si="282"/>
        <v>-27.172509068173227</v>
      </c>
      <c r="FC77" s="13">
        <f t="shared" si="283"/>
        <v>-1.899198884445326</v>
      </c>
      <c r="FD77" s="12">
        <f t="shared" si="353"/>
        <v>0.13019917170028994</v>
      </c>
      <c r="FE77" s="13"/>
      <c r="FF77" s="23">
        <f t="shared" si="284"/>
        <v>-7.1260481865072798</v>
      </c>
      <c r="FG77" s="13">
        <f t="shared" si="285"/>
        <v>13.814764289861159</v>
      </c>
      <c r="FH77" s="13">
        <f t="shared" si="286"/>
        <v>15.215974285169665</v>
      </c>
      <c r="FI77" s="24">
        <f t="shared" si="287"/>
        <v>7.8128773584809075E-3</v>
      </c>
      <c r="FJ77" s="25">
        <f t="shared" si="288"/>
        <v>0.16551773270365089</v>
      </c>
      <c r="FK77" s="13"/>
      <c r="FL77" s="23">
        <f t="shared" si="354"/>
        <v>12.885330668774174</v>
      </c>
      <c r="FM77" s="13">
        <f t="shared" si="355"/>
        <v>-7.2127552937388</v>
      </c>
      <c r="FN77" s="13">
        <f t="shared" si="289"/>
        <v>-2.9465090929004951</v>
      </c>
      <c r="FO77" s="13">
        <f t="shared" si="356"/>
        <v>1.1297958252421969E-3</v>
      </c>
      <c r="FP77" s="23">
        <f t="shared" si="290"/>
        <v>-3.8774553844605961</v>
      </c>
      <c r="FQ77" s="13">
        <f t="shared" si="291"/>
        <v>1.325827527342005E-4</v>
      </c>
      <c r="FR77" s="13">
        <f t="shared" si="292"/>
        <v>-3.5125789991238534</v>
      </c>
      <c r="FS77" s="13">
        <f t="shared" si="387"/>
        <v>3.0710550834722739E-4</v>
      </c>
      <c r="FT77" s="13">
        <f t="shared" si="293"/>
        <v>-3.9712320255518172</v>
      </c>
      <c r="FU77" s="12">
        <f t="shared" si="388"/>
        <v>1.0683697264457503E-4</v>
      </c>
      <c r="FV77" s="22"/>
      <c r="FW77" s="11">
        <f t="shared" si="357"/>
        <v>0.2</v>
      </c>
      <c r="FX77" s="10">
        <f t="shared" si="358"/>
        <v>-2.1257459505541476E-2</v>
      </c>
      <c r="FY77" s="10">
        <f t="shared" si="359"/>
        <v>4.7416018755328206</v>
      </c>
      <c r="FZ77" s="5">
        <f t="shared" si="360"/>
        <v>-11.522297527706735</v>
      </c>
      <c r="GA77" s="10">
        <f t="shared" si="361"/>
        <v>0.19480930933661017</v>
      </c>
      <c r="GB77" s="9">
        <f t="shared" si="275"/>
        <v>12.885330668774174</v>
      </c>
      <c r="GC77" s="8">
        <f t="shared" si="276"/>
        <v>-7.2127552937388</v>
      </c>
      <c r="GD77" s="8">
        <f t="shared" si="389"/>
        <v>1.1297958252421969E-3</v>
      </c>
      <c r="GE77" s="7">
        <f t="shared" si="390"/>
        <v>1.325827527342005E-4</v>
      </c>
      <c r="GF77" s="6">
        <f t="shared" si="277"/>
        <v>7.8128773584809075E-3</v>
      </c>
      <c r="GG77" s="5">
        <f t="shared" si="278"/>
        <v>0.16551773270365089</v>
      </c>
      <c r="GH77" s="4">
        <f t="shared" si="279"/>
        <v>0.13019917170028994</v>
      </c>
      <c r="GI77" s="4">
        <f t="shared" si="362"/>
        <v>1.9562303872579508E-2</v>
      </c>
      <c r="GJ77" s="4">
        <f t="shared" si="363"/>
        <v>4.7097553830033334E-5</v>
      </c>
      <c r="GK77" s="1"/>
    </row>
    <row r="78" spans="1:193" x14ac:dyDescent="0.4">
      <c r="A78" s="32"/>
      <c r="B78" s="33"/>
      <c r="C78" s="33"/>
      <c r="D78" s="32"/>
      <c r="E78" s="32"/>
      <c r="F78" s="20" t="s">
        <v>84</v>
      </c>
      <c r="G78" s="19">
        <v>900</v>
      </c>
      <c r="H78" s="18">
        <v>1</v>
      </c>
      <c r="I78" s="17">
        <v>0.6</v>
      </c>
      <c r="J78" s="16">
        <v>52.63</v>
      </c>
      <c r="K78" s="16">
        <v>1.18</v>
      </c>
      <c r="L78" s="16">
        <v>17.13</v>
      </c>
      <c r="M78" s="16">
        <v>0</v>
      </c>
      <c r="N78" s="16">
        <f t="shared" si="153"/>
        <v>6.3739999999999997</v>
      </c>
      <c r="O78" s="16">
        <v>0</v>
      </c>
      <c r="P78" s="16">
        <v>2.71</v>
      </c>
      <c r="Q78" s="16">
        <v>5.74</v>
      </c>
      <c r="R78" s="16">
        <v>4.38</v>
      </c>
      <c r="S78" s="16">
        <v>1.74</v>
      </c>
      <c r="T78" s="16">
        <v>0</v>
      </c>
      <c r="U78" s="15">
        <v>6</v>
      </c>
      <c r="V78" s="16"/>
      <c r="W78" s="28">
        <f t="shared" si="364"/>
        <v>53.767725062318682</v>
      </c>
      <c r="X78" s="24">
        <f t="shared" si="155"/>
        <v>1.2055085611540193</v>
      </c>
      <c r="Y78" s="24">
        <f t="shared" si="155"/>
        <v>17.500306485227416</v>
      </c>
      <c r="Z78" s="24">
        <f t="shared" si="155"/>
        <v>0</v>
      </c>
      <c r="AA78" s="24">
        <f t="shared" si="155"/>
        <v>6.5117894650811179</v>
      </c>
      <c r="AB78" s="24">
        <f t="shared" si="155"/>
        <v>0</v>
      </c>
      <c r="AC78" s="24">
        <f t="shared" si="393"/>
        <v>2.7685832209554171</v>
      </c>
      <c r="AD78" s="24">
        <f t="shared" si="393"/>
        <v>5.8640840178170093</v>
      </c>
      <c r="AE78" s="24">
        <f t="shared" si="393"/>
        <v>4.4746843202157667</v>
      </c>
      <c r="AF78" s="24">
        <f t="shared" si="393"/>
        <v>1.777614318989825</v>
      </c>
      <c r="AG78" s="24">
        <f t="shared" si="393"/>
        <v>0</v>
      </c>
      <c r="AH78" s="24">
        <f t="shared" si="393"/>
        <v>6.1297045482407766</v>
      </c>
      <c r="AI78" s="14">
        <f t="shared" si="365"/>
        <v>100.00000000000004</v>
      </c>
      <c r="AJ78" s="26"/>
      <c r="AK78" s="50">
        <f t="shared" si="366"/>
        <v>0.89478657118187188</v>
      </c>
      <c r="AL78" s="47">
        <f t="shared" si="367"/>
        <v>1.5087716660250553E-2</v>
      </c>
      <c r="AM78" s="47">
        <f t="shared" si="368"/>
        <v>0.17163894159697349</v>
      </c>
      <c r="AN78" s="49">
        <f t="shared" si="369"/>
        <v>0</v>
      </c>
      <c r="AO78" s="49">
        <f t="shared" si="370"/>
        <v>9.0630333543230593E-2</v>
      </c>
      <c r="AP78" s="47">
        <f t="shared" si="371"/>
        <v>0</v>
      </c>
      <c r="AQ78" s="47">
        <f t="shared" si="372"/>
        <v>6.8665258456235542E-2</v>
      </c>
      <c r="AR78" s="47">
        <f t="shared" si="373"/>
        <v>0.10456640545322771</v>
      </c>
      <c r="AS78" s="47">
        <f t="shared" si="374"/>
        <v>7.2195616654013667E-2</v>
      </c>
      <c r="AT78" s="47">
        <f t="shared" si="375"/>
        <v>1.8870640328979033E-2</v>
      </c>
      <c r="AU78" s="47">
        <f t="shared" si="376"/>
        <v>0</v>
      </c>
      <c r="AV78" s="47">
        <f t="shared" si="377"/>
        <v>0.34016118469704643</v>
      </c>
      <c r="AW78" s="47">
        <f t="shared" si="378"/>
        <v>1.4364414838747823</v>
      </c>
      <c r="AX78" s="47">
        <f t="shared" si="379"/>
        <v>7.02665092752041E-2</v>
      </c>
      <c r="AY78" s="46">
        <f t="shared" si="380"/>
        <v>1.0185146613619729E-2</v>
      </c>
      <c r="AZ78" s="26"/>
      <c r="BA78" s="23">
        <f t="shared" si="295"/>
        <v>0.62291891540767586</v>
      </c>
      <c r="BB78" s="13">
        <f t="shared" si="296"/>
        <v>1.0503537268745283E-2</v>
      </c>
      <c r="BC78" s="13">
        <f t="shared" si="297"/>
        <v>0.11948898964821014</v>
      </c>
      <c r="BD78" s="13">
        <f t="shared" si="298"/>
        <v>0</v>
      </c>
      <c r="BE78" s="13">
        <f t="shared" si="299"/>
        <v>6.309364813020886E-2</v>
      </c>
      <c r="BF78" s="13">
        <f t="shared" si="300"/>
        <v>4.8917070457796231E-2</v>
      </c>
      <c r="BG78" s="13">
        <f t="shared" si="301"/>
        <v>7.0905405670584143E-3</v>
      </c>
      <c r="BH78" s="13">
        <f t="shared" si="302"/>
        <v>0</v>
      </c>
      <c r="BI78" s="13">
        <f t="shared" si="303"/>
        <v>4.7802335999801326E-2</v>
      </c>
      <c r="BJ78" s="13">
        <f t="shared" si="304"/>
        <v>7.2795450860386732E-2</v>
      </c>
      <c r="BK78" s="13">
        <f t="shared" si="305"/>
        <v>5.0260047112581939E-2</v>
      </c>
      <c r="BL78" s="13">
        <f t="shared" si="306"/>
        <v>1.3137075572389989E-2</v>
      </c>
      <c r="BM78" s="13">
        <f t="shared" si="307"/>
        <v>0</v>
      </c>
      <c r="BN78" s="13">
        <f t="shared" si="308"/>
        <v>0.23680824350704913</v>
      </c>
      <c r="BO78" s="12">
        <f t="shared" si="309"/>
        <v>1.0000000000000002</v>
      </c>
      <c r="BP78" s="13"/>
      <c r="BQ78" s="23">
        <f t="shared" si="310"/>
        <v>1.7895731423637438</v>
      </c>
      <c r="BR78" s="13">
        <f t="shared" si="311"/>
        <v>3.0175433320501106E-2</v>
      </c>
      <c r="BS78" s="13">
        <f t="shared" si="312"/>
        <v>0.51471489662433578</v>
      </c>
      <c r="BT78" s="13">
        <f t="shared" si="313"/>
        <v>0</v>
      </c>
      <c r="BU78" s="13">
        <f t="shared" si="314"/>
        <v>9.0630333543230593E-2</v>
      </c>
      <c r="BV78" s="13">
        <f t="shared" si="315"/>
        <v>7.02665092752041E-2</v>
      </c>
      <c r="BW78" s="24">
        <f t="shared" si="316"/>
        <v>3.0555439840859188E-2</v>
      </c>
      <c r="BX78" s="13">
        <f t="shared" si="317"/>
        <v>0</v>
      </c>
      <c r="BY78" s="13">
        <f t="shared" si="318"/>
        <v>6.8699335507578591E-2</v>
      </c>
      <c r="BZ78" s="13">
        <f t="shared" si="319"/>
        <v>0.10452912687730855</v>
      </c>
      <c r="CA78" s="13">
        <f t="shared" si="320"/>
        <v>7.2172327745415585E-2</v>
      </c>
      <c r="CB78" s="13">
        <f t="shared" si="321"/>
        <v>1.8870640328979033E-2</v>
      </c>
      <c r="CC78" s="13">
        <f t="shared" si="322"/>
        <v>0</v>
      </c>
      <c r="CD78" s="13">
        <f t="shared" si="323"/>
        <v>0.34016118469704643</v>
      </c>
      <c r="CE78" s="12">
        <f t="shared" si="324"/>
        <v>3.0295264210081392</v>
      </c>
      <c r="CF78" s="13"/>
      <c r="CG78" s="23">
        <f t="shared" si="280"/>
        <v>0.59071052490383147</v>
      </c>
      <c r="CH78" s="13">
        <f t="shared" si="280"/>
        <v>9.9604456694124457E-3</v>
      </c>
      <c r="CI78" s="13">
        <f t="shared" si="280"/>
        <v>0.16989945790043762</v>
      </c>
      <c r="CJ78" s="13">
        <f t="shared" si="280"/>
        <v>0</v>
      </c>
      <c r="CK78" s="13">
        <f t="shared" si="280"/>
        <v>2.991567689086911E-2</v>
      </c>
      <c r="CL78" s="13">
        <f t="shared" si="280"/>
        <v>2.3193892216269708E-2</v>
      </c>
      <c r="CM78" s="13">
        <f t="shared" si="280"/>
        <v>1.0085879967566422E-2</v>
      </c>
      <c r="CN78" s="13">
        <f t="shared" si="280"/>
        <v>0</v>
      </c>
      <c r="CO78" s="13">
        <f t="shared" si="280"/>
        <v>2.2676592298778313E-2</v>
      </c>
      <c r="CP78" s="13">
        <f t="shared" si="156"/>
        <v>3.4503454451644711E-2</v>
      </c>
      <c r="CQ78" s="13">
        <f t="shared" si="156"/>
        <v>2.3822973533070793E-2</v>
      </c>
      <c r="CR78" s="13">
        <f t="shared" si="156"/>
        <v>6.2289076596663004E-3</v>
      </c>
      <c r="CS78" s="13">
        <f t="shared" si="156"/>
        <v>0</v>
      </c>
      <c r="CT78" s="13">
        <f t="shared" si="156"/>
        <v>0.11228196669228935</v>
      </c>
      <c r="CU78" s="12">
        <f t="shared" si="325"/>
        <v>1.0000000000000002</v>
      </c>
      <c r="CV78" s="26"/>
      <c r="CW78" s="23">
        <f t="shared" si="326"/>
        <v>0.89478657118187188</v>
      </c>
      <c r="CX78" s="13">
        <f t="shared" si="327"/>
        <v>1.5087716660250553E-2</v>
      </c>
      <c r="CY78" s="13">
        <f t="shared" si="328"/>
        <v>0.34314326441622384</v>
      </c>
      <c r="CZ78" s="13">
        <f t="shared" si="329"/>
        <v>0</v>
      </c>
      <c r="DA78" s="13">
        <f t="shared" si="330"/>
        <v>7.9944289693593323E-2</v>
      </c>
      <c r="DB78" s="13">
        <f t="shared" si="331"/>
        <v>7.02665092752041E-2</v>
      </c>
      <c r="DC78" s="24">
        <f t="shared" si="332"/>
        <v>2.0370293227239458E-2</v>
      </c>
      <c r="DD78" s="13">
        <f t="shared" si="333"/>
        <v>0</v>
      </c>
      <c r="DE78" s="13">
        <f t="shared" si="334"/>
        <v>6.8699335507578591E-2</v>
      </c>
      <c r="DF78" s="13">
        <f t="shared" si="335"/>
        <v>0.10452912687730855</v>
      </c>
      <c r="DG78" s="13">
        <f t="shared" si="336"/>
        <v>0.14434465549083117</v>
      </c>
      <c r="DH78" s="13">
        <f t="shared" si="337"/>
        <v>3.7741280657958065E-2</v>
      </c>
      <c r="DI78" s="13">
        <f t="shared" si="338"/>
        <v>0</v>
      </c>
      <c r="DJ78" s="13">
        <f t="shared" si="381"/>
        <v>0.68032236939409285</v>
      </c>
      <c r="DK78" s="12">
        <f t="shared" si="382"/>
        <v>2.3685986098797089</v>
      </c>
      <c r="DL78" s="26"/>
      <c r="DM78" s="23">
        <f t="shared" si="152"/>
        <v>0.3777704535709891</v>
      </c>
      <c r="DN78" s="13">
        <f t="shared" si="152"/>
        <v>6.3698917145851037E-3</v>
      </c>
      <c r="DO78" s="13">
        <f t="shared" si="152"/>
        <v>0.14487185080027157</v>
      </c>
      <c r="DP78" s="13">
        <f t="shared" si="152"/>
        <v>0</v>
      </c>
      <c r="DQ78" s="13">
        <f t="shared" si="152"/>
        <v>3.3751725328274744E-2</v>
      </c>
      <c r="DR78" s="13">
        <f t="shared" si="294"/>
        <v>2.9665857685685561E-2</v>
      </c>
      <c r="DS78" s="13">
        <f t="shared" si="294"/>
        <v>8.6001457327014048E-3</v>
      </c>
      <c r="DT78" s="13">
        <f t="shared" si="294"/>
        <v>0</v>
      </c>
      <c r="DU78" s="13">
        <f t="shared" si="294"/>
        <v>2.9004211697594273E-2</v>
      </c>
      <c r="DV78" s="13">
        <f t="shared" si="294"/>
        <v>4.4131211781221612E-2</v>
      </c>
      <c r="DW78" s="13">
        <f t="shared" si="294"/>
        <v>6.0940952548377045E-2</v>
      </c>
      <c r="DX78" s="13">
        <f t="shared" si="294"/>
        <v>1.5934012838027794E-2</v>
      </c>
      <c r="DY78" s="13">
        <f t="shared" si="294"/>
        <v>0</v>
      </c>
      <c r="DZ78" s="13">
        <f t="shared" si="294"/>
        <v>0.28722568972065871</v>
      </c>
      <c r="EA78" s="12">
        <f t="shared" si="339"/>
        <v>1</v>
      </c>
      <c r="EB78" s="26"/>
      <c r="EC78" s="30">
        <f t="shared" si="340"/>
        <v>1173</v>
      </c>
      <c r="ED78" s="14">
        <f t="shared" si="341"/>
        <v>1000000000</v>
      </c>
      <c r="EE78" s="29"/>
      <c r="EF78" s="184">
        <f t="shared" si="391"/>
        <v>-11.122297527706735</v>
      </c>
      <c r="EG78" s="13">
        <f t="shared" si="383"/>
        <v>0.6</v>
      </c>
      <c r="EH78" s="13">
        <f t="shared" si="384"/>
        <v>0.37874254049445888</v>
      </c>
      <c r="EI78" s="12">
        <f t="shared" si="342"/>
        <v>5.141601875532821</v>
      </c>
      <c r="EJ78" s="29"/>
      <c r="EK78" s="28">
        <f t="shared" si="385"/>
        <v>-1.9316824621782578</v>
      </c>
      <c r="EL78" s="24">
        <f t="shared" si="343"/>
        <v>-0.83876789499707249</v>
      </c>
      <c r="EM78" s="24">
        <f t="shared" si="386"/>
        <v>0.1449041974482469</v>
      </c>
      <c r="EN78" s="24">
        <f t="shared" si="344"/>
        <v>4.8917070457796238E-2</v>
      </c>
      <c r="EO78" s="24">
        <f t="shared" si="345"/>
        <v>7.0882888362063115E-3</v>
      </c>
      <c r="EP78" s="24">
        <f t="shared" si="346"/>
        <v>0.22469104406763513</v>
      </c>
      <c r="EQ78" s="24">
        <f t="shared" si="347"/>
        <v>-1.9313648434514941</v>
      </c>
      <c r="ER78" s="24">
        <f t="shared" si="348"/>
        <v>-25.607660274821608</v>
      </c>
      <c r="ES78" s="25">
        <f t="shared" si="349"/>
        <v>-11.119261951724537</v>
      </c>
      <c r="ET78" s="26"/>
      <c r="EU78" s="23">
        <f t="shared" si="392"/>
        <v>-3.6997811941409324</v>
      </c>
      <c r="EV78" s="12">
        <f t="shared" si="350"/>
        <v>1.9958693905430813E-4</v>
      </c>
      <c r="EW78" s="26"/>
      <c r="EX78" s="27">
        <f t="shared" si="351"/>
        <v>0.11181576977811693</v>
      </c>
      <c r="EY78" s="26"/>
      <c r="EZ78" s="23">
        <f t="shared" si="281"/>
        <v>-8.3698223188274223</v>
      </c>
      <c r="FA78" s="13">
        <f t="shared" si="352"/>
        <v>15.604527525985421</v>
      </c>
      <c r="FB78" s="13">
        <f t="shared" si="282"/>
        <v>-27.172509068173227</v>
      </c>
      <c r="FC78" s="13">
        <f t="shared" si="283"/>
        <v>-7.3214061298045863E-2</v>
      </c>
      <c r="FD78" s="12">
        <f t="shared" si="353"/>
        <v>0.48170465632116299</v>
      </c>
      <c r="FE78" s="13"/>
      <c r="FF78" s="23">
        <f t="shared" si="284"/>
        <v>-7.1452810679982548</v>
      </c>
      <c r="FG78" s="13">
        <f t="shared" si="285"/>
        <v>13.814764289861159</v>
      </c>
      <c r="FH78" s="13">
        <f t="shared" si="286"/>
        <v>15.215974285169665</v>
      </c>
      <c r="FI78" s="24">
        <f t="shared" si="287"/>
        <v>4.9369858527892885E-2</v>
      </c>
      <c r="FJ78" s="25">
        <f t="shared" si="288"/>
        <v>0.56675415012889219</v>
      </c>
      <c r="FK78" s="13"/>
      <c r="FL78" s="23">
        <f t="shared" si="354"/>
        <v>12.885330668774174</v>
      </c>
      <c r="FM78" s="13">
        <f t="shared" si="355"/>
        <v>-7.2203693345796669</v>
      </c>
      <c r="FN78" s="13">
        <f t="shared" si="289"/>
        <v>-2.138895052059631</v>
      </c>
      <c r="FO78" s="13">
        <f t="shared" si="356"/>
        <v>7.2104462993212159E-3</v>
      </c>
      <c r="FP78" s="23">
        <f t="shared" si="290"/>
        <v>-3.069841343619732</v>
      </c>
      <c r="FQ78" s="13">
        <f t="shared" si="291"/>
        <v>8.5072468388769362E-4</v>
      </c>
      <c r="FR78" s="13">
        <f t="shared" si="292"/>
        <v>-2.7049649582829893</v>
      </c>
      <c r="FS78" s="13">
        <f t="shared" si="387"/>
        <v>1.9686984715393541E-3</v>
      </c>
      <c r="FT78" s="13">
        <f t="shared" si="293"/>
        <v>-3.1636179847109531</v>
      </c>
      <c r="FU78" s="12">
        <f t="shared" si="388"/>
        <v>6.8562106397673794E-4</v>
      </c>
      <c r="FV78" s="22"/>
      <c r="FW78" s="11">
        <f t="shared" si="357"/>
        <v>0.6</v>
      </c>
      <c r="FX78" s="10">
        <f t="shared" si="358"/>
        <v>0.37874254049445888</v>
      </c>
      <c r="FY78" s="10">
        <f t="shared" si="359"/>
        <v>5.141601875532821</v>
      </c>
      <c r="FZ78" s="5">
        <f t="shared" si="360"/>
        <v>-11.122297527706735</v>
      </c>
      <c r="GA78" s="10">
        <f t="shared" si="361"/>
        <v>0.22469104406763513</v>
      </c>
      <c r="GB78" s="9">
        <f t="shared" si="275"/>
        <v>12.885330668774174</v>
      </c>
      <c r="GC78" s="8">
        <f t="shared" si="276"/>
        <v>-7.2203693345796669</v>
      </c>
      <c r="GD78" s="8">
        <f t="shared" si="389"/>
        <v>7.2104462993212159E-3</v>
      </c>
      <c r="GE78" s="7">
        <f t="shared" si="390"/>
        <v>8.5072468388769362E-4</v>
      </c>
      <c r="GF78" s="6">
        <f t="shared" si="277"/>
        <v>4.9369858527892885E-2</v>
      </c>
      <c r="GG78" s="5">
        <f t="shared" si="278"/>
        <v>0.56675415012889219</v>
      </c>
      <c r="GH78" s="4">
        <f t="shared" si="279"/>
        <v>0.48170465632116299</v>
      </c>
      <c r="GI78" s="4">
        <f t="shared" si="362"/>
        <v>0.11181576977811693</v>
      </c>
      <c r="GJ78" s="4">
        <f t="shared" si="363"/>
        <v>1.9958693905430813E-4</v>
      </c>
      <c r="GK78" s="1"/>
    </row>
    <row r="79" spans="1:193" x14ac:dyDescent="0.4">
      <c r="A79" s="32"/>
      <c r="B79" s="33"/>
      <c r="C79" s="33"/>
      <c r="D79" s="32"/>
      <c r="E79" s="32"/>
      <c r="F79" s="20" t="s">
        <v>84</v>
      </c>
      <c r="G79" s="19">
        <v>900</v>
      </c>
      <c r="H79" s="18">
        <v>1</v>
      </c>
      <c r="I79" s="17">
        <v>1</v>
      </c>
      <c r="J79" s="16">
        <v>52.63</v>
      </c>
      <c r="K79" s="16">
        <v>1.18</v>
      </c>
      <c r="L79" s="16">
        <v>17.13</v>
      </c>
      <c r="M79" s="16">
        <v>0</v>
      </c>
      <c r="N79" s="16">
        <f t="shared" si="153"/>
        <v>6.3739999999999997</v>
      </c>
      <c r="O79" s="16">
        <v>0</v>
      </c>
      <c r="P79" s="16">
        <v>2.71</v>
      </c>
      <c r="Q79" s="16">
        <v>5.74</v>
      </c>
      <c r="R79" s="16">
        <v>4.38</v>
      </c>
      <c r="S79" s="16">
        <v>1.74</v>
      </c>
      <c r="T79" s="16">
        <v>0</v>
      </c>
      <c r="U79" s="15">
        <v>6</v>
      </c>
      <c r="V79" s="16"/>
      <c r="W79" s="28">
        <f t="shared" si="364"/>
        <v>53.767725062318682</v>
      </c>
      <c r="X79" s="24">
        <f t="shared" si="155"/>
        <v>1.2055085611540193</v>
      </c>
      <c r="Y79" s="24">
        <f t="shared" si="155"/>
        <v>17.500306485227416</v>
      </c>
      <c r="Z79" s="24">
        <f t="shared" si="155"/>
        <v>0</v>
      </c>
      <c r="AA79" s="24">
        <f t="shared" si="155"/>
        <v>6.5117894650811179</v>
      </c>
      <c r="AB79" s="24">
        <f t="shared" si="155"/>
        <v>0</v>
      </c>
      <c r="AC79" s="24">
        <f t="shared" si="393"/>
        <v>2.7685832209554171</v>
      </c>
      <c r="AD79" s="24">
        <f t="shared" si="393"/>
        <v>5.8640840178170093</v>
      </c>
      <c r="AE79" s="24">
        <f t="shared" si="393"/>
        <v>4.4746843202157667</v>
      </c>
      <c r="AF79" s="24">
        <f t="shared" si="393"/>
        <v>1.777614318989825</v>
      </c>
      <c r="AG79" s="24">
        <f t="shared" si="393"/>
        <v>0</v>
      </c>
      <c r="AH79" s="24">
        <f t="shared" si="393"/>
        <v>6.1297045482407766</v>
      </c>
      <c r="AI79" s="14">
        <f t="shared" si="365"/>
        <v>100.00000000000004</v>
      </c>
      <c r="AJ79" s="26"/>
      <c r="AK79" s="50">
        <f t="shared" si="366"/>
        <v>0.89478657118187188</v>
      </c>
      <c r="AL79" s="47">
        <f t="shared" si="367"/>
        <v>1.5087716660250553E-2</v>
      </c>
      <c r="AM79" s="47">
        <f t="shared" si="368"/>
        <v>0.17163894159697349</v>
      </c>
      <c r="AN79" s="49">
        <f t="shared" si="369"/>
        <v>0</v>
      </c>
      <c r="AO79" s="49">
        <f t="shared" si="370"/>
        <v>9.0630333543230593E-2</v>
      </c>
      <c r="AP79" s="47">
        <f t="shared" si="371"/>
        <v>0</v>
      </c>
      <c r="AQ79" s="47">
        <f t="shared" si="372"/>
        <v>6.8665258456235542E-2</v>
      </c>
      <c r="AR79" s="47">
        <f t="shared" si="373"/>
        <v>0.10456640545322771</v>
      </c>
      <c r="AS79" s="47">
        <f t="shared" si="374"/>
        <v>7.2195616654013667E-2</v>
      </c>
      <c r="AT79" s="47">
        <f t="shared" si="375"/>
        <v>1.8870640328979033E-2</v>
      </c>
      <c r="AU79" s="47">
        <f t="shared" si="376"/>
        <v>0</v>
      </c>
      <c r="AV79" s="47">
        <f t="shared" si="377"/>
        <v>0.34016118469704643</v>
      </c>
      <c r="AW79" s="47">
        <f t="shared" si="378"/>
        <v>1.4364414838747823</v>
      </c>
      <c r="AX79" s="47">
        <f t="shared" si="379"/>
        <v>6.7275854498208734E-2</v>
      </c>
      <c r="AY79" s="46">
        <f t="shared" si="380"/>
        <v>1.168094902153218E-2</v>
      </c>
      <c r="AZ79" s="26"/>
      <c r="BA79" s="23">
        <f t="shared" si="295"/>
        <v>0.62291891540767586</v>
      </c>
      <c r="BB79" s="13">
        <f t="shared" si="296"/>
        <v>1.0503537268745283E-2</v>
      </c>
      <c r="BC79" s="13">
        <f t="shared" si="297"/>
        <v>0.11948898964821014</v>
      </c>
      <c r="BD79" s="13">
        <f t="shared" si="298"/>
        <v>0</v>
      </c>
      <c r="BE79" s="13">
        <f t="shared" si="299"/>
        <v>6.309364813020886E-2</v>
      </c>
      <c r="BF79" s="13">
        <f t="shared" si="300"/>
        <v>4.6835081869630348E-2</v>
      </c>
      <c r="BG79" s="13">
        <f t="shared" si="301"/>
        <v>8.1318655529377861E-3</v>
      </c>
      <c r="BH79" s="13">
        <f t="shared" si="302"/>
        <v>0</v>
      </c>
      <c r="BI79" s="13">
        <f t="shared" si="303"/>
        <v>4.7802335999801326E-2</v>
      </c>
      <c r="BJ79" s="13">
        <f t="shared" si="304"/>
        <v>7.2795450860386732E-2</v>
      </c>
      <c r="BK79" s="13">
        <f t="shared" si="305"/>
        <v>5.0260047112581939E-2</v>
      </c>
      <c r="BL79" s="13">
        <f t="shared" si="306"/>
        <v>1.3137075572389989E-2</v>
      </c>
      <c r="BM79" s="13">
        <f t="shared" si="307"/>
        <v>0</v>
      </c>
      <c r="BN79" s="13">
        <f t="shared" si="308"/>
        <v>0.23680824350704913</v>
      </c>
      <c r="BO79" s="12">
        <f t="shared" si="309"/>
        <v>1.0000000000000002</v>
      </c>
      <c r="BP79" s="13"/>
      <c r="BQ79" s="23">
        <f t="shared" si="310"/>
        <v>1.7895731423637438</v>
      </c>
      <c r="BR79" s="13">
        <f t="shared" si="311"/>
        <v>3.0175433320501106E-2</v>
      </c>
      <c r="BS79" s="13">
        <f t="shared" si="312"/>
        <v>0.51471489662433578</v>
      </c>
      <c r="BT79" s="13">
        <f t="shared" si="313"/>
        <v>0</v>
      </c>
      <c r="BU79" s="13">
        <f t="shared" si="314"/>
        <v>9.0630333543230593E-2</v>
      </c>
      <c r="BV79" s="13">
        <f t="shared" si="315"/>
        <v>6.7275854498208734E-2</v>
      </c>
      <c r="BW79" s="24">
        <f t="shared" si="316"/>
        <v>3.5042847064596538E-2</v>
      </c>
      <c r="BX79" s="13">
        <f t="shared" si="317"/>
        <v>0</v>
      </c>
      <c r="BY79" s="13">
        <f t="shared" si="318"/>
        <v>6.8699335507578591E-2</v>
      </c>
      <c r="BZ79" s="13">
        <f t="shared" si="319"/>
        <v>0.10452912687730855</v>
      </c>
      <c r="CA79" s="13">
        <f t="shared" si="320"/>
        <v>7.2172327745415585E-2</v>
      </c>
      <c r="CB79" s="13">
        <f t="shared" si="321"/>
        <v>1.8870640328979033E-2</v>
      </c>
      <c r="CC79" s="13">
        <f t="shared" si="322"/>
        <v>0</v>
      </c>
      <c r="CD79" s="13">
        <f t="shared" si="323"/>
        <v>0.34016118469704643</v>
      </c>
      <c r="CE79" s="12">
        <f t="shared" si="324"/>
        <v>3.0295264210081392</v>
      </c>
      <c r="CF79" s="13"/>
      <c r="CG79" s="23">
        <f t="shared" si="280"/>
        <v>0.59071052490383147</v>
      </c>
      <c r="CH79" s="13">
        <f t="shared" si="280"/>
        <v>9.9604456694124457E-3</v>
      </c>
      <c r="CI79" s="13">
        <f t="shared" si="280"/>
        <v>0.16989945790043762</v>
      </c>
      <c r="CJ79" s="13">
        <f t="shared" si="280"/>
        <v>0</v>
      </c>
      <c r="CK79" s="13">
        <f t="shared" si="280"/>
        <v>2.991567689086911E-2</v>
      </c>
      <c r="CL79" s="13">
        <f t="shared" si="280"/>
        <v>2.2206723147118575E-2</v>
      </c>
      <c r="CM79" s="13">
        <f t="shared" si="280"/>
        <v>1.1567103961065733E-2</v>
      </c>
      <c r="CN79" s="13">
        <f t="shared" si="280"/>
        <v>0</v>
      </c>
      <c r="CO79" s="13">
        <f t="shared" si="280"/>
        <v>2.2676592298778313E-2</v>
      </c>
      <c r="CP79" s="13">
        <f t="shared" si="156"/>
        <v>3.4503454451644711E-2</v>
      </c>
      <c r="CQ79" s="13">
        <f t="shared" si="156"/>
        <v>2.3822973533070793E-2</v>
      </c>
      <c r="CR79" s="13">
        <f t="shared" si="156"/>
        <v>6.2289076596663004E-3</v>
      </c>
      <c r="CS79" s="13">
        <f t="shared" si="156"/>
        <v>0</v>
      </c>
      <c r="CT79" s="13">
        <f t="shared" si="156"/>
        <v>0.11228196669228935</v>
      </c>
      <c r="CU79" s="12">
        <f t="shared" si="325"/>
        <v>1.0000000000000002</v>
      </c>
      <c r="CV79" s="26"/>
      <c r="CW79" s="23">
        <f t="shared" si="326"/>
        <v>0.89478657118187188</v>
      </c>
      <c r="CX79" s="13">
        <f t="shared" si="327"/>
        <v>1.5087716660250553E-2</v>
      </c>
      <c r="CY79" s="13">
        <f t="shared" si="328"/>
        <v>0.34314326441622384</v>
      </c>
      <c r="CZ79" s="13">
        <f t="shared" si="329"/>
        <v>0</v>
      </c>
      <c r="DA79" s="13">
        <f t="shared" si="330"/>
        <v>7.9944289693593323E-2</v>
      </c>
      <c r="DB79" s="13">
        <f t="shared" si="331"/>
        <v>6.7275854498208734E-2</v>
      </c>
      <c r="DC79" s="24">
        <f t="shared" si="332"/>
        <v>2.336189804306436E-2</v>
      </c>
      <c r="DD79" s="13">
        <f t="shared" si="333"/>
        <v>0</v>
      </c>
      <c r="DE79" s="13">
        <f t="shared" si="334"/>
        <v>6.8699335507578591E-2</v>
      </c>
      <c r="DF79" s="13">
        <f t="shared" si="335"/>
        <v>0.10452912687730855</v>
      </c>
      <c r="DG79" s="13">
        <f t="shared" si="336"/>
        <v>0.14434465549083117</v>
      </c>
      <c r="DH79" s="13">
        <f t="shared" si="337"/>
        <v>3.7741280657958065E-2</v>
      </c>
      <c r="DI79" s="13">
        <f t="shared" si="338"/>
        <v>0</v>
      </c>
      <c r="DJ79" s="13">
        <f t="shared" si="381"/>
        <v>0.68032236939409285</v>
      </c>
      <c r="DK79" s="12">
        <f t="shared" si="382"/>
        <v>2.3685986098797089</v>
      </c>
      <c r="DL79" s="26"/>
      <c r="DM79" s="23">
        <f t="shared" si="152"/>
        <v>0.3777704535709891</v>
      </c>
      <c r="DN79" s="13">
        <f t="shared" si="152"/>
        <v>6.3698917145851037E-3</v>
      </c>
      <c r="DO79" s="13">
        <f t="shared" si="152"/>
        <v>0.14487185080027157</v>
      </c>
      <c r="DP79" s="13">
        <f t="shared" si="152"/>
        <v>0</v>
      </c>
      <c r="DQ79" s="13">
        <f t="shared" si="152"/>
        <v>3.3751725328274744E-2</v>
      </c>
      <c r="DR79" s="13">
        <f t="shared" si="294"/>
        <v>2.8403231437185292E-2</v>
      </c>
      <c r="DS79" s="13">
        <f t="shared" si="294"/>
        <v>9.8631730786377571E-3</v>
      </c>
      <c r="DT79" s="13">
        <f t="shared" si="294"/>
        <v>0</v>
      </c>
      <c r="DU79" s="13">
        <f t="shared" si="294"/>
        <v>2.9004211697594273E-2</v>
      </c>
      <c r="DV79" s="13">
        <f t="shared" si="294"/>
        <v>4.4131211781221612E-2</v>
      </c>
      <c r="DW79" s="13">
        <f t="shared" si="294"/>
        <v>6.0940952548377045E-2</v>
      </c>
      <c r="DX79" s="13">
        <f t="shared" si="294"/>
        <v>1.5934012838027794E-2</v>
      </c>
      <c r="DY79" s="13">
        <f t="shared" si="294"/>
        <v>0</v>
      </c>
      <c r="DZ79" s="13">
        <f t="shared" si="294"/>
        <v>0.28722568972065871</v>
      </c>
      <c r="EA79" s="12">
        <f t="shared" si="339"/>
        <v>1</v>
      </c>
      <c r="EB79" s="26"/>
      <c r="EC79" s="30">
        <f t="shared" si="340"/>
        <v>1173</v>
      </c>
      <c r="ED79" s="14">
        <f t="shared" si="341"/>
        <v>1000000000</v>
      </c>
      <c r="EE79" s="29"/>
      <c r="EF79" s="184">
        <f t="shared" si="391"/>
        <v>-10.722297527706734</v>
      </c>
      <c r="EG79" s="13">
        <f t="shared" si="383"/>
        <v>1</v>
      </c>
      <c r="EH79" s="13">
        <f t="shared" si="384"/>
        <v>0.77874254049445923</v>
      </c>
      <c r="EI79" s="12">
        <f t="shared" si="342"/>
        <v>5.5416018755328214</v>
      </c>
      <c r="EJ79" s="29"/>
      <c r="EK79" s="28">
        <f t="shared" si="385"/>
        <v>-1.7511597908875245</v>
      </c>
      <c r="EL79" s="24">
        <f t="shared" si="343"/>
        <v>-0.76038201949089212</v>
      </c>
      <c r="EM79" s="24">
        <f t="shared" si="386"/>
        <v>0.17357251884213298</v>
      </c>
      <c r="EN79" s="24">
        <f t="shared" si="344"/>
        <v>4.6835081869630348E-2</v>
      </c>
      <c r="EO79" s="24">
        <f t="shared" si="345"/>
        <v>8.1292831302892544E-3</v>
      </c>
      <c r="EP79" s="24">
        <f t="shared" si="346"/>
        <v>0.2576894305909378</v>
      </c>
      <c r="EQ79" s="24">
        <f t="shared" si="347"/>
        <v>-1.7508421721607608</v>
      </c>
      <c r="ER79" s="24">
        <f t="shared" si="348"/>
        <v>-24.68662623762399</v>
      </c>
      <c r="ES79" s="25">
        <f t="shared" si="349"/>
        <v>-10.719334015468515</v>
      </c>
      <c r="ET79" s="26"/>
      <c r="EU79" s="23">
        <f t="shared" si="392"/>
        <v>-3.072581194140934</v>
      </c>
      <c r="EV79" s="12">
        <f t="shared" si="350"/>
        <v>8.453791007475564E-4</v>
      </c>
      <c r="EW79" s="26"/>
      <c r="EX79" s="27">
        <f t="shared" si="351"/>
        <v>0.44268836623770724</v>
      </c>
      <c r="EY79" s="26"/>
      <c r="EZ79" s="23">
        <f t="shared" si="281"/>
        <v>-8.3698223188274223</v>
      </c>
      <c r="FA79" s="13">
        <f t="shared" si="352"/>
        <v>15.586766798704726</v>
      </c>
      <c r="FB79" s="13">
        <f t="shared" si="282"/>
        <v>-27.172509068173227</v>
      </c>
      <c r="FC79" s="13">
        <f t="shared" si="283"/>
        <v>1.751093285816502</v>
      </c>
      <c r="FD79" s="12">
        <f t="shared" si="353"/>
        <v>0.85209064420789649</v>
      </c>
      <c r="FE79" s="13"/>
      <c r="FF79" s="23">
        <f t="shared" si="284"/>
        <v>-7.1665199305712868</v>
      </c>
      <c r="FG79" s="13">
        <f t="shared" si="285"/>
        <v>13.814764289861159</v>
      </c>
      <c r="FH79" s="13">
        <f t="shared" si="286"/>
        <v>15.215974285169665</v>
      </c>
      <c r="FI79" s="24">
        <f t="shared" si="287"/>
        <v>0.25600970774770326</v>
      </c>
      <c r="FJ79" s="25">
        <f t="shared" si="288"/>
        <v>0.89656177522078573</v>
      </c>
      <c r="FK79" s="13"/>
      <c r="FL79" s="23">
        <f t="shared" si="354"/>
        <v>12.885330668774174</v>
      </c>
      <c r="FM79" s="13">
        <f t="shared" si="355"/>
        <v>-7.2287777038021046</v>
      </c>
      <c r="FN79" s="13">
        <f t="shared" si="289"/>
        <v>-1.33048668283719</v>
      </c>
      <c r="FO79" s="13">
        <f t="shared" si="356"/>
        <v>4.4635697616797088E-2</v>
      </c>
      <c r="FP79" s="23">
        <f t="shared" si="290"/>
        <v>-2.261432974397291</v>
      </c>
      <c r="FQ79" s="13">
        <f t="shared" si="291"/>
        <v>5.447468813781553E-3</v>
      </c>
      <c r="FR79" s="13">
        <f t="shared" si="292"/>
        <v>-1.8965565890605482</v>
      </c>
      <c r="FS79" s="13">
        <f t="shared" si="387"/>
        <v>1.2530462977223822E-2</v>
      </c>
      <c r="FT79" s="13">
        <f t="shared" si="293"/>
        <v>-2.355209615488512</v>
      </c>
      <c r="FU79" s="12">
        <f t="shared" si="388"/>
        <v>4.3941796789800369E-3</v>
      </c>
      <c r="FV79" s="22"/>
      <c r="FW79" s="11">
        <f t="shared" si="357"/>
        <v>1</v>
      </c>
      <c r="FX79" s="10">
        <f t="shared" si="358"/>
        <v>0.77874254049445923</v>
      </c>
      <c r="FY79" s="10">
        <f t="shared" si="359"/>
        <v>5.5416018755328214</v>
      </c>
      <c r="FZ79" s="5">
        <f t="shared" si="360"/>
        <v>-10.722297527706734</v>
      </c>
      <c r="GA79" s="10">
        <f t="shared" si="361"/>
        <v>0.2576894305909378</v>
      </c>
      <c r="GB79" s="9">
        <f t="shared" si="275"/>
        <v>12.885330668774174</v>
      </c>
      <c r="GC79" s="8">
        <f t="shared" si="276"/>
        <v>-7.2287777038021046</v>
      </c>
      <c r="GD79" s="8">
        <f t="shared" si="389"/>
        <v>4.4635697616797088E-2</v>
      </c>
      <c r="GE79" s="7">
        <f t="shared" si="390"/>
        <v>5.447468813781553E-3</v>
      </c>
      <c r="GF79" s="6">
        <f t="shared" si="277"/>
        <v>0.25600970774770326</v>
      </c>
      <c r="GG79" s="5">
        <f t="shared" si="278"/>
        <v>0.89656177522078573</v>
      </c>
      <c r="GH79" s="4">
        <f t="shared" si="279"/>
        <v>0.85209064420789649</v>
      </c>
      <c r="GI79" s="4">
        <f t="shared" si="362"/>
        <v>0.44268836623770724</v>
      </c>
      <c r="GJ79" s="4">
        <f t="shared" si="363"/>
        <v>8.453791007475564E-4</v>
      </c>
      <c r="GK79" s="1"/>
    </row>
    <row r="80" spans="1:193" x14ac:dyDescent="0.4">
      <c r="A80" s="32"/>
      <c r="B80" s="33"/>
      <c r="C80" s="33"/>
      <c r="D80" s="32"/>
      <c r="E80" s="32"/>
      <c r="F80" s="20" t="s">
        <v>84</v>
      </c>
      <c r="G80" s="19">
        <v>900</v>
      </c>
      <c r="H80" s="18">
        <v>1</v>
      </c>
      <c r="I80" s="17">
        <v>1.4</v>
      </c>
      <c r="J80" s="16">
        <v>52.63</v>
      </c>
      <c r="K80" s="16">
        <v>1.18</v>
      </c>
      <c r="L80" s="16">
        <v>17.13</v>
      </c>
      <c r="M80" s="16">
        <v>0</v>
      </c>
      <c r="N80" s="16">
        <f t="shared" si="153"/>
        <v>6.3739999999999997</v>
      </c>
      <c r="O80" s="16">
        <v>0</v>
      </c>
      <c r="P80" s="16">
        <v>2.71</v>
      </c>
      <c r="Q80" s="16">
        <v>5.74</v>
      </c>
      <c r="R80" s="16">
        <v>4.38</v>
      </c>
      <c r="S80" s="16">
        <v>1.74</v>
      </c>
      <c r="T80" s="16">
        <v>0</v>
      </c>
      <c r="U80" s="15">
        <v>6</v>
      </c>
      <c r="V80" s="16"/>
      <c r="W80" s="28">
        <f t="shared" si="364"/>
        <v>53.767725062318682</v>
      </c>
      <c r="X80" s="24">
        <f t="shared" si="155"/>
        <v>1.2055085611540193</v>
      </c>
      <c r="Y80" s="24">
        <f t="shared" si="155"/>
        <v>17.500306485227416</v>
      </c>
      <c r="Z80" s="24">
        <f t="shared" si="155"/>
        <v>0</v>
      </c>
      <c r="AA80" s="24">
        <f t="shared" si="155"/>
        <v>6.5117894650811179</v>
      </c>
      <c r="AB80" s="24">
        <f t="shared" si="155"/>
        <v>0</v>
      </c>
      <c r="AC80" s="24">
        <f t="shared" si="393"/>
        <v>2.7685832209554171</v>
      </c>
      <c r="AD80" s="24">
        <f t="shared" si="393"/>
        <v>5.8640840178170093</v>
      </c>
      <c r="AE80" s="24">
        <f t="shared" si="393"/>
        <v>4.4746843202157667</v>
      </c>
      <c r="AF80" s="24">
        <f t="shared" si="393"/>
        <v>1.777614318989825</v>
      </c>
      <c r="AG80" s="24">
        <f t="shared" si="393"/>
        <v>0</v>
      </c>
      <c r="AH80" s="24">
        <f t="shared" si="393"/>
        <v>6.1297045482407766</v>
      </c>
      <c r="AI80" s="14">
        <f t="shared" si="365"/>
        <v>100.00000000000004</v>
      </c>
      <c r="AJ80" s="26"/>
      <c r="AK80" s="50">
        <f t="shared" si="366"/>
        <v>0.89478657118187188</v>
      </c>
      <c r="AL80" s="47">
        <f t="shared" si="367"/>
        <v>1.5087716660250553E-2</v>
      </c>
      <c r="AM80" s="47">
        <f t="shared" si="368"/>
        <v>0.17163894159697349</v>
      </c>
      <c r="AN80" s="49">
        <f t="shared" si="369"/>
        <v>0</v>
      </c>
      <c r="AO80" s="49">
        <f t="shared" si="370"/>
        <v>9.0630333543230593E-2</v>
      </c>
      <c r="AP80" s="47">
        <f t="shared" si="371"/>
        <v>0</v>
      </c>
      <c r="AQ80" s="47">
        <f t="shared" si="372"/>
        <v>6.8665258456235542E-2</v>
      </c>
      <c r="AR80" s="47">
        <f t="shared" si="373"/>
        <v>0.10456640545322771</v>
      </c>
      <c r="AS80" s="47">
        <f t="shared" si="374"/>
        <v>7.2195616654013667E-2</v>
      </c>
      <c r="AT80" s="47">
        <f t="shared" si="375"/>
        <v>1.8870640328979033E-2</v>
      </c>
      <c r="AU80" s="47">
        <f t="shared" si="376"/>
        <v>0</v>
      </c>
      <c r="AV80" s="47">
        <f t="shared" si="377"/>
        <v>0.34016118469704643</v>
      </c>
      <c r="AW80" s="47">
        <f t="shared" si="378"/>
        <v>1.4364414838747823</v>
      </c>
      <c r="AX80" s="47">
        <f t="shared" si="379"/>
        <v>6.4012368160174513E-2</v>
      </c>
      <c r="AY80" s="46">
        <f t="shared" si="380"/>
        <v>1.331321054505223E-2</v>
      </c>
      <c r="AZ80" s="26"/>
      <c r="BA80" s="23">
        <f t="shared" si="295"/>
        <v>0.62291891540767586</v>
      </c>
      <c r="BB80" s="13">
        <f t="shared" si="296"/>
        <v>1.0503537268745283E-2</v>
      </c>
      <c r="BC80" s="13">
        <f t="shared" si="297"/>
        <v>0.11948898964821014</v>
      </c>
      <c r="BD80" s="13">
        <f t="shared" si="298"/>
        <v>0</v>
      </c>
      <c r="BE80" s="13">
        <f t="shared" si="299"/>
        <v>6.309364813020886E-2</v>
      </c>
      <c r="BF80" s="13">
        <f t="shared" si="300"/>
        <v>4.4563157552023613E-2</v>
      </c>
      <c r="BG80" s="13">
        <f t="shared" si="301"/>
        <v>9.2681885719006225E-3</v>
      </c>
      <c r="BH80" s="13">
        <f t="shared" si="302"/>
        <v>0</v>
      </c>
      <c r="BI80" s="13">
        <f t="shared" si="303"/>
        <v>4.7802335999801326E-2</v>
      </c>
      <c r="BJ80" s="13">
        <f t="shared" si="304"/>
        <v>7.2795450860386732E-2</v>
      </c>
      <c r="BK80" s="13">
        <f t="shared" si="305"/>
        <v>5.0260047112581939E-2</v>
      </c>
      <c r="BL80" s="13">
        <f t="shared" si="306"/>
        <v>1.3137075572389989E-2</v>
      </c>
      <c r="BM80" s="13">
        <f t="shared" si="307"/>
        <v>0</v>
      </c>
      <c r="BN80" s="13">
        <f t="shared" si="308"/>
        <v>0.23680824350704913</v>
      </c>
      <c r="BO80" s="12">
        <f t="shared" si="309"/>
        <v>1.0000000000000002</v>
      </c>
      <c r="BP80" s="13"/>
      <c r="BQ80" s="23">
        <f t="shared" si="310"/>
        <v>1.7895731423637438</v>
      </c>
      <c r="BR80" s="13">
        <f t="shared" si="311"/>
        <v>3.0175433320501106E-2</v>
      </c>
      <c r="BS80" s="13">
        <f t="shared" si="312"/>
        <v>0.51471489662433578</v>
      </c>
      <c r="BT80" s="13">
        <f t="shared" si="313"/>
        <v>0</v>
      </c>
      <c r="BU80" s="13">
        <f t="shared" si="314"/>
        <v>9.0630333543230593E-2</v>
      </c>
      <c r="BV80" s="13">
        <f t="shared" si="315"/>
        <v>6.4012368160174513E-2</v>
      </c>
      <c r="BW80" s="24">
        <f t="shared" si="316"/>
        <v>3.9939631635156694E-2</v>
      </c>
      <c r="BX80" s="13">
        <f t="shared" si="317"/>
        <v>0</v>
      </c>
      <c r="BY80" s="13">
        <f t="shared" si="318"/>
        <v>6.8699335507578591E-2</v>
      </c>
      <c r="BZ80" s="13">
        <f t="shared" si="319"/>
        <v>0.10452912687730855</v>
      </c>
      <c r="CA80" s="13">
        <f t="shared" si="320"/>
        <v>7.2172327745415585E-2</v>
      </c>
      <c r="CB80" s="13">
        <f t="shared" si="321"/>
        <v>1.8870640328979033E-2</v>
      </c>
      <c r="CC80" s="13">
        <f t="shared" si="322"/>
        <v>0</v>
      </c>
      <c r="CD80" s="13">
        <f t="shared" si="323"/>
        <v>0.34016118469704643</v>
      </c>
      <c r="CE80" s="12">
        <f t="shared" si="324"/>
        <v>3.0295264210081392</v>
      </c>
      <c r="CF80" s="13"/>
      <c r="CG80" s="23">
        <f t="shared" si="280"/>
        <v>0.59071052490383147</v>
      </c>
      <c r="CH80" s="13">
        <f t="shared" si="280"/>
        <v>9.9604456694124457E-3</v>
      </c>
      <c r="CI80" s="13">
        <f t="shared" si="280"/>
        <v>0.16989945790043762</v>
      </c>
      <c r="CJ80" s="13">
        <f t="shared" si="280"/>
        <v>0</v>
      </c>
      <c r="CK80" s="13">
        <f t="shared" si="280"/>
        <v>2.991567689086911E-2</v>
      </c>
      <c r="CL80" s="13">
        <f t="shared" si="280"/>
        <v>2.1129496582793637E-2</v>
      </c>
      <c r="CM80" s="13">
        <f t="shared" si="280"/>
        <v>1.3183457110060765E-2</v>
      </c>
      <c r="CN80" s="13">
        <f t="shared" si="280"/>
        <v>0</v>
      </c>
      <c r="CO80" s="13">
        <f t="shared" si="280"/>
        <v>2.2676592298778313E-2</v>
      </c>
      <c r="CP80" s="13">
        <f t="shared" si="156"/>
        <v>3.4503454451644711E-2</v>
      </c>
      <c r="CQ80" s="13">
        <f t="shared" si="156"/>
        <v>2.3822973533070793E-2</v>
      </c>
      <c r="CR80" s="13">
        <f t="shared" si="156"/>
        <v>6.2289076596663004E-3</v>
      </c>
      <c r="CS80" s="13">
        <f t="shared" si="156"/>
        <v>0</v>
      </c>
      <c r="CT80" s="13">
        <f t="shared" si="156"/>
        <v>0.11228196669228935</v>
      </c>
      <c r="CU80" s="12">
        <f t="shared" si="325"/>
        <v>1.0000000000000002</v>
      </c>
      <c r="CV80" s="26"/>
      <c r="CW80" s="23">
        <f t="shared" si="326"/>
        <v>0.89478657118187188</v>
      </c>
      <c r="CX80" s="13">
        <f t="shared" si="327"/>
        <v>1.5087716660250553E-2</v>
      </c>
      <c r="CY80" s="13">
        <f t="shared" si="328"/>
        <v>0.34314326441622384</v>
      </c>
      <c r="CZ80" s="13">
        <f t="shared" si="329"/>
        <v>0</v>
      </c>
      <c r="DA80" s="13">
        <f t="shared" si="330"/>
        <v>7.9944289693593323E-2</v>
      </c>
      <c r="DB80" s="13">
        <f t="shared" si="331"/>
        <v>6.4012368160174513E-2</v>
      </c>
      <c r="DC80" s="24">
        <f t="shared" si="332"/>
        <v>2.6626421090104459E-2</v>
      </c>
      <c r="DD80" s="13">
        <f t="shared" si="333"/>
        <v>0</v>
      </c>
      <c r="DE80" s="13">
        <f t="shared" si="334"/>
        <v>6.8699335507578591E-2</v>
      </c>
      <c r="DF80" s="13">
        <f t="shared" si="335"/>
        <v>0.10452912687730855</v>
      </c>
      <c r="DG80" s="13">
        <f t="shared" si="336"/>
        <v>0.14434465549083117</v>
      </c>
      <c r="DH80" s="13">
        <f t="shared" si="337"/>
        <v>3.7741280657958065E-2</v>
      </c>
      <c r="DI80" s="13">
        <f t="shared" si="338"/>
        <v>0</v>
      </c>
      <c r="DJ80" s="13">
        <f t="shared" si="381"/>
        <v>0.68032236939409285</v>
      </c>
      <c r="DK80" s="12">
        <f t="shared" si="382"/>
        <v>2.3685986098797089</v>
      </c>
      <c r="DL80" s="26"/>
      <c r="DM80" s="23">
        <f t="shared" si="152"/>
        <v>0.3777704535709891</v>
      </c>
      <c r="DN80" s="13">
        <f t="shared" si="152"/>
        <v>6.3698917145851037E-3</v>
      </c>
      <c r="DO80" s="13">
        <f t="shared" si="152"/>
        <v>0.14487185080027157</v>
      </c>
      <c r="DP80" s="13">
        <f t="shared" si="152"/>
        <v>0</v>
      </c>
      <c r="DQ80" s="13">
        <f t="shared" si="152"/>
        <v>3.3751725328274744E-2</v>
      </c>
      <c r="DR80" s="13">
        <f t="shared" si="294"/>
        <v>2.7025418276094247E-2</v>
      </c>
      <c r="DS80" s="13">
        <f t="shared" si="294"/>
        <v>1.1241423928496143E-2</v>
      </c>
      <c r="DT80" s="13">
        <f t="shared" si="294"/>
        <v>0</v>
      </c>
      <c r="DU80" s="13">
        <f t="shared" si="294"/>
        <v>2.9004211697594273E-2</v>
      </c>
      <c r="DV80" s="13">
        <f t="shared" si="294"/>
        <v>4.4131211781221612E-2</v>
      </c>
      <c r="DW80" s="13">
        <f t="shared" si="294"/>
        <v>6.0940952548377045E-2</v>
      </c>
      <c r="DX80" s="13">
        <f t="shared" si="294"/>
        <v>1.5934012838027794E-2</v>
      </c>
      <c r="DY80" s="13">
        <f t="shared" si="294"/>
        <v>0</v>
      </c>
      <c r="DZ80" s="13">
        <f t="shared" si="294"/>
        <v>0.28722568972065871</v>
      </c>
      <c r="EA80" s="12">
        <f t="shared" si="339"/>
        <v>1</v>
      </c>
      <c r="EB80" s="26"/>
      <c r="EC80" s="30">
        <f t="shared" si="340"/>
        <v>1173</v>
      </c>
      <c r="ED80" s="14">
        <f t="shared" si="341"/>
        <v>1000000000</v>
      </c>
      <c r="EE80" s="29"/>
      <c r="EF80" s="184">
        <f t="shared" si="391"/>
        <v>-10.322297527706734</v>
      </c>
      <c r="EG80" s="13">
        <f t="shared" si="383"/>
        <v>1.4</v>
      </c>
      <c r="EH80" s="13">
        <f t="shared" si="384"/>
        <v>1.1787425404944596</v>
      </c>
      <c r="EI80" s="12">
        <f t="shared" si="342"/>
        <v>5.9416018755328217</v>
      </c>
      <c r="EJ80" s="29"/>
      <c r="EK80" s="28">
        <f t="shared" si="385"/>
        <v>-1.5706371195967914</v>
      </c>
      <c r="EL80" s="24">
        <f t="shared" si="343"/>
        <v>-0.68199614398471187</v>
      </c>
      <c r="EM80" s="24">
        <f t="shared" si="386"/>
        <v>0.20791267491035056</v>
      </c>
      <c r="EN80" s="24">
        <f t="shared" si="344"/>
        <v>4.456315755202362E-2</v>
      </c>
      <c r="EO80" s="24">
        <f t="shared" si="345"/>
        <v>9.2652452890926214E-3</v>
      </c>
      <c r="EP80" s="24">
        <f t="shared" si="346"/>
        <v>0.2936981951010843</v>
      </c>
      <c r="EQ80" s="24">
        <f t="shared" si="347"/>
        <v>-1.5703195008700275</v>
      </c>
      <c r="ER80" s="24">
        <f t="shared" si="348"/>
        <v>-23.765592200426369</v>
      </c>
      <c r="ES80" s="25">
        <f t="shared" si="349"/>
        <v>-10.319406079212492</v>
      </c>
      <c r="ET80" s="26"/>
      <c r="EU80" s="23">
        <f t="shared" si="392"/>
        <v>-2.445381194140932</v>
      </c>
      <c r="EV80" s="12">
        <f t="shared" si="350"/>
        <v>3.5732564072765705E-3</v>
      </c>
      <c r="EW80" s="26"/>
      <c r="EX80" s="27">
        <f t="shared" si="351"/>
        <v>0.83366246918343812</v>
      </c>
      <c r="EY80" s="26"/>
      <c r="EZ80" s="23">
        <f t="shared" si="281"/>
        <v>-8.3698223188274223</v>
      </c>
      <c r="FA80" s="13">
        <f t="shared" si="352"/>
        <v>15.567385795159968</v>
      </c>
      <c r="FB80" s="13">
        <f t="shared" si="282"/>
        <v>-27.172509068173227</v>
      </c>
      <c r="FC80" s="13">
        <f t="shared" si="283"/>
        <v>3.5737803566669726</v>
      </c>
      <c r="FD80" s="12">
        <f t="shared" si="353"/>
        <v>0.97271569871201002</v>
      </c>
      <c r="FE80" s="13"/>
      <c r="FF80" s="23">
        <f t="shared" si="284"/>
        <v>-7.1896963728593253</v>
      </c>
      <c r="FG80" s="13">
        <f t="shared" si="285"/>
        <v>13.814764289861159</v>
      </c>
      <c r="FH80" s="13">
        <f t="shared" si="286"/>
        <v>15.215974285169665</v>
      </c>
      <c r="FI80" s="24">
        <f t="shared" si="287"/>
        <v>0.69606330728442534</v>
      </c>
      <c r="FJ80" s="25">
        <f t="shared" si="288"/>
        <v>0.98296036051647184</v>
      </c>
      <c r="FK80" s="13"/>
      <c r="FL80" s="23">
        <f t="shared" si="354"/>
        <v>12.885330668774174</v>
      </c>
      <c r="FM80" s="13">
        <f t="shared" si="355"/>
        <v>-7.2379533667614044</v>
      </c>
      <c r="FN80" s="13">
        <f t="shared" si="289"/>
        <v>-0.52131101987789208</v>
      </c>
      <c r="FO80" s="13">
        <f t="shared" si="356"/>
        <v>0.23141065010443129</v>
      </c>
      <c r="FP80" s="23">
        <f t="shared" si="290"/>
        <v>-1.4522573114379931</v>
      </c>
      <c r="FQ80" s="13">
        <f t="shared" si="291"/>
        <v>3.4093969332516183E-2</v>
      </c>
      <c r="FR80" s="13">
        <f t="shared" si="292"/>
        <v>-1.0873809261012504</v>
      </c>
      <c r="FS80" s="13">
        <f t="shared" si="387"/>
        <v>7.5593115558363344E-2</v>
      </c>
      <c r="FT80" s="13">
        <f t="shared" si="293"/>
        <v>-1.5460339525292142</v>
      </c>
      <c r="FU80" s="12">
        <f t="shared" si="388"/>
        <v>2.7655790689194992E-2</v>
      </c>
      <c r="FV80" s="22"/>
      <c r="FW80" s="11">
        <f t="shared" si="357"/>
        <v>1.4</v>
      </c>
      <c r="FX80" s="10">
        <f t="shared" si="358"/>
        <v>1.1787425404944596</v>
      </c>
      <c r="FY80" s="10">
        <f t="shared" si="359"/>
        <v>5.9416018755328217</v>
      </c>
      <c r="FZ80" s="5">
        <f t="shared" si="360"/>
        <v>-10.322297527706734</v>
      </c>
      <c r="GA80" s="10">
        <f t="shared" si="361"/>
        <v>0.2936981951010843</v>
      </c>
      <c r="GB80" s="9">
        <f t="shared" si="275"/>
        <v>12.885330668774174</v>
      </c>
      <c r="GC80" s="8">
        <f t="shared" si="276"/>
        <v>-7.2379533667614044</v>
      </c>
      <c r="GD80" s="8">
        <f t="shared" si="389"/>
        <v>0.23141065010443129</v>
      </c>
      <c r="GE80" s="7">
        <f t="shared" si="390"/>
        <v>3.4093969332516183E-2</v>
      </c>
      <c r="GF80" s="6">
        <f t="shared" si="277"/>
        <v>0.69606330728442534</v>
      </c>
      <c r="GG80" s="5">
        <f t="shared" si="278"/>
        <v>0.98296036051647184</v>
      </c>
      <c r="GH80" s="4">
        <f t="shared" si="279"/>
        <v>0.97271569871201002</v>
      </c>
      <c r="GI80" s="4">
        <f t="shared" si="362"/>
        <v>0.83366246918343812</v>
      </c>
      <c r="GJ80" s="4">
        <f t="shared" si="363"/>
        <v>3.5732564072765705E-3</v>
      </c>
      <c r="GK80" s="1"/>
    </row>
    <row r="81" spans="1:193" x14ac:dyDescent="0.4">
      <c r="A81" s="32"/>
      <c r="B81" s="33"/>
      <c r="C81" s="33"/>
      <c r="D81" s="32"/>
      <c r="E81" s="32"/>
      <c r="F81" s="20" t="s">
        <v>84</v>
      </c>
      <c r="G81" s="19">
        <v>900</v>
      </c>
      <c r="H81" s="18">
        <v>1</v>
      </c>
      <c r="I81" s="17">
        <v>1.8</v>
      </c>
      <c r="J81" s="16">
        <v>52.63</v>
      </c>
      <c r="K81" s="16">
        <v>1.18</v>
      </c>
      <c r="L81" s="16">
        <v>17.13</v>
      </c>
      <c r="M81" s="16">
        <v>0</v>
      </c>
      <c r="N81" s="16">
        <f t="shared" si="153"/>
        <v>6.3739999999999997</v>
      </c>
      <c r="O81" s="16">
        <v>0</v>
      </c>
      <c r="P81" s="16">
        <v>2.71</v>
      </c>
      <c r="Q81" s="16">
        <v>5.74</v>
      </c>
      <c r="R81" s="16">
        <v>4.38</v>
      </c>
      <c r="S81" s="16">
        <v>1.74</v>
      </c>
      <c r="T81" s="16">
        <v>0</v>
      </c>
      <c r="U81" s="15">
        <v>6</v>
      </c>
      <c r="V81" s="16"/>
      <c r="W81" s="28">
        <f t="shared" si="364"/>
        <v>53.767725062318682</v>
      </c>
      <c r="X81" s="24">
        <f t="shared" si="155"/>
        <v>1.2055085611540193</v>
      </c>
      <c r="Y81" s="24">
        <f t="shared" si="155"/>
        <v>17.500306485227416</v>
      </c>
      <c r="Z81" s="24">
        <f t="shared" si="155"/>
        <v>0</v>
      </c>
      <c r="AA81" s="24">
        <f t="shared" si="155"/>
        <v>6.5117894650811179</v>
      </c>
      <c r="AB81" s="24">
        <f t="shared" si="155"/>
        <v>0</v>
      </c>
      <c r="AC81" s="24">
        <f t="shared" si="393"/>
        <v>2.7685832209554171</v>
      </c>
      <c r="AD81" s="24">
        <f t="shared" si="393"/>
        <v>5.8640840178170093</v>
      </c>
      <c r="AE81" s="24">
        <f t="shared" si="393"/>
        <v>4.4746843202157667</v>
      </c>
      <c r="AF81" s="24">
        <f t="shared" si="393"/>
        <v>1.777614318989825</v>
      </c>
      <c r="AG81" s="24">
        <f t="shared" si="393"/>
        <v>0</v>
      </c>
      <c r="AH81" s="24">
        <f t="shared" si="393"/>
        <v>6.1297045482407766</v>
      </c>
      <c r="AI81" s="14">
        <f t="shared" si="365"/>
        <v>100.00000000000004</v>
      </c>
      <c r="AJ81" s="26"/>
      <c r="AK81" s="50">
        <f t="shared" si="366"/>
        <v>0.89478657118187188</v>
      </c>
      <c r="AL81" s="47">
        <f t="shared" si="367"/>
        <v>1.5087716660250553E-2</v>
      </c>
      <c r="AM81" s="47">
        <f t="shared" si="368"/>
        <v>0.17163894159697349</v>
      </c>
      <c r="AN81" s="49">
        <f t="shared" si="369"/>
        <v>0</v>
      </c>
      <c r="AO81" s="49">
        <f t="shared" si="370"/>
        <v>9.0630333543230593E-2</v>
      </c>
      <c r="AP81" s="47">
        <f t="shared" si="371"/>
        <v>0</v>
      </c>
      <c r="AQ81" s="47">
        <f t="shared" si="372"/>
        <v>6.8665258456235542E-2</v>
      </c>
      <c r="AR81" s="47">
        <f t="shared" si="373"/>
        <v>0.10456640545322771</v>
      </c>
      <c r="AS81" s="47">
        <f t="shared" si="374"/>
        <v>7.2195616654013667E-2</v>
      </c>
      <c r="AT81" s="47">
        <f t="shared" si="375"/>
        <v>1.8870640328979033E-2</v>
      </c>
      <c r="AU81" s="47">
        <f t="shared" si="376"/>
        <v>0</v>
      </c>
      <c r="AV81" s="47">
        <f t="shared" si="377"/>
        <v>0.34016118469704643</v>
      </c>
      <c r="AW81" s="47">
        <f t="shared" si="378"/>
        <v>1.4364414838747823</v>
      </c>
      <c r="AX81" s="47">
        <f t="shared" si="379"/>
        <v>6.0497110154716517E-2</v>
      </c>
      <c r="AY81" s="46">
        <f t="shared" si="380"/>
        <v>1.5071397892332847E-2</v>
      </c>
      <c r="AZ81" s="26"/>
      <c r="BA81" s="23">
        <f t="shared" si="295"/>
        <v>0.62291891540767586</v>
      </c>
      <c r="BB81" s="13">
        <f t="shared" si="296"/>
        <v>1.0503537268745283E-2</v>
      </c>
      <c r="BC81" s="13">
        <f t="shared" si="297"/>
        <v>0.11948898964821014</v>
      </c>
      <c r="BD81" s="13">
        <f t="shared" si="298"/>
        <v>0</v>
      </c>
      <c r="BE81" s="13">
        <f t="shared" si="299"/>
        <v>6.309364813020886E-2</v>
      </c>
      <c r="BF81" s="13">
        <f t="shared" si="300"/>
        <v>4.2115958661627026E-2</v>
      </c>
      <c r="BG81" s="13">
        <f t="shared" si="301"/>
        <v>1.0492176716922673E-2</v>
      </c>
      <c r="BH81" s="13">
        <f t="shared" si="302"/>
        <v>0</v>
      </c>
      <c r="BI81" s="13">
        <f t="shared" si="303"/>
        <v>4.7802335999801326E-2</v>
      </c>
      <c r="BJ81" s="13">
        <f t="shared" si="304"/>
        <v>7.2795450860386732E-2</v>
      </c>
      <c r="BK81" s="13">
        <f t="shared" si="305"/>
        <v>5.0260047112581939E-2</v>
      </c>
      <c r="BL81" s="13">
        <f t="shared" si="306"/>
        <v>1.3137075572389989E-2</v>
      </c>
      <c r="BM81" s="13">
        <f t="shared" si="307"/>
        <v>0</v>
      </c>
      <c r="BN81" s="13">
        <f t="shared" si="308"/>
        <v>0.23680824350704913</v>
      </c>
      <c r="BO81" s="12">
        <f t="shared" si="309"/>
        <v>1.0000000000000002</v>
      </c>
      <c r="BP81" s="13"/>
      <c r="BQ81" s="23">
        <f t="shared" si="310"/>
        <v>1.7895731423637438</v>
      </c>
      <c r="BR81" s="13">
        <f t="shared" si="311"/>
        <v>3.0175433320501106E-2</v>
      </c>
      <c r="BS81" s="13">
        <f t="shared" si="312"/>
        <v>0.51471489662433578</v>
      </c>
      <c r="BT81" s="13">
        <f t="shared" si="313"/>
        <v>0</v>
      </c>
      <c r="BU81" s="13">
        <f t="shared" si="314"/>
        <v>9.0630333543230593E-2</v>
      </c>
      <c r="BV81" s="13">
        <f t="shared" si="315"/>
        <v>6.0497110154716517E-2</v>
      </c>
      <c r="BW81" s="24">
        <f t="shared" si="316"/>
        <v>4.521419367699854E-2</v>
      </c>
      <c r="BX81" s="13">
        <f t="shared" si="317"/>
        <v>0</v>
      </c>
      <c r="BY81" s="13">
        <f t="shared" si="318"/>
        <v>6.8699335507578591E-2</v>
      </c>
      <c r="BZ81" s="13">
        <f t="shared" si="319"/>
        <v>0.10452912687730855</v>
      </c>
      <c r="CA81" s="13">
        <f t="shared" si="320"/>
        <v>7.2172327745415585E-2</v>
      </c>
      <c r="CB81" s="13">
        <f t="shared" si="321"/>
        <v>1.8870640328979033E-2</v>
      </c>
      <c r="CC81" s="13">
        <f t="shared" si="322"/>
        <v>0</v>
      </c>
      <c r="CD81" s="13">
        <f t="shared" si="323"/>
        <v>0.34016118469704643</v>
      </c>
      <c r="CE81" s="12">
        <f t="shared" si="324"/>
        <v>3.0295264210081392</v>
      </c>
      <c r="CF81" s="13"/>
      <c r="CG81" s="23">
        <f t="shared" si="280"/>
        <v>0.59071052490383147</v>
      </c>
      <c r="CH81" s="13">
        <f t="shared" si="280"/>
        <v>9.9604456694124457E-3</v>
      </c>
      <c r="CI81" s="13">
        <f t="shared" si="280"/>
        <v>0.16989945790043762</v>
      </c>
      <c r="CJ81" s="13">
        <f t="shared" si="280"/>
        <v>0</v>
      </c>
      <c r="CK81" s="13">
        <f t="shared" si="280"/>
        <v>2.991567689086911E-2</v>
      </c>
      <c r="CL81" s="13">
        <f t="shared" si="280"/>
        <v>1.9969164069737613E-2</v>
      </c>
      <c r="CM81" s="13">
        <f t="shared" si="280"/>
        <v>1.4924508782449422E-2</v>
      </c>
      <c r="CN81" s="13">
        <f t="shared" si="280"/>
        <v>0</v>
      </c>
      <c r="CO81" s="13">
        <f t="shared" si="280"/>
        <v>2.2676592298778313E-2</v>
      </c>
      <c r="CP81" s="13">
        <f t="shared" si="156"/>
        <v>3.4503454451644711E-2</v>
      </c>
      <c r="CQ81" s="13">
        <f t="shared" si="156"/>
        <v>2.3822973533070793E-2</v>
      </c>
      <c r="CR81" s="13">
        <f t="shared" si="156"/>
        <v>6.2289076596663004E-3</v>
      </c>
      <c r="CS81" s="13">
        <f t="shared" si="156"/>
        <v>0</v>
      </c>
      <c r="CT81" s="13">
        <f t="shared" si="156"/>
        <v>0.11228196669228935</v>
      </c>
      <c r="CU81" s="12">
        <f t="shared" si="325"/>
        <v>1.0000000000000002</v>
      </c>
      <c r="CV81" s="26"/>
      <c r="CW81" s="23">
        <f t="shared" si="326"/>
        <v>0.89478657118187188</v>
      </c>
      <c r="CX81" s="13">
        <f t="shared" si="327"/>
        <v>1.5087716660250553E-2</v>
      </c>
      <c r="CY81" s="13">
        <f t="shared" si="328"/>
        <v>0.34314326441622384</v>
      </c>
      <c r="CZ81" s="13">
        <f t="shared" si="329"/>
        <v>0</v>
      </c>
      <c r="DA81" s="13">
        <f t="shared" si="330"/>
        <v>7.9944289693593323E-2</v>
      </c>
      <c r="DB81" s="13">
        <f t="shared" si="331"/>
        <v>6.0497110154716517E-2</v>
      </c>
      <c r="DC81" s="24">
        <f t="shared" si="332"/>
        <v>3.0142795784665694E-2</v>
      </c>
      <c r="DD81" s="13">
        <f t="shared" si="333"/>
        <v>0</v>
      </c>
      <c r="DE81" s="13">
        <f t="shared" si="334"/>
        <v>6.8699335507578591E-2</v>
      </c>
      <c r="DF81" s="13">
        <f t="shared" si="335"/>
        <v>0.10452912687730855</v>
      </c>
      <c r="DG81" s="13">
        <f t="shared" si="336"/>
        <v>0.14434465549083117</v>
      </c>
      <c r="DH81" s="13">
        <f t="shared" si="337"/>
        <v>3.7741280657958065E-2</v>
      </c>
      <c r="DI81" s="13">
        <f t="shared" si="338"/>
        <v>0</v>
      </c>
      <c r="DJ81" s="13">
        <f t="shared" si="381"/>
        <v>0.68032236939409285</v>
      </c>
      <c r="DK81" s="12">
        <f t="shared" si="382"/>
        <v>2.3685986098797089</v>
      </c>
      <c r="DL81" s="26"/>
      <c r="DM81" s="23">
        <f t="shared" si="152"/>
        <v>0.3777704535709891</v>
      </c>
      <c r="DN81" s="13">
        <f t="shared" si="152"/>
        <v>6.3698917145851037E-3</v>
      </c>
      <c r="DO81" s="13">
        <f t="shared" si="152"/>
        <v>0.14487185080027157</v>
      </c>
      <c r="DP81" s="13">
        <f t="shared" si="152"/>
        <v>0</v>
      </c>
      <c r="DQ81" s="13">
        <f t="shared" si="152"/>
        <v>3.3751725328274744E-2</v>
      </c>
      <c r="DR81" s="13">
        <f t="shared" si="294"/>
        <v>2.5541309490926749E-2</v>
      </c>
      <c r="DS81" s="13">
        <f t="shared" si="294"/>
        <v>1.2726004169273965E-2</v>
      </c>
      <c r="DT81" s="13">
        <f t="shared" si="294"/>
        <v>0</v>
      </c>
      <c r="DU81" s="13">
        <f t="shared" si="294"/>
        <v>2.9004211697594273E-2</v>
      </c>
      <c r="DV81" s="13">
        <f t="shared" si="294"/>
        <v>4.4131211781221612E-2</v>
      </c>
      <c r="DW81" s="13">
        <f t="shared" si="294"/>
        <v>6.0940952548377045E-2</v>
      </c>
      <c r="DX81" s="13">
        <f t="shared" si="294"/>
        <v>1.5934012838027794E-2</v>
      </c>
      <c r="DY81" s="13">
        <f t="shared" si="294"/>
        <v>0</v>
      </c>
      <c r="DZ81" s="13">
        <f t="shared" si="294"/>
        <v>0.28722568972065871</v>
      </c>
      <c r="EA81" s="12">
        <f t="shared" si="339"/>
        <v>1</v>
      </c>
      <c r="EB81" s="26"/>
      <c r="EC81" s="30">
        <f t="shared" si="340"/>
        <v>1173</v>
      </c>
      <c r="ED81" s="14">
        <f t="shared" si="341"/>
        <v>1000000000</v>
      </c>
      <c r="EE81" s="29"/>
      <c r="EF81" s="184">
        <f t="shared" si="391"/>
        <v>-9.9222975277067338</v>
      </c>
      <c r="EG81" s="13">
        <f t="shared" si="383"/>
        <v>1.8</v>
      </c>
      <c r="EH81" s="13">
        <f t="shared" si="384"/>
        <v>1.5787425404944599</v>
      </c>
      <c r="EI81" s="12">
        <f t="shared" si="342"/>
        <v>6.3416018755328221</v>
      </c>
      <c r="EJ81" s="29"/>
      <c r="EK81" s="28">
        <f t="shared" si="385"/>
        <v>-1.3901144483060575</v>
      </c>
      <c r="EL81" s="24">
        <f t="shared" si="343"/>
        <v>-0.60361026847853128</v>
      </c>
      <c r="EM81" s="24">
        <f t="shared" si="386"/>
        <v>0.24904680001615595</v>
      </c>
      <c r="EN81" s="24">
        <f t="shared" si="344"/>
        <v>4.2115958661627026E-2</v>
      </c>
      <c r="EO81" s="24">
        <f t="shared" si="345"/>
        <v>1.0488844734290917E-2</v>
      </c>
      <c r="EP81" s="24">
        <f t="shared" si="346"/>
        <v>0.33248496624080676</v>
      </c>
      <c r="EQ81" s="24">
        <f t="shared" si="347"/>
        <v>-1.3897968295792937</v>
      </c>
      <c r="ER81" s="24">
        <f t="shared" si="348"/>
        <v>-22.844558163228747</v>
      </c>
      <c r="ES81" s="25">
        <f t="shared" si="349"/>
        <v>-9.9194781429564696</v>
      </c>
      <c r="ET81" s="26"/>
      <c r="EU81" s="23">
        <f t="shared" si="392"/>
        <v>-1.81818119414093</v>
      </c>
      <c r="EV81" s="12">
        <f t="shared" si="350"/>
        <v>1.4971577673923431E-2</v>
      </c>
      <c r="EW81" s="26"/>
      <c r="EX81" s="27">
        <f t="shared" si="351"/>
        <v>0.96934656996828439</v>
      </c>
      <c r="EY81" s="26"/>
      <c r="EZ81" s="23">
        <f t="shared" si="281"/>
        <v>-8.3698223188274223</v>
      </c>
      <c r="FA81" s="13">
        <f t="shared" si="352"/>
        <v>15.546509584626921</v>
      </c>
      <c r="FB81" s="13">
        <f t="shared" si="282"/>
        <v>-27.172509068173227</v>
      </c>
      <c r="FC81" s="13">
        <f t="shared" si="283"/>
        <v>5.3949722205291692</v>
      </c>
      <c r="FD81" s="12">
        <f t="shared" si="353"/>
        <v>0.99548116605534753</v>
      </c>
      <c r="FE81" s="13"/>
      <c r="FF81" s="23">
        <f t="shared" si="284"/>
        <v>-7.2146608329036512</v>
      </c>
      <c r="FG81" s="13">
        <f t="shared" si="285"/>
        <v>13.814764289861159</v>
      </c>
      <c r="FH81" s="13">
        <f t="shared" si="286"/>
        <v>15.215974285169665</v>
      </c>
      <c r="FI81" s="24">
        <f t="shared" si="287"/>
        <v>0.93866868688739458</v>
      </c>
      <c r="FJ81" s="25">
        <f t="shared" si="288"/>
        <v>0.99741277105071191</v>
      </c>
      <c r="FK81" s="13"/>
      <c r="FL81" s="23">
        <f t="shared" si="354"/>
        <v>12.885330668774174</v>
      </c>
      <c r="FM81" s="13">
        <f t="shared" si="355"/>
        <v>-7.247837152950221</v>
      </c>
      <c r="FN81" s="13">
        <f t="shared" si="289"/>
        <v>0.28857276631092788</v>
      </c>
      <c r="FO81" s="13">
        <f t="shared" si="356"/>
        <v>0.66026230424544852</v>
      </c>
      <c r="FP81" s="23">
        <f t="shared" si="290"/>
        <v>-0.64237352524917313</v>
      </c>
      <c r="FQ81" s="13">
        <f t="shared" si="291"/>
        <v>0.18556041971877679</v>
      </c>
      <c r="FR81" s="13">
        <f t="shared" si="292"/>
        <v>-0.27749713991243041</v>
      </c>
      <c r="FS81" s="13">
        <f t="shared" si="387"/>
        <v>0.34548149477731083</v>
      </c>
      <c r="FT81" s="13">
        <f t="shared" si="293"/>
        <v>-0.73615016634039421</v>
      </c>
      <c r="FU81" s="12">
        <f t="shared" si="388"/>
        <v>0.15511307965679566</v>
      </c>
      <c r="FV81" s="22"/>
      <c r="FW81" s="11">
        <f t="shared" si="357"/>
        <v>1.8</v>
      </c>
      <c r="FX81" s="10">
        <f t="shared" si="358"/>
        <v>1.5787425404944599</v>
      </c>
      <c r="FY81" s="10">
        <f t="shared" si="359"/>
        <v>6.3416018755328221</v>
      </c>
      <c r="FZ81" s="5">
        <f t="shared" si="360"/>
        <v>-9.9222975277067338</v>
      </c>
      <c r="GA81" s="10">
        <f t="shared" si="361"/>
        <v>0.33248496624080676</v>
      </c>
      <c r="GB81" s="9">
        <f t="shared" si="275"/>
        <v>12.885330668774174</v>
      </c>
      <c r="GC81" s="8">
        <f t="shared" si="276"/>
        <v>-7.247837152950221</v>
      </c>
      <c r="GD81" s="8">
        <f t="shared" si="389"/>
        <v>0.66026230424544852</v>
      </c>
      <c r="GE81" s="7">
        <f t="shared" si="390"/>
        <v>0.18556041971877679</v>
      </c>
      <c r="GF81" s="6">
        <f t="shared" si="277"/>
        <v>0.93866868688739458</v>
      </c>
      <c r="GG81" s="5">
        <f t="shared" si="278"/>
        <v>0.99741277105071191</v>
      </c>
      <c r="GH81" s="4">
        <f t="shared" si="279"/>
        <v>0.99548116605534753</v>
      </c>
      <c r="GI81" s="4">
        <f t="shared" si="362"/>
        <v>0.96934656996828439</v>
      </c>
      <c r="GJ81" s="4">
        <f t="shared" si="363"/>
        <v>1.4971577673923431E-2</v>
      </c>
      <c r="GK81" s="1"/>
    </row>
    <row r="82" spans="1:193" x14ac:dyDescent="0.4">
      <c r="A82" s="32"/>
      <c r="B82" s="33"/>
      <c r="C82" s="33"/>
      <c r="D82" s="32"/>
      <c r="E82" s="32"/>
      <c r="F82" s="20" t="s">
        <v>84</v>
      </c>
      <c r="G82" s="19">
        <v>900</v>
      </c>
      <c r="H82" s="18">
        <v>1</v>
      </c>
      <c r="I82" s="17">
        <v>2.2000000000000002</v>
      </c>
      <c r="J82" s="16">
        <v>52.63</v>
      </c>
      <c r="K82" s="16">
        <v>1.18</v>
      </c>
      <c r="L82" s="16">
        <v>17.13</v>
      </c>
      <c r="M82" s="16">
        <v>0</v>
      </c>
      <c r="N82" s="16">
        <f t="shared" si="153"/>
        <v>6.3739999999999997</v>
      </c>
      <c r="O82" s="16">
        <v>0</v>
      </c>
      <c r="P82" s="16">
        <v>2.71</v>
      </c>
      <c r="Q82" s="16">
        <v>5.74</v>
      </c>
      <c r="R82" s="16">
        <v>4.38</v>
      </c>
      <c r="S82" s="16">
        <v>1.74</v>
      </c>
      <c r="T82" s="16">
        <v>0</v>
      </c>
      <c r="U82" s="15">
        <v>6</v>
      </c>
      <c r="V82" s="16"/>
      <c r="W82" s="28">
        <f t="shared" si="364"/>
        <v>53.767725062318682</v>
      </c>
      <c r="X82" s="24">
        <f t="shared" si="155"/>
        <v>1.2055085611540193</v>
      </c>
      <c r="Y82" s="24">
        <f t="shared" si="155"/>
        <v>17.500306485227416</v>
      </c>
      <c r="Z82" s="24">
        <f t="shared" si="155"/>
        <v>0</v>
      </c>
      <c r="AA82" s="24">
        <f t="shared" si="155"/>
        <v>6.5117894650811179</v>
      </c>
      <c r="AB82" s="24">
        <f t="shared" si="155"/>
        <v>0</v>
      </c>
      <c r="AC82" s="24">
        <f t="shared" si="393"/>
        <v>2.7685832209554171</v>
      </c>
      <c r="AD82" s="24">
        <f t="shared" si="393"/>
        <v>5.8640840178170093</v>
      </c>
      <c r="AE82" s="24">
        <f t="shared" si="393"/>
        <v>4.4746843202157667</v>
      </c>
      <c r="AF82" s="24">
        <f t="shared" si="393"/>
        <v>1.777614318989825</v>
      </c>
      <c r="AG82" s="24">
        <f t="shared" si="393"/>
        <v>0</v>
      </c>
      <c r="AH82" s="24">
        <f t="shared" si="393"/>
        <v>6.1297045482407766</v>
      </c>
      <c r="AI82" s="14">
        <f t="shared" si="365"/>
        <v>100.00000000000004</v>
      </c>
      <c r="AJ82" s="26"/>
      <c r="AK82" s="50">
        <f t="shared" si="366"/>
        <v>0.89478657118187188</v>
      </c>
      <c r="AL82" s="47">
        <f t="shared" si="367"/>
        <v>1.5087716660250553E-2</v>
      </c>
      <c r="AM82" s="47">
        <f t="shared" si="368"/>
        <v>0.17163894159697349</v>
      </c>
      <c r="AN82" s="49">
        <f t="shared" si="369"/>
        <v>0</v>
      </c>
      <c r="AO82" s="49">
        <f t="shared" si="370"/>
        <v>9.0630333543230593E-2</v>
      </c>
      <c r="AP82" s="47">
        <f t="shared" si="371"/>
        <v>0</v>
      </c>
      <c r="AQ82" s="47">
        <f t="shared" si="372"/>
        <v>6.8665258456235542E-2</v>
      </c>
      <c r="AR82" s="47">
        <f t="shared" si="373"/>
        <v>0.10456640545322771</v>
      </c>
      <c r="AS82" s="47">
        <f t="shared" si="374"/>
        <v>7.2195616654013667E-2</v>
      </c>
      <c r="AT82" s="47">
        <f t="shared" si="375"/>
        <v>1.8870640328979033E-2</v>
      </c>
      <c r="AU82" s="47">
        <f t="shared" si="376"/>
        <v>0</v>
      </c>
      <c r="AV82" s="47">
        <f t="shared" si="377"/>
        <v>0.34016118469704643</v>
      </c>
      <c r="AW82" s="47">
        <f t="shared" si="378"/>
        <v>1.4364414838747823</v>
      </c>
      <c r="AX82" s="47">
        <f t="shared" si="379"/>
        <v>5.6763229698843752E-2</v>
      </c>
      <c r="AY82" s="46">
        <f t="shared" si="380"/>
        <v>1.6938931189627346E-2</v>
      </c>
      <c r="AZ82" s="26"/>
      <c r="BA82" s="23">
        <f t="shared" si="295"/>
        <v>0.62291891540767586</v>
      </c>
      <c r="BB82" s="13">
        <f t="shared" si="296"/>
        <v>1.0503537268745283E-2</v>
      </c>
      <c r="BC82" s="13">
        <f t="shared" si="297"/>
        <v>0.11948898964821014</v>
      </c>
      <c r="BD82" s="13">
        <f t="shared" si="298"/>
        <v>0</v>
      </c>
      <c r="BE82" s="13">
        <f t="shared" si="299"/>
        <v>6.309364813020886E-2</v>
      </c>
      <c r="BF82" s="13">
        <f t="shared" si="300"/>
        <v>3.9516562516508279E-2</v>
      </c>
      <c r="BG82" s="13">
        <f t="shared" si="301"/>
        <v>1.1792287663493816E-2</v>
      </c>
      <c r="BH82" s="13">
        <f t="shared" si="302"/>
        <v>0</v>
      </c>
      <c r="BI82" s="13">
        <f t="shared" si="303"/>
        <v>4.7802335999801326E-2</v>
      </c>
      <c r="BJ82" s="13">
        <f t="shared" si="304"/>
        <v>7.2795450860386732E-2</v>
      </c>
      <c r="BK82" s="13">
        <f t="shared" si="305"/>
        <v>5.0260047112581939E-2</v>
      </c>
      <c r="BL82" s="13">
        <f t="shared" si="306"/>
        <v>1.3137075572389989E-2</v>
      </c>
      <c r="BM82" s="13">
        <f t="shared" si="307"/>
        <v>0</v>
      </c>
      <c r="BN82" s="13">
        <f t="shared" si="308"/>
        <v>0.23680824350704913</v>
      </c>
      <c r="BO82" s="12">
        <f t="shared" si="309"/>
        <v>1.0000000000000002</v>
      </c>
      <c r="BP82" s="13"/>
      <c r="BQ82" s="23">
        <f t="shared" si="310"/>
        <v>1.7895731423637438</v>
      </c>
      <c r="BR82" s="13">
        <f t="shared" si="311"/>
        <v>3.0175433320501106E-2</v>
      </c>
      <c r="BS82" s="13">
        <f t="shared" si="312"/>
        <v>0.51471489662433578</v>
      </c>
      <c r="BT82" s="13">
        <f t="shared" si="313"/>
        <v>0</v>
      </c>
      <c r="BU82" s="13">
        <f t="shared" si="314"/>
        <v>9.0630333543230593E-2</v>
      </c>
      <c r="BV82" s="13">
        <f t="shared" si="315"/>
        <v>5.6763229698843752E-2</v>
      </c>
      <c r="BW82" s="24">
        <f t="shared" si="316"/>
        <v>5.0816793568882045E-2</v>
      </c>
      <c r="BX82" s="13">
        <f t="shared" si="317"/>
        <v>0</v>
      </c>
      <c r="BY82" s="13">
        <f t="shared" si="318"/>
        <v>6.8699335507578591E-2</v>
      </c>
      <c r="BZ82" s="13">
        <f t="shared" si="319"/>
        <v>0.10452912687730855</v>
      </c>
      <c r="CA82" s="13">
        <f t="shared" si="320"/>
        <v>7.2172327745415585E-2</v>
      </c>
      <c r="CB82" s="13">
        <f t="shared" si="321"/>
        <v>1.8870640328979033E-2</v>
      </c>
      <c r="CC82" s="13">
        <f t="shared" si="322"/>
        <v>0</v>
      </c>
      <c r="CD82" s="13">
        <f t="shared" si="323"/>
        <v>0.34016118469704643</v>
      </c>
      <c r="CE82" s="12">
        <f t="shared" si="324"/>
        <v>3.0295264210081392</v>
      </c>
      <c r="CF82" s="13"/>
      <c r="CG82" s="23">
        <f t="shared" si="280"/>
        <v>0.59071052490383147</v>
      </c>
      <c r="CH82" s="13">
        <f t="shared" si="280"/>
        <v>9.9604456694124457E-3</v>
      </c>
      <c r="CI82" s="13">
        <f t="shared" si="280"/>
        <v>0.16989945790043762</v>
      </c>
      <c r="CJ82" s="13">
        <f t="shared" si="280"/>
        <v>0</v>
      </c>
      <c r="CK82" s="13">
        <f t="shared" si="280"/>
        <v>2.991567689086911E-2</v>
      </c>
      <c r="CL82" s="13">
        <f t="shared" si="280"/>
        <v>1.8736667653802663E-2</v>
      </c>
      <c r="CM82" s="13">
        <f t="shared" si="280"/>
        <v>1.6773840695527481E-2</v>
      </c>
      <c r="CN82" s="13">
        <f t="shared" si="280"/>
        <v>0</v>
      </c>
      <c r="CO82" s="13">
        <f t="shared" si="280"/>
        <v>2.2676592298778313E-2</v>
      </c>
      <c r="CP82" s="13">
        <f t="shared" si="156"/>
        <v>3.4503454451644711E-2</v>
      </c>
      <c r="CQ82" s="13">
        <f t="shared" si="156"/>
        <v>2.3822973533070793E-2</v>
      </c>
      <c r="CR82" s="13">
        <f t="shared" si="156"/>
        <v>6.2289076596663004E-3</v>
      </c>
      <c r="CS82" s="13">
        <f t="shared" si="156"/>
        <v>0</v>
      </c>
      <c r="CT82" s="13">
        <f t="shared" si="156"/>
        <v>0.11228196669228935</v>
      </c>
      <c r="CU82" s="12">
        <f t="shared" si="325"/>
        <v>1.0000000000000002</v>
      </c>
      <c r="CV82" s="26"/>
      <c r="CW82" s="23">
        <f t="shared" si="326"/>
        <v>0.89478657118187188</v>
      </c>
      <c r="CX82" s="13">
        <f t="shared" si="327"/>
        <v>1.5087716660250553E-2</v>
      </c>
      <c r="CY82" s="13">
        <f t="shared" si="328"/>
        <v>0.34314326441622384</v>
      </c>
      <c r="CZ82" s="13">
        <f t="shared" si="329"/>
        <v>0</v>
      </c>
      <c r="DA82" s="13">
        <f t="shared" si="330"/>
        <v>7.9944289693593323E-2</v>
      </c>
      <c r="DB82" s="13">
        <f t="shared" si="331"/>
        <v>5.6763229698843752E-2</v>
      </c>
      <c r="DC82" s="24">
        <f t="shared" si="332"/>
        <v>3.3877862379254692E-2</v>
      </c>
      <c r="DD82" s="13">
        <f t="shared" si="333"/>
        <v>0</v>
      </c>
      <c r="DE82" s="13">
        <f t="shared" si="334"/>
        <v>6.8699335507578591E-2</v>
      </c>
      <c r="DF82" s="13">
        <f t="shared" si="335"/>
        <v>0.10452912687730855</v>
      </c>
      <c r="DG82" s="13">
        <f t="shared" si="336"/>
        <v>0.14434465549083117</v>
      </c>
      <c r="DH82" s="13">
        <f t="shared" si="337"/>
        <v>3.7741280657958065E-2</v>
      </c>
      <c r="DI82" s="13">
        <f t="shared" si="338"/>
        <v>0</v>
      </c>
      <c r="DJ82" s="13">
        <f t="shared" si="381"/>
        <v>0.68032236939409285</v>
      </c>
      <c r="DK82" s="12">
        <f t="shared" si="382"/>
        <v>2.3685986098797089</v>
      </c>
      <c r="DL82" s="26"/>
      <c r="DM82" s="23">
        <f t="shared" si="152"/>
        <v>0.3777704535709891</v>
      </c>
      <c r="DN82" s="13">
        <f t="shared" si="152"/>
        <v>6.3698917145851037E-3</v>
      </c>
      <c r="DO82" s="13">
        <f t="shared" si="152"/>
        <v>0.14487185080027157</v>
      </c>
      <c r="DP82" s="13">
        <f t="shared" si="152"/>
        <v>0</v>
      </c>
      <c r="DQ82" s="13">
        <f t="shared" si="152"/>
        <v>3.3751725328274744E-2</v>
      </c>
      <c r="DR82" s="13">
        <f t="shared" si="294"/>
        <v>2.396490036854599E-2</v>
      </c>
      <c r="DS82" s="13">
        <f t="shared" si="294"/>
        <v>1.4302914068236831E-2</v>
      </c>
      <c r="DT82" s="13">
        <f t="shared" si="294"/>
        <v>0</v>
      </c>
      <c r="DU82" s="13">
        <f t="shared" si="294"/>
        <v>2.9004211697594273E-2</v>
      </c>
      <c r="DV82" s="13">
        <f t="shared" si="294"/>
        <v>4.4131211781221612E-2</v>
      </c>
      <c r="DW82" s="13">
        <f t="shared" si="294"/>
        <v>6.0940952548377045E-2</v>
      </c>
      <c r="DX82" s="13">
        <f t="shared" si="294"/>
        <v>1.5934012838027794E-2</v>
      </c>
      <c r="DY82" s="13">
        <f t="shared" si="294"/>
        <v>0</v>
      </c>
      <c r="DZ82" s="13">
        <f t="shared" si="294"/>
        <v>0.28722568972065871</v>
      </c>
      <c r="EA82" s="12">
        <f t="shared" si="339"/>
        <v>1</v>
      </c>
      <c r="EB82" s="26"/>
      <c r="EC82" s="30">
        <f t="shared" si="340"/>
        <v>1173</v>
      </c>
      <c r="ED82" s="14">
        <f t="shared" si="341"/>
        <v>1000000000</v>
      </c>
      <c r="EE82" s="29"/>
      <c r="EF82" s="184">
        <f t="shared" si="391"/>
        <v>-9.5222975277067334</v>
      </c>
      <c r="EG82" s="13">
        <f t="shared" si="383"/>
        <v>2.2000000000000002</v>
      </c>
      <c r="EH82" s="13">
        <f t="shared" si="384"/>
        <v>1.9787425404944603</v>
      </c>
      <c r="EI82" s="12">
        <f t="shared" si="342"/>
        <v>6.7416018755328224</v>
      </c>
      <c r="EJ82" s="29"/>
      <c r="EK82" s="28">
        <f t="shared" si="385"/>
        <v>-1.2095917770153244</v>
      </c>
      <c r="EL82" s="24">
        <f t="shared" si="343"/>
        <v>-0.52522439297235102</v>
      </c>
      <c r="EM82" s="24">
        <f t="shared" si="386"/>
        <v>0.29831903526339243</v>
      </c>
      <c r="EN82" s="24">
        <f t="shared" si="344"/>
        <v>3.9516562516508286E-2</v>
      </c>
      <c r="EO82" s="24">
        <f t="shared" si="345"/>
        <v>1.1788542806850287E-2</v>
      </c>
      <c r="EP82" s="24">
        <f t="shared" si="346"/>
        <v>0.37368398107276363</v>
      </c>
      <c r="EQ82" s="24">
        <f t="shared" si="347"/>
        <v>-1.2092741582885604</v>
      </c>
      <c r="ER82" s="24">
        <f t="shared" si="348"/>
        <v>-21.923524126031129</v>
      </c>
      <c r="ES82" s="25">
        <f t="shared" si="349"/>
        <v>-9.5195502067004476</v>
      </c>
      <c r="ET82" s="26"/>
      <c r="EU82" s="23">
        <f t="shared" si="392"/>
        <v>-1.1909811941409316</v>
      </c>
      <c r="EV82" s="12">
        <f t="shared" si="350"/>
        <v>6.052097216089225E-2</v>
      </c>
      <c r="EW82" s="26"/>
      <c r="EX82" s="27">
        <f t="shared" si="351"/>
        <v>0.99501312126331209</v>
      </c>
      <c r="EY82" s="26"/>
      <c r="EZ82" s="23">
        <f t="shared" si="281"/>
        <v>-8.3698223188274223</v>
      </c>
      <c r="FA82" s="13">
        <f t="shared" si="352"/>
        <v>15.524335031754557</v>
      </c>
      <c r="FB82" s="13">
        <f t="shared" si="282"/>
        <v>-27.172509068173227</v>
      </c>
      <c r="FC82" s="13">
        <f t="shared" si="283"/>
        <v>7.2148657420520479</v>
      </c>
      <c r="FD82" s="12">
        <f t="shared" si="353"/>
        <v>0.9992649713213908</v>
      </c>
      <c r="FE82" s="13"/>
      <c r="FF82" s="23">
        <f t="shared" si="284"/>
        <v>-7.2411778934739415</v>
      </c>
      <c r="FG82" s="13">
        <f t="shared" si="285"/>
        <v>13.814764289861159</v>
      </c>
      <c r="FH82" s="13">
        <f t="shared" si="286"/>
        <v>15.215974285169665</v>
      </c>
      <c r="FI82" s="24">
        <f t="shared" si="287"/>
        <v>0.99035188646863082</v>
      </c>
      <c r="FJ82" s="25">
        <f t="shared" si="288"/>
        <v>0.99961338834621494</v>
      </c>
      <c r="FK82" s="13"/>
      <c r="FL82" s="23">
        <f t="shared" si="354"/>
        <v>12.885330668774174</v>
      </c>
      <c r="FM82" s="13">
        <f t="shared" si="355"/>
        <v>-7.2583358919901668</v>
      </c>
      <c r="FN82" s="13">
        <f t="shared" si="289"/>
        <v>1.0990715053508744</v>
      </c>
      <c r="FO82" s="13">
        <f t="shared" si="356"/>
        <v>0.92626656252671569</v>
      </c>
      <c r="FP82" s="23">
        <f t="shared" si="290"/>
        <v>0.16812521379077339</v>
      </c>
      <c r="FQ82" s="13">
        <f t="shared" si="291"/>
        <v>0.59558983500592466</v>
      </c>
      <c r="FR82" s="13">
        <f t="shared" si="292"/>
        <v>0.5330015991275161</v>
      </c>
      <c r="FS82" s="13">
        <f t="shared" si="387"/>
        <v>0.77334242547464016</v>
      </c>
      <c r="FT82" s="13">
        <f t="shared" si="293"/>
        <v>7.4348572699552307E-2</v>
      </c>
      <c r="FU82" s="12">
        <f t="shared" si="388"/>
        <v>0.54269425837105301</v>
      </c>
      <c r="FV82" s="22"/>
      <c r="FW82" s="11">
        <f t="shared" si="357"/>
        <v>2.2000000000000002</v>
      </c>
      <c r="FX82" s="10">
        <f t="shared" si="358"/>
        <v>1.9787425404944603</v>
      </c>
      <c r="FY82" s="10">
        <f t="shared" si="359"/>
        <v>6.7416018755328224</v>
      </c>
      <c r="FZ82" s="5">
        <f t="shared" si="360"/>
        <v>-9.5222975277067334</v>
      </c>
      <c r="GA82" s="10">
        <f t="shared" si="361"/>
        <v>0.37368398107276363</v>
      </c>
      <c r="GB82" s="9">
        <f t="shared" si="275"/>
        <v>12.885330668774174</v>
      </c>
      <c r="GC82" s="8">
        <f t="shared" si="276"/>
        <v>-7.2583358919901668</v>
      </c>
      <c r="GD82" s="8">
        <f t="shared" si="389"/>
        <v>0.92626656252671569</v>
      </c>
      <c r="GE82" s="7">
        <f t="shared" si="390"/>
        <v>0.59558983500592466</v>
      </c>
      <c r="GF82" s="6">
        <f t="shared" si="277"/>
        <v>0.99035188646863082</v>
      </c>
      <c r="GG82" s="5">
        <f t="shared" si="278"/>
        <v>0.99961338834621494</v>
      </c>
      <c r="GH82" s="4">
        <f t="shared" si="279"/>
        <v>0.9992649713213908</v>
      </c>
      <c r="GI82" s="4">
        <f t="shared" si="362"/>
        <v>0.99501312126331209</v>
      </c>
      <c r="GJ82" s="4">
        <f t="shared" si="363"/>
        <v>6.052097216089225E-2</v>
      </c>
      <c r="GK82" s="1"/>
    </row>
    <row r="83" spans="1:193" x14ac:dyDescent="0.4">
      <c r="A83" s="32"/>
      <c r="B83" s="33"/>
      <c r="C83" s="33"/>
      <c r="D83" s="32"/>
      <c r="E83" s="32"/>
      <c r="F83" s="20" t="s">
        <v>84</v>
      </c>
      <c r="G83" s="19">
        <v>900</v>
      </c>
      <c r="H83" s="18">
        <v>1</v>
      </c>
      <c r="I83" s="17">
        <v>2.6</v>
      </c>
      <c r="J83" s="16">
        <v>52.63</v>
      </c>
      <c r="K83" s="16">
        <v>1.18</v>
      </c>
      <c r="L83" s="16">
        <v>17.13</v>
      </c>
      <c r="M83" s="16">
        <v>0</v>
      </c>
      <c r="N83" s="16">
        <f t="shared" si="153"/>
        <v>6.3739999999999997</v>
      </c>
      <c r="O83" s="16">
        <v>0</v>
      </c>
      <c r="P83" s="16">
        <v>2.71</v>
      </c>
      <c r="Q83" s="16">
        <v>5.74</v>
      </c>
      <c r="R83" s="16">
        <v>4.38</v>
      </c>
      <c r="S83" s="16">
        <v>1.74</v>
      </c>
      <c r="T83" s="16">
        <v>0</v>
      </c>
      <c r="U83" s="15">
        <v>6</v>
      </c>
      <c r="V83" s="16"/>
      <c r="W83" s="28">
        <f t="shared" si="364"/>
        <v>53.767725062318682</v>
      </c>
      <c r="X83" s="24">
        <f t="shared" si="155"/>
        <v>1.2055085611540193</v>
      </c>
      <c r="Y83" s="24">
        <f t="shared" si="155"/>
        <v>17.500306485227416</v>
      </c>
      <c r="Z83" s="24">
        <f t="shared" si="155"/>
        <v>0</v>
      </c>
      <c r="AA83" s="24">
        <f t="shared" si="155"/>
        <v>6.5117894650811179</v>
      </c>
      <c r="AB83" s="24">
        <f t="shared" si="155"/>
        <v>0</v>
      </c>
      <c r="AC83" s="24">
        <f t="shared" si="393"/>
        <v>2.7685832209554171</v>
      </c>
      <c r="AD83" s="24">
        <f t="shared" si="393"/>
        <v>5.8640840178170093</v>
      </c>
      <c r="AE83" s="24">
        <f t="shared" si="393"/>
        <v>4.4746843202157667</v>
      </c>
      <c r="AF83" s="24">
        <f t="shared" si="393"/>
        <v>1.777614318989825</v>
      </c>
      <c r="AG83" s="24">
        <f t="shared" si="393"/>
        <v>0</v>
      </c>
      <c r="AH83" s="24">
        <f t="shared" si="393"/>
        <v>6.1297045482407766</v>
      </c>
      <c r="AI83" s="14">
        <f t="shared" si="365"/>
        <v>100.00000000000004</v>
      </c>
      <c r="AJ83" s="26"/>
      <c r="AK83" s="50">
        <f t="shared" si="366"/>
        <v>0.89478657118187188</v>
      </c>
      <c r="AL83" s="47">
        <f t="shared" si="367"/>
        <v>1.5087716660250553E-2</v>
      </c>
      <c r="AM83" s="47">
        <f t="shared" si="368"/>
        <v>0.17163894159697349</v>
      </c>
      <c r="AN83" s="49">
        <f t="shared" si="369"/>
        <v>0</v>
      </c>
      <c r="AO83" s="49">
        <f t="shared" si="370"/>
        <v>9.0630333543230593E-2</v>
      </c>
      <c r="AP83" s="47">
        <f t="shared" si="371"/>
        <v>0</v>
      </c>
      <c r="AQ83" s="47">
        <f t="shared" si="372"/>
        <v>6.8665258456235542E-2</v>
      </c>
      <c r="AR83" s="47">
        <f t="shared" si="373"/>
        <v>0.10456640545322771</v>
      </c>
      <c r="AS83" s="47">
        <f t="shared" si="374"/>
        <v>7.2195616654013667E-2</v>
      </c>
      <c r="AT83" s="47">
        <f t="shared" si="375"/>
        <v>1.8870640328979033E-2</v>
      </c>
      <c r="AU83" s="47">
        <f t="shared" si="376"/>
        <v>0</v>
      </c>
      <c r="AV83" s="47">
        <f t="shared" si="377"/>
        <v>0.34016118469704643</v>
      </c>
      <c r="AW83" s="47">
        <f t="shared" si="378"/>
        <v>1.4364414838747823</v>
      </c>
      <c r="AX83" s="47">
        <f t="shared" si="379"/>
        <v>5.285557163707387E-2</v>
      </c>
      <c r="AY83" s="46">
        <f t="shared" si="380"/>
        <v>1.8893380891764584E-2</v>
      </c>
      <c r="AZ83" s="26"/>
      <c r="BA83" s="23">
        <f t="shared" si="295"/>
        <v>0.62291891540767586</v>
      </c>
      <c r="BB83" s="13">
        <f t="shared" si="296"/>
        <v>1.0503537268745283E-2</v>
      </c>
      <c r="BC83" s="13">
        <f t="shared" si="297"/>
        <v>0.11948898964821014</v>
      </c>
      <c r="BD83" s="13">
        <f t="shared" si="298"/>
        <v>0</v>
      </c>
      <c r="BE83" s="13">
        <f t="shared" si="299"/>
        <v>6.309364813020886E-2</v>
      </c>
      <c r="BF83" s="13">
        <f t="shared" si="300"/>
        <v>3.6796188518934063E-2</v>
      </c>
      <c r="BG83" s="13">
        <f t="shared" si="301"/>
        <v>1.3152906751759865E-2</v>
      </c>
      <c r="BH83" s="13">
        <f t="shared" si="302"/>
        <v>0</v>
      </c>
      <c r="BI83" s="13">
        <f t="shared" si="303"/>
        <v>4.7802335999801326E-2</v>
      </c>
      <c r="BJ83" s="13">
        <f t="shared" si="304"/>
        <v>7.2795450860386732E-2</v>
      </c>
      <c r="BK83" s="13">
        <f t="shared" si="305"/>
        <v>5.0260047112581939E-2</v>
      </c>
      <c r="BL83" s="13">
        <f t="shared" si="306"/>
        <v>1.3137075572389989E-2</v>
      </c>
      <c r="BM83" s="13">
        <f t="shared" si="307"/>
        <v>0</v>
      </c>
      <c r="BN83" s="13">
        <f t="shared" si="308"/>
        <v>0.23680824350704913</v>
      </c>
      <c r="BO83" s="12">
        <f t="shared" si="309"/>
        <v>1.0000000000000002</v>
      </c>
      <c r="BP83" s="13"/>
      <c r="BQ83" s="23">
        <f t="shared" si="310"/>
        <v>1.7895731423637438</v>
      </c>
      <c r="BR83" s="13">
        <f t="shared" si="311"/>
        <v>3.0175433320501106E-2</v>
      </c>
      <c r="BS83" s="13">
        <f t="shared" si="312"/>
        <v>0.51471489662433578</v>
      </c>
      <c r="BT83" s="13">
        <f t="shared" si="313"/>
        <v>0</v>
      </c>
      <c r="BU83" s="13">
        <f t="shared" si="314"/>
        <v>9.0630333543230593E-2</v>
      </c>
      <c r="BV83" s="13">
        <f t="shared" si="315"/>
        <v>5.285557163707387E-2</v>
      </c>
      <c r="BW83" s="24">
        <f t="shared" si="316"/>
        <v>5.6680142675293754E-2</v>
      </c>
      <c r="BX83" s="13">
        <f t="shared" si="317"/>
        <v>0</v>
      </c>
      <c r="BY83" s="13">
        <f t="shared" si="318"/>
        <v>6.8699335507578591E-2</v>
      </c>
      <c r="BZ83" s="13">
        <f t="shared" si="319"/>
        <v>0.10452912687730855</v>
      </c>
      <c r="CA83" s="13">
        <f t="shared" si="320"/>
        <v>7.2172327745415585E-2</v>
      </c>
      <c r="CB83" s="13">
        <f t="shared" si="321"/>
        <v>1.8870640328979033E-2</v>
      </c>
      <c r="CC83" s="13">
        <f t="shared" si="322"/>
        <v>0</v>
      </c>
      <c r="CD83" s="13">
        <f t="shared" si="323"/>
        <v>0.34016118469704643</v>
      </c>
      <c r="CE83" s="12">
        <f t="shared" si="324"/>
        <v>3.0295264210081392</v>
      </c>
      <c r="CF83" s="13"/>
      <c r="CG83" s="23">
        <f t="shared" si="280"/>
        <v>0.59071052490383147</v>
      </c>
      <c r="CH83" s="13">
        <f t="shared" si="280"/>
        <v>9.9604456694124457E-3</v>
      </c>
      <c r="CI83" s="13">
        <f t="shared" si="280"/>
        <v>0.16989945790043762</v>
      </c>
      <c r="CJ83" s="13">
        <f t="shared" si="280"/>
        <v>0</v>
      </c>
      <c r="CK83" s="13">
        <f t="shared" si="280"/>
        <v>2.991567689086911E-2</v>
      </c>
      <c r="CL83" s="13">
        <f t="shared" si="280"/>
        <v>1.7446809927303773E-2</v>
      </c>
      <c r="CM83" s="13">
        <f t="shared" si="280"/>
        <v>1.8709241907331586E-2</v>
      </c>
      <c r="CN83" s="13">
        <f t="shared" si="280"/>
        <v>0</v>
      </c>
      <c r="CO83" s="13">
        <f t="shared" si="280"/>
        <v>2.2676592298778313E-2</v>
      </c>
      <c r="CP83" s="13">
        <f t="shared" si="156"/>
        <v>3.4503454451644711E-2</v>
      </c>
      <c r="CQ83" s="13">
        <f t="shared" si="156"/>
        <v>2.3822973533070793E-2</v>
      </c>
      <c r="CR83" s="13">
        <f t="shared" si="156"/>
        <v>6.2289076596663004E-3</v>
      </c>
      <c r="CS83" s="13">
        <f t="shared" si="156"/>
        <v>0</v>
      </c>
      <c r="CT83" s="13">
        <f t="shared" si="156"/>
        <v>0.11228196669228935</v>
      </c>
      <c r="CU83" s="12">
        <f t="shared" si="325"/>
        <v>1.0000000000000002</v>
      </c>
      <c r="CV83" s="26"/>
      <c r="CW83" s="23">
        <f t="shared" si="326"/>
        <v>0.89478657118187188</v>
      </c>
      <c r="CX83" s="13">
        <f t="shared" si="327"/>
        <v>1.5087716660250553E-2</v>
      </c>
      <c r="CY83" s="13">
        <f t="shared" si="328"/>
        <v>0.34314326441622384</v>
      </c>
      <c r="CZ83" s="13">
        <f t="shared" si="329"/>
        <v>0</v>
      </c>
      <c r="DA83" s="13">
        <f t="shared" si="330"/>
        <v>7.9944289693593323E-2</v>
      </c>
      <c r="DB83" s="13">
        <f t="shared" si="331"/>
        <v>5.285557163707387E-2</v>
      </c>
      <c r="DC83" s="24">
        <f t="shared" si="332"/>
        <v>3.7786761783529167E-2</v>
      </c>
      <c r="DD83" s="13">
        <f t="shared" si="333"/>
        <v>0</v>
      </c>
      <c r="DE83" s="13">
        <f t="shared" si="334"/>
        <v>6.8699335507578591E-2</v>
      </c>
      <c r="DF83" s="13">
        <f t="shared" si="335"/>
        <v>0.10452912687730855</v>
      </c>
      <c r="DG83" s="13">
        <f t="shared" si="336"/>
        <v>0.14434465549083117</v>
      </c>
      <c r="DH83" s="13">
        <f t="shared" si="337"/>
        <v>3.7741280657958065E-2</v>
      </c>
      <c r="DI83" s="13">
        <f t="shared" si="338"/>
        <v>0</v>
      </c>
      <c r="DJ83" s="13">
        <f t="shared" si="381"/>
        <v>0.68032236939409285</v>
      </c>
      <c r="DK83" s="12">
        <f t="shared" si="382"/>
        <v>2.3685986098797089</v>
      </c>
      <c r="DL83" s="26"/>
      <c r="DM83" s="23">
        <f t="shared" si="152"/>
        <v>0.3777704535709891</v>
      </c>
      <c r="DN83" s="13">
        <f t="shared" si="152"/>
        <v>6.3698917145851037E-3</v>
      </c>
      <c r="DO83" s="13">
        <f t="shared" si="152"/>
        <v>0.14487185080027157</v>
      </c>
      <c r="DP83" s="13">
        <f t="shared" si="152"/>
        <v>0</v>
      </c>
      <c r="DQ83" s="13">
        <f t="shared" si="152"/>
        <v>3.3751725328274744E-2</v>
      </c>
      <c r="DR83" s="13">
        <f t="shared" si="294"/>
        <v>2.2315123979473321E-2</v>
      </c>
      <c r="DS83" s="13">
        <f t="shared" si="294"/>
        <v>1.595321454041054E-2</v>
      </c>
      <c r="DT83" s="13">
        <f t="shared" si="294"/>
        <v>0</v>
      </c>
      <c r="DU83" s="13">
        <f t="shared" si="294"/>
        <v>2.9004211697594273E-2</v>
      </c>
      <c r="DV83" s="13">
        <f t="shared" si="294"/>
        <v>4.4131211781221612E-2</v>
      </c>
      <c r="DW83" s="13">
        <f t="shared" si="294"/>
        <v>6.0940952548377045E-2</v>
      </c>
      <c r="DX83" s="13">
        <f t="shared" si="294"/>
        <v>1.5934012838027794E-2</v>
      </c>
      <c r="DY83" s="13">
        <f t="shared" si="294"/>
        <v>0</v>
      </c>
      <c r="DZ83" s="13">
        <f t="shared" si="294"/>
        <v>0.28722568972065871</v>
      </c>
      <c r="EA83" s="12">
        <f t="shared" si="339"/>
        <v>1</v>
      </c>
      <c r="EB83" s="26"/>
      <c r="EC83" s="30">
        <f t="shared" si="340"/>
        <v>1173</v>
      </c>
      <c r="ED83" s="14">
        <f t="shared" si="341"/>
        <v>1000000000</v>
      </c>
      <c r="EE83" s="29"/>
      <c r="EF83" s="184">
        <f t="shared" si="391"/>
        <v>-9.1222975277067349</v>
      </c>
      <c r="EG83" s="13">
        <f t="shared" si="383"/>
        <v>2.6</v>
      </c>
      <c r="EH83" s="13">
        <f t="shared" si="384"/>
        <v>2.3787425404944589</v>
      </c>
      <c r="EI83" s="12">
        <f t="shared" si="342"/>
        <v>7.141601875532821</v>
      </c>
      <c r="EJ83" s="29"/>
      <c r="EK83" s="28">
        <f t="shared" si="385"/>
        <v>-1.0290691057245922</v>
      </c>
      <c r="EL83" s="24">
        <f t="shared" si="343"/>
        <v>-0.4468385174661712</v>
      </c>
      <c r="EM83" s="24">
        <f t="shared" si="386"/>
        <v>0.3573394510377485</v>
      </c>
      <c r="EN83" s="24">
        <f t="shared" si="344"/>
        <v>3.6796188518934056E-2</v>
      </c>
      <c r="EO83" s="24">
        <f t="shared" si="345"/>
        <v>1.31487298056374E-2</v>
      </c>
      <c r="EP83" s="24">
        <f t="shared" si="346"/>
        <v>0.416800429054343</v>
      </c>
      <c r="EQ83" s="24">
        <f t="shared" si="347"/>
        <v>-1.0287514869978287</v>
      </c>
      <c r="ER83" s="24">
        <f t="shared" si="348"/>
        <v>-21.002490088833522</v>
      </c>
      <c r="ES83" s="25">
        <f t="shared" si="349"/>
        <v>-9.1196222704444292</v>
      </c>
      <c r="ET83" s="26"/>
      <c r="EU83" s="23">
        <f t="shared" si="392"/>
        <v>-0.56378119414093675</v>
      </c>
      <c r="EV83" s="12">
        <f t="shared" si="350"/>
        <v>0.21447583045936436</v>
      </c>
      <c r="EW83" s="26"/>
      <c r="EX83" s="27">
        <f t="shared" si="351"/>
        <v>0.99920630222183082</v>
      </c>
      <c r="EY83" s="26"/>
      <c r="EZ83" s="23">
        <f t="shared" si="281"/>
        <v>-8.3698223188274223</v>
      </c>
      <c r="FA83" s="13">
        <f t="shared" si="352"/>
        <v>15.501128458506734</v>
      </c>
      <c r="FB83" s="13">
        <f t="shared" si="282"/>
        <v>-27.172509068173227</v>
      </c>
      <c r="FC83" s="13">
        <f t="shared" si="283"/>
        <v>9.0337272431994506</v>
      </c>
      <c r="FD83" s="12">
        <f t="shared" si="353"/>
        <v>0.99988069729474183</v>
      </c>
      <c r="FE83" s="13"/>
      <c r="FF83" s="23">
        <f t="shared" si="284"/>
        <v>-7.2689290779953843</v>
      </c>
      <c r="FG83" s="13">
        <f t="shared" si="285"/>
        <v>13.814764289861159</v>
      </c>
      <c r="FH83" s="13">
        <f t="shared" si="286"/>
        <v>15.215974285169665</v>
      </c>
      <c r="FI83" s="24">
        <f t="shared" si="287"/>
        <v>0.99855365102721638</v>
      </c>
      <c r="FJ83" s="25">
        <f t="shared" si="288"/>
        <v>0.99994250014895192</v>
      </c>
      <c r="FK83" s="13"/>
      <c r="FL83" s="23">
        <f t="shared" si="354"/>
        <v>12.885330668774174</v>
      </c>
      <c r="FM83" s="13">
        <f t="shared" si="355"/>
        <v>-7.269323515430715</v>
      </c>
      <c r="FN83" s="13">
        <f t="shared" si="289"/>
        <v>1.910059128791417</v>
      </c>
      <c r="FO83" s="13">
        <f t="shared" si="356"/>
        <v>0.98784846338510601</v>
      </c>
      <c r="FP83" s="23">
        <f t="shared" si="290"/>
        <v>0.97911283723131604</v>
      </c>
      <c r="FQ83" s="13">
        <f t="shared" si="291"/>
        <v>0.90503718379995302</v>
      </c>
      <c r="FR83" s="13">
        <f t="shared" si="292"/>
        <v>1.3439892225680588</v>
      </c>
      <c r="FS83" s="13">
        <f t="shared" si="387"/>
        <v>0.95667150388800593</v>
      </c>
      <c r="FT83" s="13">
        <f t="shared" si="293"/>
        <v>0.88533619614009496</v>
      </c>
      <c r="FU83" s="12">
        <f t="shared" si="388"/>
        <v>0.88478675316101396</v>
      </c>
      <c r="FV83" s="22"/>
      <c r="FW83" s="11">
        <f t="shared" si="357"/>
        <v>2.6</v>
      </c>
      <c r="FX83" s="10">
        <f t="shared" si="358"/>
        <v>2.3787425404944589</v>
      </c>
      <c r="FY83" s="10">
        <f t="shared" si="359"/>
        <v>7.141601875532821</v>
      </c>
      <c r="FZ83" s="5">
        <f t="shared" si="360"/>
        <v>-9.1222975277067349</v>
      </c>
      <c r="GA83" s="10">
        <f t="shared" si="361"/>
        <v>0.416800429054343</v>
      </c>
      <c r="GB83" s="9">
        <f t="shared" si="275"/>
        <v>12.885330668774174</v>
      </c>
      <c r="GC83" s="8">
        <f t="shared" si="276"/>
        <v>-7.269323515430715</v>
      </c>
      <c r="GD83" s="8">
        <f t="shared" si="389"/>
        <v>0.98784846338510601</v>
      </c>
      <c r="GE83" s="7">
        <f t="shared" si="390"/>
        <v>0.90503718379995302</v>
      </c>
      <c r="GF83" s="6">
        <f t="shared" si="277"/>
        <v>0.99855365102721638</v>
      </c>
      <c r="GG83" s="5">
        <f t="shared" si="278"/>
        <v>0.99994250014895192</v>
      </c>
      <c r="GH83" s="4">
        <f t="shared" si="279"/>
        <v>0.99988069729474183</v>
      </c>
      <c r="GI83" s="4">
        <f t="shared" si="362"/>
        <v>0.99920630222183082</v>
      </c>
      <c r="GJ83" s="4">
        <f t="shared" si="363"/>
        <v>0.21447583045936436</v>
      </c>
      <c r="GK83" s="1"/>
    </row>
    <row r="84" spans="1:193" x14ac:dyDescent="0.4">
      <c r="A84" s="32"/>
      <c r="B84" s="33"/>
      <c r="C84" s="33"/>
      <c r="D84" s="32"/>
      <c r="E84" s="32"/>
      <c r="F84" s="20" t="s">
        <v>84</v>
      </c>
      <c r="G84" s="19">
        <v>900</v>
      </c>
      <c r="H84" s="18">
        <v>1</v>
      </c>
      <c r="I84" s="17">
        <v>3</v>
      </c>
      <c r="J84" s="16">
        <v>52.63</v>
      </c>
      <c r="K84" s="16">
        <v>1.18</v>
      </c>
      <c r="L84" s="16">
        <v>17.13</v>
      </c>
      <c r="M84" s="16">
        <v>0</v>
      </c>
      <c r="N84" s="16">
        <f t="shared" si="153"/>
        <v>6.3739999999999997</v>
      </c>
      <c r="O84" s="16">
        <v>0</v>
      </c>
      <c r="P84" s="16">
        <v>2.71</v>
      </c>
      <c r="Q84" s="16">
        <v>5.74</v>
      </c>
      <c r="R84" s="16">
        <v>4.38</v>
      </c>
      <c r="S84" s="16">
        <v>1.74</v>
      </c>
      <c r="T84" s="16">
        <v>0</v>
      </c>
      <c r="U84" s="15">
        <v>6</v>
      </c>
      <c r="V84" s="16"/>
      <c r="W84" s="28">
        <f t="shared" si="364"/>
        <v>53.767725062318682</v>
      </c>
      <c r="X84" s="24">
        <f t="shared" si="155"/>
        <v>1.2055085611540193</v>
      </c>
      <c r="Y84" s="24">
        <f t="shared" si="155"/>
        <v>17.500306485227416</v>
      </c>
      <c r="Z84" s="24">
        <f t="shared" si="155"/>
        <v>0</v>
      </c>
      <c r="AA84" s="24">
        <f t="shared" si="155"/>
        <v>6.5117894650811179</v>
      </c>
      <c r="AB84" s="24">
        <f t="shared" si="155"/>
        <v>0</v>
      </c>
      <c r="AC84" s="24">
        <f t="shared" si="393"/>
        <v>2.7685832209554171</v>
      </c>
      <c r="AD84" s="24">
        <f t="shared" si="393"/>
        <v>5.8640840178170093</v>
      </c>
      <c r="AE84" s="24">
        <f t="shared" si="393"/>
        <v>4.4746843202157667</v>
      </c>
      <c r="AF84" s="24">
        <f t="shared" si="393"/>
        <v>1.777614318989825</v>
      </c>
      <c r="AG84" s="24">
        <f t="shared" si="393"/>
        <v>0</v>
      </c>
      <c r="AH84" s="24">
        <f t="shared" si="393"/>
        <v>6.1297045482407766</v>
      </c>
      <c r="AI84" s="14">
        <f t="shared" si="365"/>
        <v>100.00000000000004</v>
      </c>
      <c r="AJ84" s="26"/>
      <c r="AK84" s="50">
        <f t="shared" si="366"/>
        <v>0.89478657118187188</v>
      </c>
      <c r="AL84" s="47">
        <f t="shared" si="367"/>
        <v>1.5087716660250553E-2</v>
      </c>
      <c r="AM84" s="47">
        <f t="shared" si="368"/>
        <v>0.17163894159697349</v>
      </c>
      <c r="AN84" s="49">
        <f t="shared" si="369"/>
        <v>0</v>
      </c>
      <c r="AO84" s="49">
        <f t="shared" si="370"/>
        <v>9.0630333543230593E-2</v>
      </c>
      <c r="AP84" s="47">
        <f t="shared" si="371"/>
        <v>0</v>
      </c>
      <c r="AQ84" s="47">
        <f t="shared" si="372"/>
        <v>6.8665258456235542E-2</v>
      </c>
      <c r="AR84" s="47">
        <f t="shared" si="373"/>
        <v>0.10456640545322771</v>
      </c>
      <c r="AS84" s="47">
        <f t="shared" si="374"/>
        <v>7.2195616654013667E-2</v>
      </c>
      <c r="AT84" s="47">
        <f t="shared" si="375"/>
        <v>1.8870640328979033E-2</v>
      </c>
      <c r="AU84" s="47">
        <f t="shared" si="376"/>
        <v>0</v>
      </c>
      <c r="AV84" s="47">
        <f t="shared" si="377"/>
        <v>0.34016118469704643</v>
      </c>
      <c r="AW84" s="47">
        <f t="shared" si="378"/>
        <v>1.4364414838747823</v>
      </c>
      <c r="AX84" s="47">
        <f t="shared" si="379"/>
        <v>4.8829069752966969E-2</v>
      </c>
      <c r="AY84" s="46">
        <f t="shared" si="380"/>
        <v>2.0907271381579703E-2</v>
      </c>
      <c r="AZ84" s="26"/>
      <c r="BA84" s="23">
        <f t="shared" si="295"/>
        <v>0.62291891540767586</v>
      </c>
      <c r="BB84" s="13">
        <f t="shared" si="296"/>
        <v>1.0503537268745283E-2</v>
      </c>
      <c r="BC84" s="13">
        <f t="shared" si="297"/>
        <v>0.11948898964821014</v>
      </c>
      <c r="BD84" s="13">
        <f t="shared" si="298"/>
        <v>0</v>
      </c>
      <c r="BE84" s="13">
        <f t="shared" si="299"/>
        <v>6.309364813020886E-2</v>
      </c>
      <c r="BF84" s="13">
        <f t="shared" si="300"/>
        <v>3.3993079635413467E-2</v>
      </c>
      <c r="BG84" s="13">
        <f t="shared" si="301"/>
        <v>1.4554906424160494E-2</v>
      </c>
      <c r="BH84" s="13">
        <f t="shared" si="302"/>
        <v>0</v>
      </c>
      <c r="BI84" s="13">
        <f t="shared" si="303"/>
        <v>4.7802335999801326E-2</v>
      </c>
      <c r="BJ84" s="13">
        <f t="shared" si="304"/>
        <v>7.2795450860386732E-2</v>
      </c>
      <c r="BK84" s="13">
        <f t="shared" si="305"/>
        <v>5.0260047112581939E-2</v>
      </c>
      <c r="BL84" s="13">
        <f t="shared" si="306"/>
        <v>1.3137075572389989E-2</v>
      </c>
      <c r="BM84" s="13">
        <f t="shared" si="307"/>
        <v>0</v>
      </c>
      <c r="BN84" s="13">
        <f t="shared" si="308"/>
        <v>0.23680824350704913</v>
      </c>
      <c r="BO84" s="12">
        <f t="shared" si="309"/>
        <v>1.0000000000000002</v>
      </c>
      <c r="BP84" s="13"/>
      <c r="BQ84" s="23">
        <f t="shared" si="310"/>
        <v>1.7895731423637438</v>
      </c>
      <c r="BR84" s="13">
        <f t="shared" si="311"/>
        <v>3.0175433320501106E-2</v>
      </c>
      <c r="BS84" s="13">
        <f t="shared" si="312"/>
        <v>0.51471489662433578</v>
      </c>
      <c r="BT84" s="13">
        <f t="shared" si="313"/>
        <v>0</v>
      </c>
      <c r="BU84" s="13">
        <f t="shared" si="314"/>
        <v>9.0630333543230593E-2</v>
      </c>
      <c r="BV84" s="13">
        <f t="shared" si="315"/>
        <v>4.8829069752966969E-2</v>
      </c>
      <c r="BW84" s="24">
        <f t="shared" si="316"/>
        <v>6.272181414473911E-2</v>
      </c>
      <c r="BX84" s="13">
        <f t="shared" si="317"/>
        <v>0</v>
      </c>
      <c r="BY84" s="13">
        <f t="shared" si="318"/>
        <v>6.8699335507578591E-2</v>
      </c>
      <c r="BZ84" s="13">
        <f t="shared" si="319"/>
        <v>0.10452912687730855</v>
      </c>
      <c r="CA84" s="13">
        <f t="shared" si="320"/>
        <v>7.2172327745415585E-2</v>
      </c>
      <c r="CB84" s="13">
        <f t="shared" si="321"/>
        <v>1.8870640328979033E-2</v>
      </c>
      <c r="CC84" s="13">
        <f t="shared" si="322"/>
        <v>0</v>
      </c>
      <c r="CD84" s="13">
        <f t="shared" si="323"/>
        <v>0.34016118469704643</v>
      </c>
      <c r="CE84" s="12">
        <f t="shared" si="324"/>
        <v>3.0295264210081392</v>
      </c>
      <c r="CF84" s="13"/>
      <c r="CG84" s="23">
        <f t="shared" si="280"/>
        <v>0.59071052490383147</v>
      </c>
      <c r="CH84" s="13">
        <f t="shared" si="280"/>
        <v>9.9604456694124457E-3</v>
      </c>
      <c r="CI84" s="13">
        <f t="shared" si="280"/>
        <v>0.16989945790043762</v>
      </c>
      <c r="CJ84" s="13">
        <f t="shared" si="280"/>
        <v>0</v>
      </c>
      <c r="CK84" s="13">
        <f t="shared" si="280"/>
        <v>2.991567689086911E-2</v>
      </c>
      <c r="CL84" s="13">
        <f t="shared" si="280"/>
        <v>1.6117723685907998E-2</v>
      </c>
      <c r="CM84" s="13">
        <f t="shared" si="280"/>
        <v>2.070350458401584E-2</v>
      </c>
      <c r="CN84" s="13">
        <f t="shared" si="280"/>
        <v>0</v>
      </c>
      <c r="CO84" s="13">
        <f t="shared" si="280"/>
        <v>2.2676592298778313E-2</v>
      </c>
      <c r="CP84" s="13">
        <f t="shared" si="280"/>
        <v>3.4503454451644711E-2</v>
      </c>
      <c r="CQ84" s="13">
        <f t="shared" si="280"/>
        <v>2.3822973533070793E-2</v>
      </c>
      <c r="CR84" s="13">
        <f t="shared" si="280"/>
        <v>6.2289076596663004E-3</v>
      </c>
      <c r="CS84" s="13">
        <f t="shared" si="280"/>
        <v>0</v>
      </c>
      <c r="CT84" s="13">
        <f t="shared" si="280"/>
        <v>0.11228196669228935</v>
      </c>
      <c r="CU84" s="12">
        <f t="shared" si="325"/>
        <v>1.0000000000000002</v>
      </c>
      <c r="CV84" s="26"/>
      <c r="CW84" s="23">
        <f t="shared" si="326"/>
        <v>0.89478657118187188</v>
      </c>
      <c r="CX84" s="13">
        <f t="shared" si="327"/>
        <v>1.5087716660250553E-2</v>
      </c>
      <c r="CY84" s="13">
        <f t="shared" si="328"/>
        <v>0.34314326441622384</v>
      </c>
      <c r="CZ84" s="13">
        <f t="shared" si="329"/>
        <v>0</v>
      </c>
      <c r="DA84" s="13">
        <f t="shared" si="330"/>
        <v>7.9944289693593323E-2</v>
      </c>
      <c r="DB84" s="13">
        <f t="shared" si="331"/>
        <v>4.8829069752966969E-2</v>
      </c>
      <c r="DC84" s="24">
        <f t="shared" si="332"/>
        <v>4.1814542763159407E-2</v>
      </c>
      <c r="DD84" s="13">
        <f t="shared" si="333"/>
        <v>0</v>
      </c>
      <c r="DE84" s="13">
        <f t="shared" si="334"/>
        <v>6.8699335507578591E-2</v>
      </c>
      <c r="DF84" s="13">
        <f t="shared" si="335"/>
        <v>0.10452912687730855</v>
      </c>
      <c r="DG84" s="13">
        <f t="shared" si="336"/>
        <v>0.14434465549083117</v>
      </c>
      <c r="DH84" s="13">
        <f t="shared" si="337"/>
        <v>3.7741280657958065E-2</v>
      </c>
      <c r="DI84" s="13">
        <f t="shared" si="338"/>
        <v>0</v>
      </c>
      <c r="DJ84" s="13">
        <f t="shared" si="381"/>
        <v>0.68032236939409285</v>
      </c>
      <c r="DK84" s="12">
        <f t="shared" si="382"/>
        <v>2.3685986098797089</v>
      </c>
      <c r="DL84" s="26"/>
      <c r="DM84" s="23">
        <f t="shared" si="152"/>
        <v>0.3777704535709891</v>
      </c>
      <c r="DN84" s="13">
        <f t="shared" si="152"/>
        <v>6.3698917145851037E-3</v>
      </c>
      <c r="DO84" s="13">
        <f t="shared" si="152"/>
        <v>0.14487185080027157</v>
      </c>
      <c r="DP84" s="13">
        <f t="shared" si="152"/>
        <v>0</v>
      </c>
      <c r="DQ84" s="13">
        <f t="shared" si="152"/>
        <v>3.3751725328274744E-2</v>
      </c>
      <c r="DR84" s="13">
        <f t="shared" si="294"/>
        <v>2.061517284916704E-2</v>
      </c>
      <c r="DS84" s="13">
        <f t="shared" si="294"/>
        <v>1.7653705692786414E-2</v>
      </c>
      <c r="DT84" s="13">
        <f t="shared" si="294"/>
        <v>0</v>
      </c>
      <c r="DU84" s="13">
        <f t="shared" si="294"/>
        <v>2.9004211697594273E-2</v>
      </c>
      <c r="DV84" s="13">
        <f t="shared" si="294"/>
        <v>4.4131211781221612E-2</v>
      </c>
      <c r="DW84" s="13">
        <f t="shared" si="294"/>
        <v>6.0940952548377045E-2</v>
      </c>
      <c r="DX84" s="13">
        <f t="shared" si="294"/>
        <v>1.5934012838027794E-2</v>
      </c>
      <c r="DY84" s="13">
        <f t="shared" si="294"/>
        <v>0</v>
      </c>
      <c r="DZ84" s="13">
        <f t="shared" si="294"/>
        <v>0.28722568972065871</v>
      </c>
      <c r="EA84" s="12">
        <f t="shared" si="339"/>
        <v>1</v>
      </c>
      <c r="EB84" s="26"/>
      <c r="EC84" s="30">
        <f t="shared" si="340"/>
        <v>1173</v>
      </c>
      <c r="ED84" s="14">
        <f t="shared" si="341"/>
        <v>1000000000</v>
      </c>
      <c r="EE84" s="29"/>
      <c r="EF84" s="184">
        <f t="shared" si="391"/>
        <v>-8.7222975277067345</v>
      </c>
      <c r="EG84" s="13">
        <f t="shared" si="383"/>
        <v>3</v>
      </c>
      <c r="EH84" s="13">
        <f t="shared" si="384"/>
        <v>2.7787425404944592</v>
      </c>
      <c r="EI84" s="12">
        <f t="shared" si="342"/>
        <v>7.5416018755328214</v>
      </c>
      <c r="EJ84" s="29"/>
      <c r="EK84" s="28">
        <f t="shared" si="385"/>
        <v>-0.84854643443385902</v>
      </c>
      <c r="EL84" s="24">
        <f t="shared" si="343"/>
        <v>-0.36845264195999089</v>
      </c>
      <c r="EM84" s="24">
        <f t="shared" si="386"/>
        <v>0.42803665932754831</v>
      </c>
      <c r="EN84" s="24">
        <f t="shared" si="344"/>
        <v>3.3993079635413467E-2</v>
      </c>
      <c r="EO84" s="24">
        <f t="shared" si="345"/>
        <v>1.4550284247397694E-2</v>
      </c>
      <c r="EP84" s="24">
        <f t="shared" si="346"/>
        <v>0.46122817997050025</v>
      </c>
      <c r="EQ84" s="24">
        <f t="shared" si="347"/>
        <v>-0.84822881570709541</v>
      </c>
      <c r="ER84" s="24">
        <f t="shared" si="348"/>
        <v>-20.0814560516359</v>
      </c>
      <c r="ES84" s="25">
        <f t="shared" si="349"/>
        <v>-8.7196943341884072</v>
      </c>
      <c r="ET84" s="26"/>
      <c r="EU84" s="23">
        <f t="shared" si="392"/>
        <v>6.341880585906523E-2</v>
      </c>
      <c r="EV84" s="12">
        <f t="shared" si="350"/>
        <v>0.53644206487573509</v>
      </c>
      <c r="EW84" s="26"/>
      <c r="EX84" s="27">
        <f t="shared" si="351"/>
        <v>0.99987412330575753</v>
      </c>
      <c r="EY84" s="26"/>
      <c r="EZ84" s="23">
        <f t="shared" si="281"/>
        <v>-8.3698223188274223</v>
      </c>
      <c r="FA84" s="13">
        <f t="shared" si="352"/>
        <v>15.477216102453831</v>
      </c>
      <c r="FB84" s="13">
        <f t="shared" si="282"/>
        <v>-27.172509068173227</v>
      </c>
      <c r="FC84" s="13">
        <f t="shared" si="283"/>
        <v>10.851882961541783</v>
      </c>
      <c r="FD84" s="12">
        <f t="shared" si="353"/>
        <v>0.99998063227097833</v>
      </c>
      <c r="FE84" s="13"/>
      <c r="FF84" s="23">
        <f t="shared" si="284"/>
        <v>-7.2975242608377595</v>
      </c>
      <c r="FG84" s="13">
        <f t="shared" si="285"/>
        <v>13.814764289861159</v>
      </c>
      <c r="FH84" s="13">
        <f t="shared" si="286"/>
        <v>15.215974285169665</v>
      </c>
      <c r="FI84" s="24">
        <f t="shared" si="287"/>
        <v>0.99978511150225535</v>
      </c>
      <c r="FJ84" s="25">
        <f t="shared" si="288"/>
        <v>0.99999146717569021</v>
      </c>
      <c r="FK84" s="13"/>
      <c r="FL84" s="23">
        <f t="shared" si="354"/>
        <v>12.885330668774174</v>
      </c>
      <c r="FM84" s="13">
        <f t="shared" si="355"/>
        <v>-7.2806455703426947</v>
      </c>
      <c r="FN84" s="13">
        <f t="shared" si="289"/>
        <v>2.7213811837034001</v>
      </c>
      <c r="FO84" s="13">
        <f t="shared" si="356"/>
        <v>0.99810419049979271</v>
      </c>
      <c r="FP84" s="23">
        <f t="shared" si="290"/>
        <v>1.7904348921432991</v>
      </c>
      <c r="FQ84" s="13">
        <f t="shared" si="291"/>
        <v>0.98405644667482262</v>
      </c>
      <c r="FR84" s="13">
        <f t="shared" si="292"/>
        <v>2.1553112774800418</v>
      </c>
      <c r="FS84" s="13">
        <f t="shared" si="387"/>
        <v>0.99305516237744829</v>
      </c>
      <c r="FT84" s="13">
        <f t="shared" si="293"/>
        <v>1.696658251052078</v>
      </c>
      <c r="FU84" s="12">
        <f t="shared" si="388"/>
        <v>0.98028956857849425</v>
      </c>
      <c r="FV84" s="22"/>
      <c r="FW84" s="11">
        <f t="shared" si="357"/>
        <v>3</v>
      </c>
      <c r="FX84" s="10">
        <f t="shared" si="358"/>
        <v>2.7787425404944592</v>
      </c>
      <c r="FY84" s="10">
        <f t="shared" si="359"/>
        <v>7.5416018755328214</v>
      </c>
      <c r="FZ84" s="5">
        <f t="shared" si="360"/>
        <v>-8.7222975277067345</v>
      </c>
      <c r="GA84" s="10">
        <f t="shared" si="361"/>
        <v>0.46122817997050025</v>
      </c>
      <c r="GB84" s="9">
        <f t="shared" si="275"/>
        <v>12.885330668774174</v>
      </c>
      <c r="GC84" s="8">
        <f t="shared" si="276"/>
        <v>-7.2806455703426947</v>
      </c>
      <c r="GD84" s="8">
        <f t="shared" si="389"/>
        <v>0.99810419049979271</v>
      </c>
      <c r="GE84" s="7">
        <f t="shared" si="390"/>
        <v>0.98405644667482262</v>
      </c>
      <c r="GF84" s="6">
        <f t="shared" si="277"/>
        <v>0.99978511150225535</v>
      </c>
      <c r="GG84" s="5">
        <f t="shared" si="278"/>
        <v>0.99999146717569021</v>
      </c>
      <c r="GH84" s="4">
        <f t="shared" si="279"/>
        <v>0.99998063227097833</v>
      </c>
      <c r="GI84" s="4">
        <f t="shared" si="362"/>
        <v>0.99987412330575753</v>
      </c>
      <c r="GJ84" s="4">
        <f t="shared" si="363"/>
        <v>0.53644206487573509</v>
      </c>
      <c r="GK84" s="1"/>
    </row>
    <row r="85" spans="1:193" x14ac:dyDescent="0.4">
      <c r="A85" s="32"/>
      <c r="B85" s="33"/>
      <c r="C85" s="33"/>
      <c r="D85" s="32"/>
      <c r="E85" s="32"/>
      <c r="F85" s="20" t="s">
        <v>84</v>
      </c>
      <c r="G85" s="19">
        <v>900</v>
      </c>
      <c r="H85" s="18">
        <v>1</v>
      </c>
      <c r="I85" s="17">
        <v>3.4</v>
      </c>
      <c r="J85" s="16">
        <v>52.63</v>
      </c>
      <c r="K85" s="16">
        <v>1.18</v>
      </c>
      <c r="L85" s="16">
        <v>17.13</v>
      </c>
      <c r="M85" s="16">
        <v>0</v>
      </c>
      <c r="N85" s="16">
        <f t="shared" si="153"/>
        <v>6.3739999999999997</v>
      </c>
      <c r="O85" s="16">
        <v>0</v>
      </c>
      <c r="P85" s="16">
        <v>2.71</v>
      </c>
      <c r="Q85" s="16">
        <v>5.74</v>
      </c>
      <c r="R85" s="16">
        <v>4.38</v>
      </c>
      <c r="S85" s="16">
        <v>1.74</v>
      </c>
      <c r="T85" s="16">
        <v>0</v>
      </c>
      <c r="U85" s="15">
        <v>6</v>
      </c>
      <c r="V85" s="16"/>
      <c r="W85" s="28">
        <f t="shared" si="364"/>
        <v>53.767725062318682</v>
      </c>
      <c r="X85" s="24">
        <f t="shared" si="155"/>
        <v>1.2055085611540193</v>
      </c>
      <c r="Y85" s="24">
        <f t="shared" si="155"/>
        <v>17.500306485227416</v>
      </c>
      <c r="Z85" s="24">
        <f t="shared" si="155"/>
        <v>0</v>
      </c>
      <c r="AA85" s="24">
        <f t="shared" si="155"/>
        <v>6.5117894650811179</v>
      </c>
      <c r="AB85" s="24">
        <f t="shared" si="155"/>
        <v>0</v>
      </c>
      <c r="AC85" s="24">
        <f t="shared" si="393"/>
        <v>2.7685832209554171</v>
      </c>
      <c r="AD85" s="24">
        <f t="shared" si="393"/>
        <v>5.8640840178170093</v>
      </c>
      <c r="AE85" s="24">
        <f t="shared" si="393"/>
        <v>4.4746843202157667</v>
      </c>
      <c r="AF85" s="24">
        <f t="shared" si="393"/>
        <v>1.777614318989825</v>
      </c>
      <c r="AG85" s="24">
        <f t="shared" si="393"/>
        <v>0</v>
      </c>
      <c r="AH85" s="24">
        <f t="shared" si="393"/>
        <v>6.1297045482407766</v>
      </c>
      <c r="AI85" s="14">
        <f t="shared" si="365"/>
        <v>100.00000000000004</v>
      </c>
      <c r="AJ85" s="26"/>
      <c r="AK85" s="50">
        <f t="shared" si="366"/>
        <v>0.89478657118187188</v>
      </c>
      <c r="AL85" s="47">
        <f t="shared" si="367"/>
        <v>1.5087716660250553E-2</v>
      </c>
      <c r="AM85" s="47">
        <f t="shared" si="368"/>
        <v>0.17163894159697349</v>
      </c>
      <c r="AN85" s="49">
        <f t="shared" si="369"/>
        <v>0</v>
      </c>
      <c r="AO85" s="49">
        <f t="shared" si="370"/>
        <v>9.0630333543230593E-2</v>
      </c>
      <c r="AP85" s="47">
        <f t="shared" si="371"/>
        <v>0</v>
      </c>
      <c r="AQ85" s="47">
        <f t="shared" si="372"/>
        <v>6.8665258456235542E-2</v>
      </c>
      <c r="AR85" s="47">
        <f t="shared" si="373"/>
        <v>0.10456640545322771</v>
      </c>
      <c r="AS85" s="47">
        <f t="shared" si="374"/>
        <v>7.2195616654013667E-2</v>
      </c>
      <c r="AT85" s="47">
        <f t="shared" si="375"/>
        <v>1.8870640328979033E-2</v>
      </c>
      <c r="AU85" s="47">
        <f t="shared" si="376"/>
        <v>0</v>
      </c>
      <c r="AV85" s="47">
        <f t="shared" si="377"/>
        <v>0.34016118469704643</v>
      </c>
      <c r="AW85" s="47">
        <f t="shared" si="378"/>
        <v>1.4364414838747823</v>
      </c>
      <c r="AX85" s="47">
        <f t="shared" si="379"/>
        <v>4.474596078581794E-2</v>
      </c>
      <c r="AY85" s="46">
        <f t="shared" si="380"/>
        <v>2.2949474404078508E-2</v>
      </c>
      <c r="AZ85" s="26"/>
      <c r="BA85" s="23">
        <f t="shared" si="295"/>
        <v>0.62291891540767586</v>
      </c>
      <c r="BB85" s="13">
        <f t="shared" si="296"/>
        <v>1.0503537268745283E-2</v>
      </c>
      <c r="BC85" s="13">
        <f t="shared" si="297"/>
        <v>0.11948898964821014</v>
      </c>
      <c r="BD85" s="13">
        <f t="shared" si="298"/>
        <v>0</v>
      </c>
      <c r="BE85" s="13">
        <f t="shared" si="299"/>
        <v>6.309364813020886E-2</v>
      </c>
      <c r="BF85" s="13">
        <f t="shared" si="300"/>
        <v>3.1150562893182597E-2</v>
      </c>
      <c r="BG85" s="13">
        <f t="shared" si="301"/>
        <v>1.5976616285247203E-2</v>
      </c>
      <c r="BH85" s="13">
        <f t="shared" si="302"/>
        <v>0</v>
      </c>
      <c r="BI85" s="13">
        <f t="shared" si="303"/>
        <v>4.7802335999801326E-2</v>
      </c>
      <c r="BJ85" s="13">
        <f t="shared" si="304"/>
        <v>7.2795450860386732E-2</v>
      </c>
      <c r="BK85" s="13">
        <f t="shared" si="305"/>
        <v>5.0260047112581939E-2</v>
      </c>
      <c r="BL85" s="13">
        <f t="shared" si="306"/>
        <v>1.3137075572389989E-2</v>
      </c>
      <c r="BM85" s="13">
        <f t="shared" si="307"/>
        <v>0</v>
      </c>
      <c r="BN85" s="13">
        <f t="shared" si="308"/>
        <v>0.23680824350704913</v>
      </c>
      <c r="BO85" s="12">
        <f t="shared" si="309"/>
        <v>1.0000000000000002</v>
      </c>
      <c r="BP85" s="13"/>
      <c r="BQ85" s="23">
        <f t="shared" si="310"/>
        <v>1.7895731423637438</v>
      </c>
      <c r="BR85" s="13">
        <f t="shared" si="311"/>
        <v>3.0175433320501106E-2</v>
      </c>
      <c r="BS85" s="13">
        <f t="shared" si="312"/>
        <v>0.51471489662433578</v>
      </c>
      <c r="BT85" s="13">
        <f t="shared" si="313"/>
        <v>0</v>
      </c>
      <c r="BU85" s="13">
        <f t="shared" si="314"/>
        <v>9.0630333543230593E-2</v>
      </c>
      <c r="BV85" s="13">
        <f t="shared" si="315"/>
        <v>4.474596078581794E-2</v>
      </c>
      <c r="BW85" s="24">
        <f t="shared" si="316"/>
        <v>6.8848423212235527E-2</v>
      </c>
      <c r="BX85" s="13">
        <f t="shared" si="317"/>
        <v>0</v>
      </c>
      <c r="BY85" s="13">
        <f t="shared" si="318"/>
        <v>6.8699335507578591E-2</v>
      </c>
      <c r="BZ85" s="13">
        <f t="shared" si="319"/>
        <v>0.10452912687730855</v>
      </c>
      <c r="CA85" s="13">
        <f t="shared" si="320"/>
        <v>7.2172327745415585E-2</v>
      </c>
      <c r="CB85" s="13">
        <f t="shared" si="321"/>
        <v>1.8870640328979033E-2</v>
      </c>
      <c r="CC85" s="13">
        <f t="shared" si="322"/>
        <v>0</v>
      </c>
      <c r="CD85" s="13">
        <f t="shared" si="323"/>
        <v>0.34016118469704643</v>
      </c>
      <c r="CE85" s="12">
        <f t="shared" si="324"/>
        <v>3.0295264210081392</v>
      </c>
      <c r="CF85" s="13"/>
      <c r="CG85" s="23">
        <f t="shared" si="280"/>
        <v>0.59071052490383147</v>
      </c>
      <c r="CH85" s="13">
        <f t="shared" si="280"/>
        <v>9.9604456694124457E-3</v>
      </c>
      <c r="CI85" s="13">
        <f t="shared" si="280"/>
        <v>0.16989945790043762</v>
      </c>
      <c r="CJ85" s="13">
        <f t="shared" si="280"/>
        <v>0</v>
      </c>
      <c r="CK85" s="13">
        <f t="shared" si="280"/>
        <v>2.991567689086911E-2</v>
      </c>
      <c r="CL85" s="13">
        <f t="shared" si="280"/>
        <v>1.4769952318464273E-2</v>
      </c>
      <c r="CM85" s="13">
        <f t="shared" si="280"/>
        <v>2.2725803853304818E-2</v>
      </c>
      <c r="CN85" s="13">
        <f t="shared" si="280"/>
        <v>0</v>
      </c>
      <c r="CO85" s="13">
        <f t="shared" si="280"/>
        <v>2.2676592298778313E-2</v>
      </c>
      <c r="CP85" s="13">
        <f t="shared" si="280"/>
        <v>3.4503454451644711E-2</v>
      </c>
      <c r="CQ85" s="13">
        <f t="shared" si="280"/>
        <v>2.3822973533070793E-2</v>
      </c>
      <c r="CR85" s="13">
        <f t="shared" si="280"/>
        <v>6.2289076596663004E-3</v>
      </c>
      <c r="CS85" s="13">
        <f t="shared" si="280"/>
        <v>0</v>
      </c>
      <c r="CT85" s="13">
        <f t="shared" si="280"/>
        <v>0.11228196669228935</v>
      </c>
      <c r="CU85" s="12">
        <f t="shared" si="325"/>
        <v>1.0000000000000002</v>
      </c>
      <c r="CV85" s="26"/>
      <c r="CW85" s="23">
        <f t="shared" si="326"/>
        <v>0.89478657118187188</v>
      </c>
      <c r="CX85" s="13">
        <f t="shared" si="327"/>
        <v>1.5087716660250553E-2</v>
      </c>
      <c r="CY85" s="13">
        <f t="shared" si="328"/>
        <v>0.34314326441622384</v>
      </c>
      <c r="CZ85" s="13">
        <f t="shared" si="329"/>
        <v>0</v>
      </c>
      <c r="DA85" s="13">
        <f t="shared" si="330"/>
        <v>7.9944289693593323E-2</v>
      </c>
      <c r="DB85" s="13">
        <f t="shared" si="331"/>
        <v>4.474596078581794E-2</v>
      </c>
      <c r="DC85" s="24">
        <f t="shared" si="332"/>
        <v>4.5898948808157015E-2</v>
      </c>
      <c r="DD85" s="13">
        <f t="shared" si="333"/>
        <v>0</v>
      </c>
      <c r="DE85" s="13">
        <f t="shared" si="334"/>
        <v>6.8699335507578591E-2</v>
      </c>
      <c r="DF85" s="13">
        <f t="shared" si="335"/>
        <v>0.10452912687730855</v>
      </c>
      <c r="DG85" s="13">
        <f t="shared" si="336"/>
        <v>0.14434465549083117</v>
      </c>
      <c r="DH85" s="13">
        <f t="shared" si="337"/>
        <v>3.7741280657958065E-2</v>
      </c>
      <c r="DI85" s="13">
        <f t="shared" si="338"/>
        <v>0</v>
      </c>
      <c r="DJ85" s="13">
        <f t="shared" si="381"/>
        <v>0.68032236939409285</v>
      </c>
      <c r="DK85" s="12">
        <f t="shared" si="382"/>
        <v>2.3685986098797089</v>
      </c>
      <c r="DL85" s="26"/>
      <c r="DM85" s="23">
        <f t="shared" si="152"/>
        <v>0.3777704535709891</v>
      </c>
      <c r="DN85" s="13">
        <f t="shared" si="152"/>
        <v>6.3698917145851037E-3</v>
      </c>
      <c r="DO85" s="13">
        <f t="shared" si="152"/>
        <v>0.14487185080027157</v>
      </c>
      <c r="DP85" s="13">
        <f t="shared" si="152"/>
        <v>0</v>
      </c>
      <c r="DQ85" s="13">
        <f t="shared" si="152"/>
        <v>3.3751725328274744E-2</v>
      </c>
      <c r="DR85" s="13">
        <f t="shared" si="294"/>
        <v>1.8891322742138398E-2</v>
      </c>
      <c r="DS85" s="13">
        <f t="shared" si="294"/>
        <v>1.9378103413852814E-2</v>
      </c>
      <c r="DT85" s="13">
        <f t="shared" si="294"/>
        <v>0</v>
      </c>
      <c r="DU85" s="13">
        <f t="shared" si="294"/>
        <v>2.9004211697594273E-2</v>
      </c>
      <c r="DV85" s="13">
        <f t="shared" si="294"/>
        <v>4.4131211781221612E-2</v>
      </c>
      <c r="DW85" s="13">
        <f t="shared" si="294"/>
        <v>6.0940952548377045E-2</v>
      </c>
      <c r="DX85" s="13">
        <f t="shared" si="294"/>
        <v>1.5934012838027794E-2</v>
      </c>
      <c r="DY85" s="13">
        <f t="shared" si="294"/>
        <v>0</v>
      </c>
      <c r="DZ85" s="13">
        <f t="shared" si="294"/>
        <v>0.28722568972065871</v>
      </c>
      <c r="EA85" s="12">
        <f t="shared" si="339"/>
        <v>1</v>
      </c>
      <c r="EB85" s="26"/>
      <c r="EC85" s="30">
        <f t="shared" si="340"/>
        <v>1173</v>
      </c>
      <c r="ED85" s="14">
        <f t="shared" si="341"/>
        <v>1000000000</v>
      </c>
      <c r="EE85" s="29"/>
      <c r="EF85" s="184">
        <f t="shared" si="391"/>
        <v>-8.3222975277067341</v>
      </c>
      <c r="EG85" s="13">
        <f t="shared" si="383"/>
        <v>3.4</v>
      </c>
      <c r="EH85" s="13">
        <f t="shared" si="384"/>
        <v>3.1787425404944596</v>
      </c>
      <c r="EI85" s="12">
        <f t="shared" si="342"/>
        <v>7.9416018755328217</v>
      </c>
      <c r="EJ85" s="29"/>
      <c r="EK85" s="28">
        <f t="shared" si="385"/>
        <v>-0.66802376314312506</v>
      </c>
      <c r="EL85" s="24">
        <f t="shared" si="343"/>
        <v>-0.2900667664538103</v>
      </c>
      <c r="EM85" s="24">
        <f t="shared" si="386"/>
        <v>0.51272083503853971</v>
      </c>
      <c r="EN85" s="24">
        <f t="shared" si="344"/>
        <v>3.1150562893182597E-2</v>
      </c>
      <c r="EO85" s="24">
        <f t="shared" si="345"/>
        <v>1.5971542618513131E-2</v>
      </c>
      <c r="EP85" s="24">
        <f t="shared" si="346"/>
        <v>0.50628052400939083</v>
      </c>
      <c r="EQ85" s="24">
        <f t="shared" si="347"/>
        <v>-0.66770614441636145</v>
      </c>
      <c r="ER85" s="24">
        <f t="shared" si="348"/>
        <v>-19.160422014438279</v>
      </c>
      <c r="ES85" s="25">
        <f t="shared" si="349"/>
        <v>-8.3197663979323835</v>
      </c>
      <c r="ET85" s="26"/>
      <c r="EU85" s="23">
        <f t="shared" si="392"/>
        <v>0.69061880585906721</v>
      </c>
      <c r="EV85" s="12">
        <f t="shared" si="350"/>
        <v>0.83064544500188309</v>
      </c>
      <c r="EW85" s="26"/>
      <c r="EX85" s="27">
        <f t="shared" si="351"/>
        <v>0.99998004777494953</v>
      </c>
      <c r="EY85" s="26"/>
      <c r="EZ85" s="23">
        <f t="shared" si="281"/>
        <v>-8.3698223188274223</v>
      </c>
      <c r="FA85" s="13">
        <f t="shared" si="352"/>
        <v>15.452967571536547</v>
      </c>
      <c r="FB85" s="13">
        <f t="shared" si="282"/>
        <v>-27.172509068173227</v>
      </c>
      <c r="FC85" s="13">
        <f t="shared" si="283"/>
        <v>12.669702505019742</v>
      </c>
      <c r="FD85" s="12">
        <f t="shared" si="353"/>
        <v>0.99999685502824887</v>
      </c>
      <c r="FE85" s="13"/>
      <c r="FF85" s="23">
        <f t="shared" si="284"/>
        <v>-7.3265214526537665</v>
      </c>
      <c r="FG85" s="13">
        <f t="shared" si="285"/>
        <v>13.814764289861159</v>
      </c>
      <c r="FH85" s="13">
        <f t="shared" si="286"/>
        <v>15.215974285169665</v>
      </c>
      <c r="FI85" s="24">
        <f t="shared" si="287"/>
        <v>0.99996813635356074</v>
      </c>
      <c r="FJ85" s="25">
        <f t="shared" si="288"/>
        <v>0.99999873497599068</v>
      </c>
      <c r="FK85" s="13"/>
      <c r="FL85" s="23">
        <f t="shared" si="354"/>
        <v>12.885330668774174</v>
      </c>
      <c r="FM85" s="13">
        <f t="shared" si="355"/>
        <v>-7.2921270509331144</v>
      </c>
      <c r="FN85" s="13">
        <f t="shared" si="289"/>
        <v>3.5328626642938197</v>
      </c>
      <c r="FO85" s="13">
        <f t="shared" si="356"/>
        <v>0.99970690390852202</v>
      </c>
      <c r="FP85" s="23">
        <f t="shared" si="290"/>
        <v>2.6019163727337187</v>
      </c>
      <c r="FQ85" s="13">
        <f t="shared" si="291"/>
        <v>0.99750541166175166</v>
      </c>
      <c r="FR85" s="13">
        <f t="shared" si="292"/>
        <v>2.9667927580704614</v>
      </c>
      <c r="FS85" s="13">
        <f t="shared" si="387"/>
        <v>0.99892170227108035</v>
      </c>
      <c r="FT85" s="13">
        <f t="shared" si="293"/>
        <v>2.5081397316424976</v>
      </c>
      <c r="FU85" s="12">
        <f t="shared" si="388"/>
        <v>0.99690604141342842</v>
      </c>
      <c r="FV85" s="22"/>
      <c r="FW85" s="11">
        <f t="shared" si="357"/>
        <v>3.4</v>
      </c>
      <c r="FX85" s="10">
        <f t="shared" si="358"/>
        <v>3.1787425404944596</v>
      </c>
      <c r="FY85" s="10">
        <f t="shared" si="359"/>
        <v>7.9416018755328217</v>
      </c>
      <c r="FZ85" s="5">
        <f t="shared" si="360"/>
        <v>-8.3222975277067341</v>
      </c>
      <c r="GA85" s="10">
        <f t="shared" si="361"/>
        <v>0.50628052400939083</v>
      </c>
      <c r="GB85" s="9">
        <f t="shared" si="275"/>
        <v>12.885330668774174</v>
      </c>
      <c r="GC85" s="8">
        <f t="shared" si="276"/>
        <v>-7.2921270509331144</v>
      </c>
      <c r="GD85" s="8">
        <f t="shared" si="389"/>
        <v>0.99970690390852202</v>
      </c>
      <c r="GE85" s="7">
        <f t="shared" si="390"/>
        <v>0.99750541166175166</v>
      </c>
      <c r="GF85" s="6">
        <f t="shared" si="277"/>
        <v>0.99996813635356074</v>
      </c>
      <c r="GG85" s="5">
        <f t="shared" si="278"/>
        <v>0.99999873497599068</v>
      </c>
      <c r="GH85" s="4">
        <f t="shared" si="279"/>
        <v>0.99999685502824887</v>
      </c>
      <c r="GI85" s="4">
        <f t="shared" si="362"/>
        <v>0.99998004777494953</v>
      </c>
      <c r="GJ85" s="4">
        <f t="shared" si="363"/>
        <v>0.83064544500188309</v>
      </c>
      <c r="GK85" s="1"/>
    </row>
    <row r="86" spans="1:193" x14ac:dyDescent="0.4">
      <c r="A86" s="32"/>
      <c r="B86" s="33"/>
      <c r="C86" s="33"/>
      <c r="D86" s="32"/>
      <c r="E86" s="32"/>
      <c r="F86" s="20" t="s">
        <v>84</v>
      </c>
      <c r="G86" s="19">
        <v>900</v>
      </c>
      <c r="H86" s="18">
        <v>1</v>
      </c>
      <c r="I86" s="17">
        <v>3.8</v>
      </c>
      <c r="J86" s="16">
        <v>52.63</v>
      </c>
      <c r="K86" s="16">
        <v>1.18</v>
      </c>
      <c r="L86" s="16">
        <v>17.13</v>
      </c>
      <c r="M86" s="16">
        <v>0</v>
      </c>
      <c r="N86" s="16">
        <f t="shared" si="153"/>
        <v>6.3739999999999997</v>
      </c>
      <c r="O86" s="16">
        <v>0</v>
      </c>
      <c r="P86" s="16">
        <v>2.71</v>
      </c>
      <c r="Q86" s="16">
        <v>5.74</v>
      </c>
      <c r="R86" s="16">
        <v>4.38</v>
      </c>
      <c r="S86" s="16">
        <v>1.74</v>
      </c>
      <c r="T86" s="16">
        <v>0</v>
      </c>
      <c r="U86" s="15">
        <v>6</v>
      </c>
      <c r="V86" s="16"/>
      <c r="W86" s="28">
        <f t="shared" si="364"/>
        <v>53.767725062318682</v>
      </c>
      <c r="X86" s="24">
        <f t="shared" si="155"/>
        <v>1.2055085611540193</v>
      </c>
      <c r="Y86" s="24">
        <f t="shared" si="155"/>
        <v>17.500306485227416</v>
      </c>
      <c r="Z86" s="24">
        <f t="shared" si="155"/>
        <v>0</v>
      </c>
      <c r="AA86" s="24">
        <f t="shared" si="155"/>
        <v>6.5117894650811179</v>
      </c>
      <c r="AB86" s="24">
        <f t="shared" si="155"/>
        <v>0</v>
      </c>
      <c r="AC86" s="24">
        <f t="shared" si="393"/>
        <v>2.7685832209554171</v>
      </c>
      <c r="AD86" s="24">
        <f t="shared" si="393"/>
        <v>5.8640840178170093</v>
      </c>
      <c r="AE86" s="24">
        <f t="shared" si="393"/>
        <v>4.4746843202157667</v>
      </c>
      <c r="AF86" s="24">
        <f t="shared" si="393"/>
        <v>1.777614318989825</v>
      </c>
      <c r="AG86" s="24">
        <f t="shared" si="393"/>
        <v>0</v>
      </c>
      <c r="AH86" s="24">
        <f t="shared" si="393"/>
        <v>6.1297045482407766</v>
      </c>
      <c r="AI86" s="14">
        <f t="shared" si="365"/>
        <v>100.00000000000004</v>
      </c>
      <c r="AJ86" s="26"/>
      <c r="AK86" s="50">
        <f t="shared" si="366"/>
        <v>0.89478657118187188</v>
      </c>
      <c r="AL86" s="47">
        <f t="shared" si="367"/>
        <v>1.5087716660250553E-2</v>
      </c>
      <c r="AM86" s="47">
        <f t="shared" si="368"/>
        <v>0.17163894159697349</v>
      </c>
      <c r="AN86" s="49">
        <f t="shared" si="369"/>
        <v>0</v>
      </c>
      <c r="AO86" s="49">
        <f t="shared" si="370"/>
        <v>9.0630333543230593E-2</v>
      </c>
      <c r="AP86" s="47">
        <f t="shared" si="371"/>
        <v>0</v>
      </c>
      <c r="AQ86" s="47">
        <f t="shared" si="372"/>
        <v>6.8665258456235542E-2</v>
      </c>
      <c r="AR86" s="47">
        <f t="shared" si="373"/>
        <v>0.10456640545322771</v>
      </c>
      <c r="AS86" s="47">
        <f t="shared" si="374"/>
        <v>7.2195616654013667E-2</v>
      </c>
      <c r="AT86" s="47">
        <f t="shared" si="375"/>
        <v>1.8870640328979033E-2</v>
      </c>
      <c r="AU86" s="47">
        <f t="shared" si="376"/>
        <v>0</v>
      </c>
      <c r="AV86" s="47">
        <f t="shared" si="377"/>
        <v>0.34016118469704643</v>
      </c>
      <c r="AW86" s="47">
        <f t="shared" si="378"/>
        <v>1.4364414838747823</v>
      </c>
      <c r="AX86" s="47">
        <f t="shared" si="379"/>
        <v>4.0672074997657126E-2</v>
      </c>
      <c r="AY86" s="46">
        <f t="shared" si="380"/>
        <v>2.4987064372123391E-2</v>
      </c>
      <c r="AZ86" s="26"/>
      <c r="BA86" s="23">
        <f t="shared" si="295"/>
        <v>0.62291891540767586</v>
      </c>
      <c r="BB86" s="13">
        <f t="shared" si="296"/>
        <v>1.0503537268745283E-2</v>
      </c>
      <c r="BC86" s="13">
        <f t="shared" si="297"/>
        <v>0.11948898964821014</v>
      </c>
      <c r="BD86" s="13">
        <f t="shared" si="298"/>
        <v>0</v>
      </c>
      <c r="BE86" s="13">
        <f t="shared" si="299"/>
        <v>6.309364813020886E-2</v>
      </c>
      <c r="BF86" s="13">
        <f t="shared" si="300"/>
        <v>2.8314467003518116E-2</v>
      </c>
      <c r="BG86" s="13">
        <f t="shared" si="301"/>
        <v>1.7395114700197261E-2</v>
      </c>
      <c r="BH86" s="13">
        <f t="shared" si="302"/>
        <v>0</v>
      </c>
      <c r="BI86" s="13">
        <f t="shared" si="303"/>
        <v>4.7802335999801326E-2</v>
      </c>
      <c r="BJ86" s="13">
        <f t="shared" si="304"/>
        <v>7.2795450860386732E-2</v>
      </c>
      <c r="BK86" s="13">
        <f t="shared" si="305"/>
        <v>5.0260047112581939E-2</v>
      </c>
      <c r="BL86" s="13">
        <f t="shared" si="306"/>
        <v>1.3137075572389989E-2</v>
      </c>
      <c r="BM86" s="13">
        <f t="shared" si="307"/>
        <v>0</v>
      </c>
      <c r="BN86" s="13">
        <f t="shared" si="308"/>
        <v>0.23680824350704913</v>
      </c>
      <c r="BO86" s="12">
        <f t="shared" si="309"/>
        <v>1.0000000000000002</v>
      </c>
      <c r="BP86" s="13"/>
      <c r="BQ86" s="23">
        <f t="shared" si="310"/>
        <v>1.7895731423637438</v>
      </c>
      <c r="BR86" s="13">
        <f t="shared" si="311"/>
        <v>3.0175433320501106E-2</v>
      </c>
      <c r="BS86" s="13">
        <f t="shared" si="312"/>
        <v>0.51471489662433578</v>
      </c>
      <c r="BT86" s="13">
        <f t="shared" si="313"/>
        <v>0</v>
      </c>
      <c r="BU86" s="13">
        <f t="shared" si="314"/>
        <v>9.0630333543230593E-2</v>
      </c>
      <c r="BV86" s="13">
        <f t="shared" si="315"/>
        <v>4.0672074997657126E-2</v>
      </c>
      <c r="BW86" s="24">
        <f t="shared" si="316"/>
        <v>7.4961193116370173E-2</v>
      </c>
      <c r="BX86" s="13">
        <f t="shared" si="317"/>
        <v>0</v>
      </c>
      <c r="BY86" s="13">
        <f t="shared" si="318"/>
        <v>6.8699335507578591E-2</v>
      </c>
      <c r="BZ86" s="13">
        <f t="shared" si="319"/>
        <v>0.10452912687730855</v>
      </c>
      <c r="CA86" s="13">
        <f t="shared" si="320"/>
        <v>7.2172327745415585E-2</v>
      </c>
      <c r="CB86" s="13">
        <f t="shared" si="321"/>
        <v>1.8870640328979033E-2</v>
      </c>
      <c r="CC86" s="13">
        <f t="shared" si="322"/>
        <v>0</v>
      </c>
      <c r="CD86" s="13">
        <f t="shared" si="323"/>
        <v>0.34016118469704643</v>
      </c>
      <c r="CE86" s="12">
        <f t="shared" si="324"/>
        <v>3.0295264210081392</v>
      </c>
      <c r="CF86" s="13"/>
      <c r="CG86" s="23">
        <f t="shared" si="280"/>
        <v>0.59071052490383147</v>
      </c>
      <c r="CH86" s="13">
        <f t="shared" si="280"/>
        <v>9.9604456694124457E-3</v>
      </c>
      <c r="CI86" s="13">
        <f t="shared" si="280"/>
        <v>0.16989945790043762</v>
      </c>
      <c r="CJ86" s="13">
        <f t="shared" si="280"/>
        <v>0</v>
      </c>
      <c r="CK86" s="13">
        <f t="shared" si="280"/>
        <v>2.991567689086911E-2</v>
      </c>
      <c r="CL86" s="13">
        <f t="shared" si="280"/>
        <v>1.3425225380316251E-2</v>
      </c>
      <c r="CM86" s="13">
        <f t="shared" si="280"/>
        <v>2.4743535027968246E-2</v>
      </c>
      <c r="CN86" s="13">
        <f t="shared" si="280"/>
        <v>0</v>
      </c>
      <c r="CO86" s="13">
        <f t="shared" si="280"/>
        <v>2.2676592298778313E-2</v>
      </c>
      <c r="CP86" s="13">
        <f t="shared" si="280"/>
        <v>3.4503454451644711E-2</v>
      </c>
      <c r="CQ86" s="13">
        <f t="shared" si="280"/>
        <v>2.3822973533070793E-2</v>
      </c>
      <c r="CR86" s="13">
        <f t="shared" ref="CR86:CT95" si="394">IF(OR($CE86="",CB86=""),"",CB86/$CE86)</f>
        <v>6.2289076596663004E-3</v>
      </c>
      <c r="CS86" s="13">
        <f t="shared" si="394"/>
        <v>0</v>
      </c>
      <c r="CT86" s="13">
        <f t="shared" si="394"/>
        <v>0.11228196669228935</v>
      </c>
      <c r="CU86" s="12">
        <f t="shared" si="325"/>
        <v>1.0000000000000002</v>
      </c>
      <c r="CV86" s="26"/>
      <c r="CW86" s="23">
        <f t="shared" si="326"/>
        <v>0.89478657118187188</v>
      </c>
      <c r="CX86" s="13">
        <f t="shared" si="327"/>
        <v>1.5087716660250553E-2</v>
      </c>
      <c r="CY86" s="13">
        <f t="shared" si="328"/>
        <v>0.34314326441622384</v>
      </c>
      <c r="CZ86" s="13">
        <f t="shared" si="329"/>
        <v>0</v>
      </c>
      <c r="DA86" s="13">
        <f t="shared" si="330"/>
        <v>7.9944289693593323E-2</v>
      </c>
      <c r="DB86" s="13">
        <f t="shared" si="331"/>
        <v>4.0672074997657126E-2</v>
      </c>
      <c r="DC86" s="24">
        <f t="shared" si="332"/>
        <v>4.9974128744246782E-2</v>
      </c>
      <c r="DD86" s="13">
        <f t="shared" si="333"/>
        <v>0</v>
      </c>
      <c r="DE86" s="13">
        <f t="shared" si="334"/>
        <v>6.8699335507578591E-2</v>
      </c>
      <c r="DF86" s="13">
        <f t="shared" si="335"/>
        <v>0.10452912687730855</v>
      </c>
      <c r="DG86" s="13">
        <f t="shared" si="336"/>
        <v>0.14434465549083117</v>
      </c>
      <c r="DH86" s="13">
        <f t="shared" si="337"/>
        <v>3.7741280657958065E-2</v>
      </c>
      <c r="DI86" s="13">
        <f t="shared" si="338"/>
        <v>0</v>
      </c>
      <c r="DJ86" s="13">
        <f t="shared" si="381"/>
        <v>0.68032236939409285</v>
      </c>
      <c r="DK86" s="12">
        <f t="shared" si="382"/>
        <v>2.3685986098797089</v>
      </c>
      <c r="DL86" s="26"/>
      <c r="DM86" s="23">
        <f t="shared" si="152"/>
        <v>0.3777704535709891</v>
      </c>
      <c r="DN86" s="13">
        <f t="shared" si="152"/>
        <v>6.3698917145851037E-3</v>
      </c>
      <c r="DO86" s="13">
        <f t="shared" si="152"/>
        <v>0.14487185080027157</v>
      </c>
      <c r="DP86" s="13">
        <f t="shared" si="152"/>
        <v>0</v>
      </c>
      <c r="DQ86" s="13">
        <f t="shared" si="152"/>
        <v>3.3751725328274744E-2</v>
      </c>
      <c r="DR86" s="13">
        <f t="shared" si="294"/>
        <v>1.7171366574314881E-2</v>
      </c>
      <c r="DS86" s="13">
        <f t="shared" si="294"/>
        <v>2.1098605958729644E-2</v>
      </c>
      <c r="DT86" s="13">
        <f t="shared" si="294"/>
        <v>0</v>
      </c>
      <c r="DU86" s="13">
        <f t="shared" si="294"/>
        <v>2.9004211697594273E-2</v>
      </c>
      <c r="DV86" s="13">
        <f t="shared" si="294"/>
        <v>4.4131211781221612E-2</v>
      </c>
      <c r="DW86" s="13">
        <f t="shared" si="294"/>
        <v>6.0940952548377045E-2</v>
      </c>
      <c r="DX86" s="13">
        <f t="shared" si="294"/>
        <v>1.5934012838027794E-2</v>
      </c>
      <c r="DY86" s="13">
        <f t="shared" si="294"/>
        <v>0</v>
      </c>
      <c r="DZ86" s="13">
        <f t="shared" si="294"/>
        <v>0.28722568972065871</v>
      </c>
      <c r="EA86" s="12">
        <f t="shared" si="339"/>
        <v>1</v>
      </c>
      <c r="EB86" s="26"/>
      <c r="EC86" s="30">
        <f t="shared" si="340"/>
        <v>1173</v>
      </c>
      <c r="ED86" s="14">
        <f t="shared" si="341"/>
        <v>1000000000</v>
      </c>
      <c r="EE86" s="29"/>
      <c r="EF86" s="184">
        <f t="shared" si="391"/>
        <v>-7.9222975277067347</v>
      </c>
      <c r="EG86" s="13">
        <f t="shared" si="383"/>
        <v>3.8</v>
      </c>
      <c r="EH86" s="13">
        <f t="shared" si="384"/>
        <v>3.5787425404944591</v>
      </c>
      <c r="EI86" s="12">
        <f t="shared" si="342"/>
        <v>8.3416018755328203</v>
      </c>
      <c r="EJ86" s="29"/>
      <c r="EK86" s="28">
        <f t="shared" si="385"/>
        <v>-0.48750109185239199</v>
      </c>
      <c r="EL86" s="24">
        <f t="shared" si="343"/>
        <v>-0.21168089094763004</v>
      </c>
      <c r="EM86" s="24">
        <f t="shared" si="386"/>
        <v>0.61415920565217397</v>
      </c>
      <c r="EN86" s="24">
        <f t="shared" si="344"/>
        <v>2.8314467003518116E-2</v>
      </c>
      <c r="EO86" s="24">
        <f t="shared" si="345"/>
        <v>1.7389590563345377E-2</v>
      </c>
      <c r="EP86" s="24">
        <f t="shared" si="346"/>
        <v>0.55123110102803963</v>
      </c>
      <c r="EQ86" s="24">
        <f t="shared" si="347"/>
        <v>-0.48718347312562865</v>
      </c>
      <c r="ER86" s="24">
        <f t="shared" si="348"/>
        <v>-18.239387977240664</v>
      </c>
      <c r="ES86" s="25">
        <f t="shared" si="349"/>
        <v>-7.9198384616763633</v>
      </c>
      <c r="ET86" s="26"/>
      <c r="EU86" s="23">
        <f t="shared" si="392"/>
        <v>1.3178188058590656</v>
      </c>
      <c r="EV86" s="12">
        <f t="shared" si="350"/>
        <v>0.95410379089373498</v>
      </c>
      <c r="EW86" s="26"/>
      <c r="EX86" s="27">
        <f t="shared" si="351"/>
        <v>0.99999683773233983</v>
      </c>
      <c r="EY86" s="26"/>
      <c r="EZ86" s="23">
        <f t="shared" si="281"/>
        <v>-8.3698223188274223</v>
      </c>
      <c r="FA86" s="13">
        <f t="shared" si="352"/>
        <v>15.428773814700154</v>
      </c>
      <c r="FB86" s="13">
        <f t="shared" si="282"/>
        <v>-27.172509068173227</v>
      </c>
      <c r="FC86" s="13">
        <f t="shared" si="283"/>
        <v>14.487576822578575</v>
      </c>
      <c r="FD86" s="12">
        <f t="shared" si="353"/>
        <v>0.99999948934791671</v>
      </c>
      <c r="FE86" s="13"/>
      <c r="FF86" s="23">
        <f t="shared" si="284"/>
        <v>-7.3554531438200419</v>
      </c>
      <c r="FG86" s="13">
        <f t="shared" si="285"/>
        <v>13.814764289861159</v>
      </c>
      <c r="FH86" s="13">
        <f t="shared" si="286"/>
        <v>15.215974285169665</v>
      </c>
      <c r="FI86" s="24">
        <f t="shared" si="287"/>
        <v>0.99999527528550813</v>
      </c>
      <c r="FJ86" s="25">
        <f t="shared" si="288"/>
        <v>0.99999981242820046</v>
      </c>
      <c r="FK86" s="13"/>
      <c r="FL86" s="23">
        <f t="shared" si="354"/>
        <v>12.885330668774174</v>
      </c>
      <c r="FM86" s="13">
        <f t="shared" si="355"/>
        <v>-7.3035828293669205</v>
      </c>
      <c r="FN86" s="13">
        <f t="shared" si="289"/>
        <v>4.3443184427276247</v>
      </c>
      <c r="FO86" s="13">
        <f t="shared" si="356"/>
        <v>0.99995474548623053</v>
      </c>
      <c r="FP86" s="23">
        <f t="shared" si="290"/>
        <v>3.4133721511675219</v>
      </c>
      <c r="FQ86" s="13">
        <f t="shared" si="291"/>
        <v>0.99961411292907087</v>
      </c>
      <c r="FR86" s="13">
        <f t="shared" si="292"/>
        <v>3.7782485365042646</v>
      </c>
      <c r="FS86" s="13">
        <f t="shared" si="387"/>
        <v>0.99983339842479035</v>
      </c>
      <c r="FT86" s="13">
        <f t="shared" si="293"/>
        <v>3.3195955100763044</v>
      </c>
      <c r="FU86" s="12">
        <f t="shared" si="388"/>
        <v>0.99952115332111857</v>
      </c>
      <c r="FV86" s="22"/>
      <c r="FW86" s="11">
        <f t="shared" si="357"/>
        <v>3.8</v>
      </c>
      <c r="FX86" s="10">
        <f t="shared" si="358"/>
        <v>3.5787425404944591</v>
      </c>
      <c r="FY86" s="10">
        <f t="shared" si="359"/>
        <v>8.3416018755328203</v>
      </c>
      <c r="FZ86" s="5">
        <f t="shared" si="360"/>
        <v>-7.9222975277067347</v>
      </c>
      <c r="GA86" s="10">
        <f t="shared" si="361"/>
        <v>0.55123110102803963</v>
      </c>
      <c r="GB86" s="9">
        <f t="shared" si="275"/>
        <v>12.885330668774174</v>
      </c>
      <c r="GC86" s="8">
        <f t="shared" si="276"/>
        <v>-7.3035828293669205</v>
      </c>
      <c r="GD86" s="8">
        <f t="shared" si="389"/>
        <v>0.99995474548623053</v>
      </c>
      <c r="GE86" s="7">
        <f t="shared" si="390"/>
        <v>0.99961411292907087</v>
      </c>
      <c r="GF86" s="6">
        <f t="shared" si="277"/>
        <v>0.99999527528550813</v>
      </c>
      <c r="GG86" s="5">
        <f t="shared" si="278"/>
        <v>0.99999981242820046</v>
      </c>
      <c r="GH86" s="4">
        <f t="shared" si="279"/>
        <v>0.99999948934791671</v>
      </c>
      <c r="GI86" s="4">
        <f t="shared" si="362"/>
        <v>0.99999683773233983</v>
      </c>
      <c r="GJ86" s="4">
        <f t="shared" si="363"/>
        <v>0.95410379089373498</v>
      </c>
      <c r="GK86" s="1"/>
    </row>
    <row r="87" spans="1:193" x14ac:dyDescent="0.4">
      <c r="A87" s="32"/>
      <c r="B87" s="33"/>
      <c r="C87" s="33"/>
      <c r="D87" s="32"/>
      <c r="E87" s="32"/>
      <c r="F87" s="20" t="s">
        <v>84</v>
      </c>
      <c r="G87" s="19">
        <v>900</v>
      </c>
      <c r="H87" s="18">
        <v>1.5</v>
      </c>
      <c r="I87" s="17">
        <v>-1</v>
      </c>
      <c r="J87" s="16">
        <v>52.63</v>
      </c>
      <c r="K87" s="16">
        <v>1.18</v>
      </c>
      <c r="L87" s="16">
        <v>17.13</v>
      </c>
      <c r="M87" s="16">
        <v>0</v>
      </c>
      <c r="N87" s="16">
        <f t="shared" si="153"/>
        <v>6.3739999999999997</v>
      </c>
      <c r="O87" s="16">
        <v>0</v>
      </c>
      <c r="P87" s="16">
        <v>2.71</v>
      </c>
      <c r="Q87" s="16">
        <v>5.74</v>
      </c>
      <c r="R87" s="16">
        <v>4.38</v>
      </c>
      <c r="S87" s="16">
        <v>1.74</v>
      </c>
      <c r="T87" s="16">
        <v>0</v>
      </c>
      <c r="U87" s="15">
        <v>6</v>
      </c>
      <c r="V87" s="16"/>
      <c r="W87" s="28">
        <f t="shared" si="364"/>
        <v>53.767725062318682</v>
      </c>
      <c r="X87" s="24">
        <f t="shared" si="155"/>
        <v>1.2055085611540193</v>
      </c>
      <c r="Y87" s="24">
        <f t="shared" si="155"/>
        <v>17.500306485227416</v>
      </c>
      <c r="Z87" s="24">
        <f t="shared" si="155"/>
        <v>0</v>
      </c>
      <c r="AA87" s="24">
        <f t="shared" si="155"/>
        <v>6.5117894650811179</v>
      </c>
      <c r="AB87" s="24">
        <f t="shared" si="155"/>
        <v>0</v>
      </c>
      <c r="AC87" s="24">
        <f t="shared" si="393"/>
        <v>2.7685832209554171</v>
      </c>
      <c r="AD87" s="24">
        <f t="shared" si="393"/>
        <v>5.8640840178170093</v>
      </c>
      <c r="AE87" s="24">
        <f t="shared" si="393"/>
        <v>4.4746843202157667</v>
      </c>
      <c r="AF87" s="24">
        <f t="shared" si="393"/>
        <v>1.777614318989825</v>
      </c>
      <c r="AG87" s="24">
        <f t="shared" si="393"/>
        <v>0</v>
      </c>
      <c r="AH87" s="24">
        <f t="shared" si="393"/>
        <v>6.1297045482407766</v>
      </c>
      <c r="AI87" s="14">
        <f t="shared" si="365"/>
        <v>100.00000000000004</v>
      </c>
      <c r="AJ87" s="26"/>
      <c r="AK87" s="50">
        <f t="shared" si="366"/>
        <v>0.89478657118187188</v>
      </c>
      <c r="AL87" s="47">
        <f t="shared" si="367"/>
        <v>1.5087716660250553E-2</v>
      </c>
      <c r="AM87" s="47">
        <f t="shared" si="368"/>
        <v>0.17163894159697349</v>
      </c>
      <c r="AN87" s="49">
        <f t="shared" si="369"/>
        <v>0</v>
      </c>
      <c r="AO87" s="49">
        <f t="shared" si="370"/>
        <v>9.0630333543230593E-2</v>
      </c>
      <c r="AP87" s="47">
        <f t="shared" si="371"/>
        <v>0</v>
      </c>
      <c r="AQ87" s="47">
        <f t="shared" si="372"/>
        <v>6.8665258456235542E-2</v>
      </c>
      <c r="AR87" s="47">
        <f t="shared" si="373"/>
        <v>0.10456640545322771</v>
      </c>
      <c r="AS87" s="47">
        <f t="shared" si="374"/>
        <v>7.2195616654013667E-2</v>
      </c>
      <c r="AT87" s="47">
        <f t="shared" si="375"/>
        <v>1.8870640328979033E-2</v>
      </c>
      <c r="AU87" s="47">
        <f t="shared" si="376"/>
        <v>0</v>
      </c>
      <c r="AV87" s="47">
        <f t="shared" si="377"/>
        <v>0.34016118469704643</v>
      </c>
      <c r="AW87" s="47">
        <f t="shared" si="378"/>
        <v>1.4364414838747823</v>
      </c>
      <c r="AX87" s="47">
        <f t="shared" si="379"/>
        <v>7.9576712010316089E-2</v>
      </c>
      <c r="AY87" s="46">
        <f t="shared" si="380"/>
        <v>5.5285664638623907E-3</v>
      </c>
      <c r="AZ87" s="26"/>
      <c r="BA87" s="23">
        <f t="shared" si="295"/>
        <v>0.62291891540767586</v>
      </c>
      <c r="BB87" s="13">
        <f t="shared" si="296"/>
        <v>1.0503537268745283E-2</v>
      </c>
      <c r="BC87" s="13">
        <f t="shared" si="297"/>
        <v>0.11948898964821014</v>
      </c>
      <c r="BD87" s="13">
        <f t="shared" si="298"/>
        <v>0</v>
      </c>
      <c r="BE87" s="13">
        <f t="shared" si="299"/>
        <v>6.309364813020886E-2</v>
      </c>
      <c r="BF87" s="13">
        <f t="shared" si="300"/>
        <v>5.5398505893646942E-2</v>
      </c>
      <c r="BG87" s="13">
        <f t="shared" si="301"/>
        <v>3.8487933730159021E-3</v>
      </c>
      <c r="BH87" s="13">
        <f t="shared" si="302"/>
        <v>0</v>
      </c>
      <c r="BI87" s="13">
        <f t="shared" si="303"/>
        <v>4.7802335999801326E-2</v>
      </c>
      <c r="BJ87" s="13">
        <f t="shared" si="304"/>
        <v>7.2795450860386732E-2</v>
      </c>
      <c r="BK87" s="13">
        <f t="shared" si="305"/>
        <v>5.0260047112581939E-2</v>
      </c>
      <c r="BL87" s="13">
        <f t="shared" si="306"/>
        <v>1.3137075572389989E-2</v>
      </c>
      <c r="BM87" s="13">
        <f t="shared" si="307"/>
        <v>0</v>
      </c>
      <c r="BN87" s="13">
        <f t="shared" si="308"/>
        <v>0.23680824350704913</v>
      </c>
      <c r="BO87" s="12">
        <f t="shared" si="309"/>
        <v>1.0000000000000002</v>
      </c>
      <c r="BP87" s="13"/>
      <c r="BQ87" s="23">
        <f t="shared" si="310"/>
        <v>1.7895731423637438</v>
      </c>
      <c r="BR87" s="13">
        <f t="shared" si="311"/>
        <v>3.0175433320501106E-2</v>
      </c>
      <c r="BS87" s="13">
        <f t="shared" si="312"/>
        <v>0.51471489662433578</v>
      </c>
      <c r="BT87" s="13">
        <f t="shared" si="313"/>
        <v>0</v>
      </c>
      <c r="BU87" s="13">
        <f t="shared" si="314"/>
        <v>9.0630333543230593E-2</v>
      </c>
      <c r="BV87" s="13">
        <f t="shared" si="315"/>
        <v>7.9576712010316089E-2</v>
      </c>
      <c r="BW87" s="24">
        <f t="shared" si="316"/>
        <v>1.6585699391587171E-2</v>
      </c>
      <c r="BX87" s="13">
        <f t="shared" si="317"/>
        <v>0</v>
      </c>
      <c r="BY87" s="13">
        <f t="shared" si="318"/>
        <v>6.8699335507578591E-2</v>
      </c>
      <c r="BZ87" s="13">
        <f t="shared" si="319"/>
        <v>0.10452912687730855</v>
      </c>
      <c r="CA87" s="13">
        <f t="shared" si="320"/>
        <v>7.2172327745415585E-2</v>
      </c>
      <c r="CB87" s="13">
        <f t="shared" si="321"/>
        <v>1.8870640328979033E-2</v>
      </c>
      <c r="CC87" s="13">
        <f t="shared" si="322"/>
        <v>0</v>
      </c>
      <c r="CD87" s="13">
        <f t="shared" si="323"/>
        <v>0.34016118469704643</v>
      </c>
      <c r="CE87" s="12">
        <f t="shared" si="324"/>
        <v>3.0295264210081392</v>
      </c>
      <c r="CF87" s="13"/>
      <c r="CG87" s="23">
        <f t="shared" ref="CG87:CQ95" si="395">IF(OR($CE87="",BQ87=""),"",BQ87/$CE87)</f>
        <v>0.59071052490383147</v>
      </c>
      <c r="CH87" s="13">
        <f t="shared" si="395"/>
        <v>9.9604456694124457E-3</v>
      </c>
      <c r="CI87" s="13">
        <f t="shared" si="395"/>
        <v>0.16989945790043762</v>
      </c>
      <c r="CJ87" s="13">
        <f t="shared" si="395"/>
        <v>0</v>
      </c>
      <c r="CK87" s="13">
        <f t="shared" si="395"/>
        <v>2.991567689086911E-2</v>
      </c>
      <c r="CL87" s="13">
        <f t="shared" si="395"/>
        <v>2.626704671017038E-2</v>
      </c>
      <c r="CM87" s="13">
        <f t="shared" si="395"/>
        <v>5.4746838570458572E-3</v>
      </c>
      <c r="CN87" s="13">
        <f t="shared" si="395"/>
        <v>0</v>
      </c>
      <c r="CO87" s="13">
        <f t="shared" si="395"/>
        <v>2.2676592298778313E-2</v>
      </c>
      <c r="CP87" s="13">
        <f t="shared" si="395"/>
        <v>3.4503454451644711E-2</v>
      </c>
      <c r="CQ87" s="13">
        <f t="shared" si="395"/>
        <v>2.3822973533070793E-2</v>
      </c>
      <c r="CR87" s="13">
        <f t="shared" si="394"/>
        <v>6.2289076596663004E-3</v>
      </c>
      <c r="CS87" s="13">
        <f t="shared" si="394"/>
        <v>0</v>
      </c>
      <c r="CT87" s="13">
        <f t="shared" si="394"/>
        <v>0.11228196669228935</v>
      </c>
      <c r="CU87" s="12">
        <f t="shared" si="325"/>
        <v>1.0000000000000002</v>
      </c>
      <c r="CV87" s="26"/>
      <c r="CW87" s="23">
        <f t="shared" si="326"/>
        <v>0.89478657118187188</v>
      </c>
      <c r="CX87" s="13">
        <f t="shared" si="327"/>
        <v>1.5087716660250553E-2</v>
      </c>
      <c r="CY87" s="13">
        <f t="shared" si="328"/>
        <v>0.34314326441622384</v>
      </c>
      <c r="CZ87" s="13">
        <f t="shared" si="329"/>
        <v>0</v>
      </c>
      <c r="DA87" s="13">
        <f t="shared" si="330"/>
        <v>7.9944289693593323E-2</v>
      </c>
      <c r="DB87" s="13">
        <f t="shared" si="331"/>
        <v>7.9576712010316089E-2</v>
      </c>
      <c r="DC87" s="24">
        <f t="shared" si="332"/>
        <v>1.1057132927724781E-2</v>
      </c>
      <c r="DD87" s="13">
        <f t="shared" si="333"/>
        <v>0</v>
      </c>
      <c r="DE87" s="13">
        <f t="shared" si="334"/>
        <v>6.8699335507578591E-2</v>
      </c>
      <c r="DF87" s="13">
        <f t="shared" si="335"/>
        <v>0.10452912687730855</v>
      </c>
      <c r="DG87" s="13">
        <f t="shared" si="336"/>
        <v>0.14434465549083117</v>
      </c>
      <c r="DH87" s="13">
        <f t="shared" si="337"/>
        <v>3.7741280657958065E-2</v>
      </c>
      <c r="DI87" s="13">
        <f t="shared" si="338"/>
        <v>0</v>
      </c>
      <c r="DJ87" s="13">
        <f t="shared" si="381"/>
        <v>0.68032236939409285</v>
      </c>
      <c r="DK87" s="12">
        <f t="shared" si="382"/>
        <v>2.3685986098797089</v>
      </c>
      <c r="DL87" s="26"/>
      <c r="DM87" s="23">
        <f t="shared" si="152"/>
        <v>0.3777704535709891</v>
      </c>
      <c r="DN87" s="13">
        <f t="shared" si="152"/>
        <v>6.3698917145851037E-3</v>
      </c>
      <c r="DO87" s="13">
        <f t="shared" si="152"/>
        <v>0.14487185080027157</v>
      </c>
      <c r="DP87" s="13">
        <f t="shared" si="152"/>
        <v>0</v>
      </c>
      <c r="DQ87" s="13">
        <f t="shared" si="152"/>
        <v>3.3751725328274744E-2</v>
      </c>
      <c r="DR87" s="13">
        <f t="shared" si="294"/>
        <v>3.3596537496219103E-2</v>
      </c>
      <c r="DS87" s="13">
        <f t="shared" si="294"/>
        <v>4.6682172663633902E-3</v>
      </c>
      <c r="DT87" s="13">
        <f t="shared" si="294"/>
        <v>0</v>
      </c>
      <c r="DU87" s="13">
        <f t="shared" si="294"/>
        <v>2.9004211697594273E-2</v>
      </c>
      <c r="DV87" s="13">
        <f t="shared" si="294"/>
        <v>4.4131211781221612E-2</v>
      </c>
      <c r="DW87" s="13">
        <f t="shared" si="294"/>
        <v>6.0940952548377045E-2</v>
      </c>
      <c r="DX87" s="13">
        <f t="shared" si="294"/>
        <v>1.5934012838027794E-2</v>
      </c>
      <c r="DY87" s="13">
        <f t="shared" si="294"/>
        <v>0</v>
      </c>
      <c r="DZ87" s="13">
        <f t="shared" si="294"/>
        <v>0.28722568972065871</v>
      </c>
      <c r="EA87" s="12">
        <f t="shared" si="339"/>
        <v>1</v>
      </c>
      <c r="EB87" s="26"/>
      <c r="EC87" s="30">
        <f t="shared" si="340"/>
        <v>1173</v>
      </c>
      <c r="ED87" s="14">
        <f t="shared" si="341"/>
        <v>1500000000</v>
      </c>
      <c r="EE87" s="29"/>
      <c r="EF87" s="184">
        <f t="shared" si="391"/>
        <v>-12.25341432225064</v>
      </c>
      <c r="EG87" s="13">
        <f t="shared" si="383"/>
        <v>-1</v>
      </c>
      <c r="EH87" s="13">
        <f t="shared" si="384"/>
        <v>-0.94845268542199435</v>
      </c>
      <c r="EI87" s="12">
        <f t="shared" si="342"/>
        <v>3.7760434782608687</v>
      </c>
      <c r="EJ87" s="29"/>
      <c r="EK87" s="28">
        <f t="shared" si="385"/>
        <v>-2.6671105531171859</v>
      </c>
      <c r="EL87" s="24">
        <f t="shared" si="343"/>
        <v>-1.1581027152050307</v>
      </c>
      <c r="EM87" s="24">
        <f t="shared" si="386"/>
        <v>6.945261530459787E-2</v>
      </c>
      <c r="EN87" s="24">
        <f t="shared" si="344"/>
        <v>5.5398505893646942E-2</v>
      </c>
      <c r="EO87" s="24">
        <f t="shared" si="345"/>
        <v>3.847571118280959E-3</v>
      </c>
      <c r="EP87" s="24">
        <f t="shared" si="346"/>
        <v>0.12196381830198103</v>
      </c>
      <c r="EQ87" s="24">
        <f t="shared" si="347"/>
        <v>-2.666792934390422</v>
      </c>
      <c r="ER87" s="24">
        <f t="shared" si="348"/>
        <v>-28.212102706887315</v>
      </c>
      <c r="ES87" s="25">
        <f t="shared" si="349"/>
        <v>-12.250153151058322</v>
      </c>
      <c r="ET87" s="26"/>
      <c r="EU87" s="23">
        <f t="shared" si="392"/>
        <v>-6.2549200879922893</v>
      </c>
      <c r="EV87" s="12">
        <f t="shared" si="350"/>
        <v>5.560062462661719E-7</v>
      </c>
      <c r="EW87" s="26"/>
      <c r="EX87" s="27">
        <f t="shared" si="351"/>
        <v>7.9426514400130776E-5</v>
      </c>
      <c r="EY87" s="26"/>
      <c r="EZ87" s="23">
        <f t="shared" si="281"/>
        <v>-8.3698223188274223</v>
      </c>
      <c r="FA87" s="13">
        <f t="shared" si="352"/>
        <v>15.659818418460954</v>
      </c>
      <c r="FB87" s="13">
        <f t="shared" si="282"/>
        <v>-27.172509068173227</v>
      </c>
      <c r="FC87" s="13">
        <f t="shared" si="283"/>
        <v>-5.2269085079265167</v>
      </c>
      <c r="FD87" s="12">
        <f t="shared" si="353"/>
        <v>5.3414173406014509E-3</v>
      </c>
      <c r="FE87" s="13"/>
      <c r="FF87" s="23">
        <f t="shared" si="284"/>
        <v>-7.0791623979534366</v>
      </c>
      <c r="FG87" s="13">
        <f t="shared" si="285"/>
        <v>13.814764289861159</v>
      </c>
      <c r="FH87" s="13">
        <f t="shared" si="286"/>
        <v>15.215974285169665</v>
      </c>
      <c r="FI87" s="24">
        <f t="shared" si="287"/>
        <v>2.4377668081698722E-4</v>
      </c>
      <c r="FJ87" s="25">
        <f t="shared" si="288"/>
        <v>6.104481347250279E-3</v>
      </c>
      <c r="FK87" s="13"/>
      <c r="FL87" s="23">
        <f t="shared" si="354"/>
        <v>12.885330668774174</v>
      </c>
      <c r="FM87" s="13">
        <f t="shared" si="355"/>
        <v>-7.194194551221015</v>
      </c>
      <c r="FN87" s="13">
        <f t="shared" si="289"/>
        <v>-4.4273034245060892</v>
      </c>
      <c r="FO87" s="13">
        <f t="shared" si="356"/>
        <v>3.7383532736745551E-5</v>
      </c>
      <c r="FP87" s="23">
        <f t="shared" si="290"/>
        <v>-5.8237228618462424</v>
      </c>
      <c r="FQ87" s="13">
        <f t="shared" si="291"/>
        <v>1.5006398890182737E-6</v>
      </c>
      <c r="FR87" s="13">
        <f t="shared" si="292"/>
        <v>-5.2764082838411284</v>
      </c>
      <c r="FS87" s="13">
        <f t="shared" si="387"/>
        <v>5.2916293674654113E-6</v>
      </c>
      <c r="FT87" s="13">
        <f t="shared" si="293"/>
        <v>-5.9643878234830723</v>
      </c>
      <c r="FU87" s="12">
        <f t="shared" si="388"/>
        <v>1.0854547041194706E-6</v>
      </c>
      <c r="FV87" s="22"/>
      <c r="FW87" s="11">
        <f t="shared" si="357"/>
        <v>-1</v>
      </c>
      <c r="FX87" s="10">
        <f t="shared" si="358"/>
        <v>-0.94845268542199435</v>
      </c>
      <c r="FY87" s="10">
        <f t="shared" si="359"/>
        <v>3.7760434782608687</v>
      </c>
      <c r="FZ87" s="5">
        <f t="shared" si="360"/>
        <v>-12.25341432225064</v>
      </c>
      <c r="GA87" s="10">
        <f t="shared" si="361"/>
        <v>0.12196381830198103</v>
      </c>
      <c r="GB87" s="9">
        <f t="shared" si="275"/>
        <v>12.885330668774174</v>
      </c>
      <c r="GC87" s="8">
        <f t="shared" si="276"/>
        <v>-7.194194551221015</v>
      </c>
      <c r="GD87" s="8">
        <f t="shared" si="389"/>
        <v>3.7383532736745551E-5</v>
      </c>
      <c r="GE87" s="7">
        <f t="shared" si="390"/>
        <v>1.5006398890182737E-6</v>
      </c>
      <c r="GF87" s="6">
        <f t="shared" si="277"/>
        <v>2.4377668081698722E-4</v>
      </c>
      <c r="GG87" s="5">
        <f t="shared" si="278"/>
        <v>6.104481347250279E-3</v>
      </c>
      <c r="GH87" s="4">
        <f t="shared" si="279"/>
        <v>5.3414173406014509E-3</v>
      </c>
      <c r="GI87" s="4">
        <f t="shared" si="362"/>
        <v>7.9426514400130776E-5</v>
      </c>
      <c r="GJ87" s="4">
        <f t="shared" si="363"/>
        <v>5.560062462661719E-7</v>
      </c>
      <c r="GK87" s="1"/>
    </row>
    <row r="88" spans="1:193" x14ac:dyDescent="0.4">
      <c r="A88" s="32"/>
      <c r="B88" s="33"/>
      <c r="C88" s="33"/>
      <c r="D88" s="32"/>
      <c r="E88" s="32"/>
      <c r="F88" s="20" t="s">
        <v>84</v>
      </c>
      <c r="G88" s="19">
        <v>900</v>
      </c>
      <c r="H88" s="18">
        <v>1.5</v>
      </c>
      <c r="I88" s="17">
        <v>-0.6</v>
      </c>
      <c r="J88" s="16">
        <v>52.63</v>
      </c>
      <c r="K88" s="16">
        <v>1.18</v>
      </c>
      <c r="L88" s="16">
        <v>17.13</v>
      </c>
      <c r="M88" s="16">
        <v>0</v>
      </c>
      <c r="N88" s="16">
        <f t="shared" si="153"/>
        <v>6.3739999999999997</v>
      </c>
      <c r="O88" s="16">
        <v>0</v>
      </c>
      <c r="P88" s="16">
        <v>2.71</v>
      </c>
      <c r="Q88" s="16">
        <v>5.74</v>
      </c>
      <c r="R88" s="16">
        <v>4.38</v>
      </c>
      <c r="S88" s="16">
        <v>1.74</v>
      </c>
      <c r="T88" s="16">
        <v>0</v>
      </c>
      <c r="U88" s="15">
        <v>6</v>
      </c>
      <c r="V88" s="16"/>
      <c r="W88" s="28">
        <f t="shared" si="364"/>
        <v>53.767725062318682</v>
      </c>
      <c r="X88" s="24">
        <f t="shared" si="155"/>
        <v>1.2055085611540193</v>
      </c>
      <c r="Y88" s="24">
        <f t="shared" si="155"/>
        <v>17.500306485227416</v>
      </c>
      <c r="Z88" s="24">
        <f t="shared" si="155"/>
        <v>0</v>
      </c>
      <c r="AA88" s="24">
        <f t="shared" si="155"/>
        <v>6.5117894650811179</v>
      </c>
      <c r="AB88" s="24">
        <f t="shared" si="155"/>
        <v>0</v>
      </c>
      <c r="AC88" s="24">
        <f t="shared" si="393"/>
        <v>2.7685832209554171</v>
      </c>
      <c r="AD88" s="24">
        <f t="shared" si="393"/>
        <v>5.8640840178170093</v>
      </c>
      <c r="AE88" s="24">
        <f t="shared" si="393"/>
        <v>4.4746843202157667</v>
      </c>
      <c r="AF88" s="24">
        <f t="shared" si="393"/>
        <v>1.777614318989825</v>
      </c>
      <c r="AG88" s="24">
        <f t="shared" si="393"/>
        <v>0</v>
      </c>
      <c r="AH88" s="24">
        <f t="shared" si="393"/>
        <v>6.1297045482407766</v>
      </c>
      <c r="AI88" s="14">
        <f t="shared" si="365"/>
        <v>100.00000000000004</v>
      </c>
      <c r="AJ88" s="26"/>
      <c r="AK88" s="50">
        <f t="shared" si="366"/>
        <v>0.89478657118187188</v>
      </c>
      <c r="AL88" s="47">
        <f t="shared" si="367"/>
        <v>1.5087716660250553E-2</v>
      </c>
      <c r="AM88" s="47">
        <f t="shared" si="368"/>
        <v>0.17163894159697349</v>
      </c>
      <c r="AN88" s="49">
        <f t="shared" si="369"/>
        <v>0</v>
      </c>
      <c r="AO88" s="49">
        <f t="shared" si="370"/>
        <v>9.0630333543230593E-2</v>
      </c>
      <c r="AP88" s="47">
        <f t="shared" si="371"/>
        <v>0</v>
      </c>
      <c r="AQ88" s="47">
        <f t="shared" si="372"/>
        <v>6.8665258456235542E-2</v>
      </c>
      <c r="AR88" s="47">
        <f t="shared" si="373"/>
        <v>0.10456640545322771</v>
      </c>
      <c r="AS88" s="47">
        <f t="shared" si="374"/>
        <v>7.2195616654013667E-2</v>
      </c>
      <c r="AT88" s="47">
        <f t="shared" si="375"/>
        <v>1.8870640328979033E-2</v>
      </c>
      <c r="AU88" s="47">
        <f t="shared" si="376"/>
        <v>0</v>
      </c>
      <c r="AV88" s="47">
        <f t="shared" si="377"/>
        <v>0.34016118469704643</v>
      </c>
      <c r="AW88" s="47">
        <f t="shared" si="378"/>
        <v>1.4364414838747823</v>
      </c>
      <c r="AX88" s="47">
        <f t="shared" si="379"/>
        <v>7.7701789463590909E-2</v>
      </c>
      <c r="AY88" s="46">
        <f t="shared" si="380"/>
        <v>6.466325539772339E-3</v>
      </c>
      <c r="AZ88" s="26"/>
      <c r="BA88" s="23">
        <f t="shared" si="295"/>
        <v>0.62291891540767586</v>
      </c>
      <c r="BB88" s="13">
        <f t="shared" si="296"/>
        <v>1.0503537268745283E-2</v>
      </c>
      <c r="BC88" s="13">
        <f t="shared" si="297"/>
        <v>0.11948898964821014</v>
      </c>
      <c r="BD88" s="13">
        <f t="shared" si="298"/>
        <v>0</v>
      </c>
      <c r="BE88" s="13">
        <f t="shared" si="299"/>
        <v>6.309364813020886E-2</v>
      </c>
      <c r="BF88" s="13">
        <f t="shared" si="300"/>
        <v>5.409325081171517E-2</v>
      </c>
      <c r="BG88" s="13">
        <f t="shared" si="301"/>
        <v>4.5016282336329564E-3</v>
      </c>
      <c r="BH88" s="13">
        <f t="shared" si="302"/>
        <v>0</v>
      </c>
      <c r="BI88" s="13">
        <f t="shared" si="303"/>
        <v>4.7802335999801326E-2</v>
      </c>
      <c r="BJ88" s="13">
        <f t="shared" si="304"/>
        <v>7.2795450860386732E-2</v>
      </c>
      <c r="BK88" s="13">
        <f t="shared" si="305"/>
        <v>5.0260047112581939E-2</v>
      </c>
      <c r="BL88" s="13">
        <f t="shared" si="306"/>
        <v>1.3137075572389989E-2</v>
      </c>
      <c r="BM88" s="13">
        <f t="shared" si="307"/>
        <v>0</v>
      </c>
      <c r="BN88" s="13">
        <f t="shared" si="308"/>
        <v>0.23680824350704913</v>
      </c>
      <c r="BO88" s="12">
        <f t="shared" si="309"/>
        <v>1.0000000000000002</v>
      </c>
      <c r="BP88" s="13"/>
      <c r="BQ88" s="23">
        <f t="shared" si="310"/>
        <v>1.7895731423637438</v>
      </c>
      <c r="BR88" s="13">
        <f t="shared" si="311"/>
        <v>3.0175433320501106E-2</v>
      </c>
      <c r="BS88" s="13">
        <f t="shared" si="312"/>
        <v>0.51471489662433578</v>
      </c>
      <c r="BT88" s="13">
        <f t="shared" si="313"/>
        <v>0</v>
      </c>
      <c r="BU88" s="13">
        <f t="shared" si="314"/>
        <v>9.0630333543230593E-2</v>
      </c>
      <c r="BV88" s="13">
        <f t="shared" si="315"/>
        <v>7.7701789463590909E-2</v>
      </c>
      <c r="BW88" s="24">
        <f t="shared" si="316"/>
        <v>1.9398976619317016E-2</v>
      </c>
      <c r="BX88" s="13">
        <f t="shared" si="317"/>
        <v>0</v>
      </c>
      <c r="BY88" s="13">
        <f t="shared" si="318"/>
        <v>6.8699335507578591E-2</v>
      </c>
      <c r="BZ88" s="13">
        <f t="shared" si="319"/>
        <v>0.10452912687730855</v>
      </c>
      <c r="CA88" s="13">
        <f t="shared" si="320"/>
        <v>7.2172327745415585E-2</v>
      </c>
      <c r="CB88" s="13">
        <f t="shared" si="321"/>
        <v>1.8870640328979033E-2</v>
      </c>
      <c r="CC88" s="13">
        <f t="shared" si="322"/>
        <v>0</v>
      </c>
      <c r="CD88" s="13">
        <f t="shared" si="323"/>
        <v>0.34016118469704643</v>
      </c>
      <c r="CE88" s="12">
        <f t="shared" si="324"/>
        <v>3.0295264210081392</v>
      </c>
      <c r="CF88" s="13"/>
      <c r="CG88" s="23">
        <f t="shared" si="395"/>
        <v>0.59071052490383147</v>
      </c>
      <c r="CH88" s="13">
        <f t="shared" si="395"/>
        <v>9.9604456694124457E-3</v>
      </c>
      <c r="CI88" s="13">
        <f t="shared" si="395"/>
        <v>0.16989945790043762</v>
      </c>
      <c r="CJ88" s="13">
        <f t="shared" si="395"/>
        <v>0</v>
      </c>
      <c r="CK88" s="13">
        <f t="shared" si="395"/>
        <v>2.991567689086911E-2</v>
      </c>
      <c r="CL88" s="13">
        <f t="shared" si="395"/>
        <v>2.5648163661742877E-2</v>
      </c>
      <c r="CM88" s="13">
        <f t="shared" si="395"/>
        <v>6.4033033297863085E-3</v>
      </c>
      <c r="CN88" s="13">
        <f t="shared" si="395"/>
        <v>0</v>
      </c>
      <c r="CO88" s="13">
        <f t="shared" si="395"/>
        <v>2.2676592298778313E-2</v>
      </c>
      <c r="CP88" s="13">
        <f t="shared" si="395"/>
        <v>3.4503454451644711E-2</v>
      </c>
      <c r="CQ88" s="13">
        <f t="shared" si="395"/>
        <v>2.3822973533070793E-2</v>
      </c>
      <c r="CR88" s="13">
        <f t="shared" si="394"/>
        <v>6.2289076596663004E-3</v>
      </c>
      <c r="CS88" s="13">
        <f t="shared" si="394"/>
        <v>0</v>
      </c>
      <c r="CT88" s="13">
        <f t="shared" si="394"/>
        <v>0.11228196669228935</v>
      </c>
      <c r="CU88" s="12">
        <f t="shared" si="325"/>
        <v>1.0000000000000002</v>
      </c>
      <c r="CV88" s="26"/>
      <c r="CW88" s="23">
        <f t="shared" si="326"/>
        <v>0.89478657118187188</v>
      </c>
      <c r="CX88" s="13">
        <f t="shared" si="327"/>
        <v>1.5087716660250553E-2</v>
      </c>
      <c r="CY88" s="13">
        <f t="shared" si="328"/>
        <v>0.34314326441622384</v>
      </c>
      <c r="CZ88" s="13">
        <f t="shared" si="329"/>
        <v>0</v>
      </c>
      <c r="DA88" s="13">
        <f t="shared" si="330"/>
        <v>7.9944289693593323E-2</v>
      </c>
      <c r="DB88" s="13">
        <f t="shared" si="331"/>
        <v>7.7701789463590909E-2</v>
      </c>
      <c r="DC88" s="24">
        <f t="shared" si="332"/>
        <v>1.2932651079544678E-2</v>
      </c>
      <c r="DD88" s="13">
        <f t="shared" si="333"/>
        <v>0</v>
      </c>
      <c r="DE88" s="13">
        <f t="shared" si="334"/>
        <v>6.8699335507578591E-2</v>
      </c>
      <c r="DF88" s="13">
        <f t="shared" si="335"/>
        <v>0.10452912687730855</v>
      </c>
      <c r="DG88" s="13">
        <f t="shared" si="336"/>
        <v>0.14434465549083117</v>
      </c>
      <c r="DH88" s="13">
        <f t="shared" si="337"/>
        <v>3.7741280657958065E-2</v>
      </c>
      <c r="DI88" s="13">
        <f t="shared" si="338"/>
        <v>0</v>
      </c>
      <c r="DJ88" s="13">
        <f t="shared" si="381"/>
        <v>0.68032236939409285</v>
      </c>
      <c r="DK88" s="12">
        <f t="shared" si="382"/>
        <v>2.3685986098797089</v>
      </c>
      <c r="DL88" s="26"/>
      <c r="DM88" s="23">
        <f t="shared" si="152"/>
        <v>0.3777704535709891</v>
      </c>
      <c r="DN88" s="13">
        <f t="shared" si="152"/>
        <v>6.3698917145851037E-3</v>
      </c>
      <c r="DO88" s="13">
        <f t="shared" si="152"/>
        <v>0.14487185080027157</v>
      </c>
      <c r="DP88" s="13">
        <f t="shared" si="152"/>
        <v>0</v>
      </c>
      <c r="DQ88" s="13">
        <f t="shared" si="152"/>
        <v>3.3751725328274744E-2</v>
      </c>
      <c r="DR88" s="13">
        <f t="shared" si="294"/>
        <v>3.2804962875299944E-2</v>
      </c>
      <c r="DS88" s="13">
        <f t="shared" si="294"/>
        <v>5.4600433461376866E-3</v>
      </c>
      <c r="DT88" s="13">
        <f t="shared" si="294"/>
        <v>0</v>
      </c>
      <c r="DU88" s="13">
        <f t="shared" si="294"/>
        <v>2.9004211697594273E-2</v>
      </c>
      <c r="DV88" s="13">
        <f t="shared" si="294"/>
        <v>4.4131211781221612E-2</v>
      </c>
      <c r="DW88" s="13">
        <f t="shared" si="294"/>
        <v>6.0940952548377045E-2</v>
      </c>
      <c r="DX88" s="13">
        <f t="shared" si="294"/>
        <v>1.5934012838027794E-2</v>
      </c>
      <c r="DY88" s="13">
        <f t="shared" si="294"/>
        <v>0</v>
      </c>
      <c r="DZ88" s="13">
        <f t="shared" si="294"/>
        <v>0.28722568972065871</v>
      </c>
      <c r="EA88" s="12">
        <f t="shared" si="339"/>
        <v>1</v>
      </c>
      <c r="EB88" s="26"/>
      <c r="EC88" s="30">
        <f t="shared" si="340"/>
        <v>1173</v>
      </c>
      <c r="ED88" s="14">
        <f t="shared" si="341"/>
        <v>1500000000</v>
      </c>
      <c r="EE88" s="29"/>
      <c r="EF88" s="184">
        <f t="shared" si="391"/>
        <v>-11.853414322250639</v>
      </c>
      <c r="EG88" s="13">
        <f t="shared" si="383"/>
        <v>-0.6</v>
      </c>
      <c r="EH88" s="13">
        <f t="shared" si="384"/>
        <v>-0.54845268542199399</v>
      </c>
      <c r="EI88" s="12">
        <f t="shared" si="342"/>
        <v>4.1760434782608691</v>
      </c>
      <c r="EJ88" s="29"/>
      <c r="EK88" s="28">
        <f t="shared" si="385"/>
        <v>-2.4865878818264529</v>
      </c>
      <c r="EL88" s="24">
        <f t="shared" si="343"/>
        <v>-1.0797168396988506</v>
      </c>
      <c r="EM88" s="24">
        <f t="shared" si="386"/>
        <v>8.3193348370037654E-2</v>
      </c>
      <c r="EN88" s="24">
        <f t="shared" si="344"/>
        <v>5.4093250811715177E-2</v>
      </c>
      <c r="EO88" s="24">
        <f t="shared" si="345"/>
        <v>4.5001986592468424E-3</v>
      </c>
      <c r="EP88" s="24">
        <f t="shared" si="346"/>
        <v>0.14265140129350595</v>
      </c>
      <c r="EQ88" s="24">
        <f t="shared" si="347"/>
        <v>-2.4862702630996889</v>
      </c>
      <c r="ER88" s="24">
        <f t="shared" si="348"/>
        <v>-27.291068669689697</v>
      </c>
      <c r="ES88" s="25">
        <f t="shared" si="349"/>
        <v>-11.8502252148023</v>
      </c>
      <c r="ET88" s="26"/>
      <c r="EU88" s="23">
        <f t="shared" si="392"/>
        <v>-5.6277200879922873</v>
      </c>
      <c r="EV88" s="12">
        <f t="shared" si="350"/>
        <v>2.3565620989041136E-6</v>
      </c>
      <c r="EW88" s="26"/>
      <c r="EX88" s="27">
        <f t="shared" si="351"/>
        <v>5.0093617081359819E-4</v>
      </c>
      <c r="EY88" s="26"/>
      <c r="EZ88" s="23">
        <f t="shared" si="281"/>
        <v>-8.3698223188274223</v>
      </c>
      <c r="FA88" s="13">
        <f t="shared" si="352"/>
        <v>15.648683737092529</v>
      </c>
      <c r="FB88" s="13">
        <f t="shared" si="282"/>
        <v>-27.172509068173227</v>
      </c>
      <c r="FC88" s="13">
        <f t="shared" si="283"/>
        <v>-3.3959751148997128</v>
      </c>
      <c r="FD88" s="12">
        <f t="shared" si="353"/>
        <v>3.2421489355746069E-2</v>
      </c>
      <c r="FE88" s="13"/>
      <c r="FF88" s="23">
        <f t="shared" si="284"/>
        <v>-7.0924776166176855</v>
      </c>
      <c r="FG88" s="13">
        <f t="shared" si="285"/>
        <v>13.814764289861159</v>
      </c>
      <c r="FH88" s="13">
        <f t="shared" si="286"/>
        <v>15.215974285169665</v>
      </c>
      <c r="FI88" s="24">
        <f t="shared" si="287"/>
        <v>1.5838893631013873E-3</v>
      </c>
      <c r="FJ88" s="25">
        <f t="shared" si="288"/>
        <v>3.8424365728990439E-2</v>
      </c>
      <c r="FK88" s="13"/>
      <c r="FL88" s="23">
        <f t="shared" si="354"/>
        <v>12.885330668774174</v>
      </c>
      <c r="FM88" s="13">
        <f t="shared" si="355"/>
        <v>-7.1994655589038832</v>
      </c>
      <c r="FN88" s="13">
        <f t="shared" si="289"/>
        <v>-3.6220324168232239</v>
      </c>
      <c r="FO88" s="13">
        <f t="shared" si="356"/>
        <v>2.3870631142941523E-4</v>
      </c>
      <c r="FP88" s="23">
        <f t="shared" si="290"/>
        <v>-5.0184518541633771</v>
      </c>
      <c r="FQ88" s="13">
        <f t="shared" si="291"/>
        <v>9.5839377358686306E-6</v>
      </c>
      <c r="FR88" s="13">
        <f t="shared" si="292"/>
        <v>-4.4711372761582631</v>
      </c>
      <c r="FS88" s="13">
        <f t="shared" si="387"/>
        <v>3.3794657299246467E-5</v>
      </c>
      <c r="FT88" s="13">
        <f t="shared" si="293"/>
        <v>-5.159116815800207</v>
      </c>
      <c r="FU88" s="12">
        <f t="shared" si="388"/>
        <v>6.9323450881952908E-6</v>
      </c>
      <c r="FV88" s="22"/>
      <c r="FW88" s="11">
        <f t="shared" si="357"/>
        <v>-0.6</v>
      </c>
      <c r="FX88" s="10">
        <f t="shared" si="358"/>
        <v>-0.54845268542199399</v>
      </c>
      <c r="FY88" s="10">
        <f t="shared" si="359"/>
        <v>4.1760434782608691</v>
      </c>
      <c r="FZ88" s="5">
        <f t="shared" si="360"/>
        <v>-11.853414322250639</v>
      </c>
      <c r="GA88" s="10">
        <f t="shared" si="361"/>
        <v>0.14265140129350595</v>
      </c>
      <c r="GB88" s="9">
        <f t="shared" si="275"/>
        <v>12.885330668774174</v>
      </c>
      <c r="GC88" s="8">
        <f t="shared" si="276"/>
        <v>-7.1994655589038832</v>
      </c>
      <c r="GD88" s="8">
        <f t="shared" si="389"/>
        <v>2.3870631142941523E-4</v>
      </c>
      <c r="GE88" s="7">
        <f t="shared" si="390"/>
        <v>9.5839377358686306E-6</v>
      </c>
      <c r="GF88" s="6">
        <f t="shared" si="277"/>
        <v>1.5838893631013873E-3</v>
      </c>
      <c r="GG88" s="5">
        <f t="shared" si="278"/>
        <v>3.8424365728990439E-2</v>
      </c>
      <c r="GH88" s="4">
        <f t="shared" si="279"/>
        <v>3.2421489355746069E-2</v>
      </c>
      <c r="GI88" s="4">
        <f t="shared" si="362"/>
        <v>5.0093617081359819E-4</v>
      </c>
      <c r="GJ88" s="4">
        <f t="shared" si="363"/>
        <v>2.3565620989041136E-6</v>
      </c>
      <c r="GK88" s="1"/>
    </row>
    <row r="89" spans="1:193" x14ac:dyDescent="0.4">
      <c r="A89" s="32"/>
      <c r="B89" s="33"/>
      <c r="C89" s="33"/>
      <c r="D89" s="32"/>
      <c r="E89" s="32"/>
      <c r="F89" s="20" t="s">
        <v>84</v>
      </c>
      <c r="G89" s="19">
        <v>900</v>
      </c>
      <c r="H89" s="18">
        <v>1.5</v>
      </c>
      <c r="I89" s="17">
        <v>-0.2</v>
      </c>
      <c r="J89" s="16">
        <v>52.63</v>
      </c>
      <c r="K89" s="16">
        <v>1.18</v>
      </c>
      <c r="L89" s="16">
        <v>17.13</v>
      </c>
      <c r="M89" s="16">
        <v>0</v>
      </c>
      <c r="N89" s="16">
        <f t="shared" si="153"/>
        <v>6.3739999999999997</v>
      </c>
      <c r="O89" s="16">
        <v>0</v>
      </c>
      <c r="P89" s="16">
        <v>2.71</v>
      </c>
      <c r="Q89" s="16">
        <v>5.74</v>
      </c>
      <c r="R89" s="16">
        <v>4.38</v>
      </c>
      <c r="S89" s="16">
        <v>1.74</v>
      </c>
      <c r="T89" s="16">
        <v>0</v>
      </c>
      <c r="U89" s="15">
        <v>6</v>
      </c>
      <c r="V89" s="16"/>
      <c r="W89" s="28">
        <f t="shared" si="364"/>
        <v>53.767725062318682</v>
      </c>
      <c r="X89" s="24">
        <f t="shared" si="155"/>
        <v>1.2055085611540193</v>
      </c>
      <c r="Y89" s="24">
        <f t="shared" si="155"/>
        <v>17.500306485227416</v>
      </c>
      <c r="Z89" s="24">
        <f t="shared" si="155"/>
        <v>0</v>
      </c>
      <c r="AA89" s="24">
        <f t="shared" si="155"/>
        <v>6.5117894650811179</v>
      </c>
      <c r="AB89" s="24">
        <f t="shared" si="155"/>
        <v>0</v>
      </c>
      <c r="AC89" s="24">
        <f t="shared" si="393"/>
        <v>2.7685832209554171</v>
      </c>
      <c r="AD89" s="24">
        <f t="shared" si="393"/>
        <v>5.8640840178170093</v>
      </c>
      <c r="AE89" s="24">
        <f t="shared" si="393"/>
        <v>4.4746843202157667</v>
      </c>
      <c r="AF89" s="24">
        <f t="shared" si="393"/>
        <v>1.777614318989825</v>
      </c>
      <c r="AG89" s="24">
        <f t="shared" si="393"/>
        <v>0</v>
      </c>
      <c r="AH89" s="24">
        <f t="shared" si="393"/>
        <v>6.1297045482407766</v>
      </c>
      <c r="AI89" s="14">
        <f t="shared" si="365"/>
        <v>100.00000000000004</v>
      </c>
      <c r="AJ89" s="26"/>
      <c r="AK89" s="50">
        <f t="shared" si="366"/>
        <v>0.89478657118187188</v>
      </c>
      <c r="AL89" s="47">
        <f t="shared" si="367"/>
        <v>1.5087716660250553E-2</v>
      </c>
      <c r="AM89" s="47">
        <f t="shared" si="368"/>
        <v>0.17163894159697349</v>
      </c>
      <c r="AN89" s="49">
        <f t="shared" si="369"/>
        <v>0</v>
      </c>
      <c r="AO89" s="49">
        <f t="shared" si="370"/>
        <v>9.0630333543230593E-2</v>
      </c>
      <c r="AP89" s="47">
        <f t="shared" si="371"/>
        <v>0</v>
      </c>
      <c r="AQ89" s="47">
        <f t="shared" si="372"/>
        <v>6.8665258456235542E-2</v>
      </c>
      <c r="AR89" s="47">
        <f t="shared" si="373"/>
        <v>0.10456640545322771</v>
      </c>
      <c r="AS89" s="47">
        <f t="shared" si="374"/>
        <v>7.2195616654013667E-2</v>
      </c>
      <c r="AT89" s="47">
        <f t="shared" si="375"/>
        <v>1.8870640328979033E-2</v>
      </c>
      <c r="AU89" s="47">
        <f t="shared" si="376"/>
        <v>0</v>
      </c>
      <c r="AV89" s="47">
        <f t="shared" si="377"/>
        <v>0.34016118469704643</v>
      </c>
      <c r="AW89" s="47">
        <f t="shared" si="378"/>
        <v>1.4364414838747823</v>
      </c>
      <c r="AX89" s="47">
        <f t="shared" si="379"/>
        <v>7.5569033291397858E-2</v>
      </c>
      <c r="AY89" s="46">
        <f t="shared" si="380"/>
        <v>7.5330423813135079E-3</v>
      </c>
      <c r="AZ89" s="26"/>
      <c r="BA89" s="23">
        <f t="shared" si="295"/>
        <v>0.62291891540767586</v>
      </c>
      <c r="BB89" s="13">
        <f t="shared" si="296"/>
        <v>1.0503537268745283E-2</v>
      </c>
      <c r="BC89" s="13">
        <f t="shared" si="297"/>
        <v>0.11948898964821014</v>
      </c>
      <c r="BD89" s="13">
        <f t="shared" si="298"/>
        <v>0</v>
      </c>
      <c r="BE89" s="13">
        <f t="shared" si="299"/>
        <v>6.309364813020886E-2</v>
      </c>
      <c r="BF89" s="13">
        <f t="shared" si="300"/>
        <v>5.2608501035177127E-2</v>
      </c>
      <c r="BG89" s="13">
        <f t="shared" si="301"/>
        <v>5.2442389515187371E-3</v>
      </c>
      <c r="BH89" s="13">
        <f t="shared" si="302"/>
        <v>0</v>
      </c>
      <c r="BI89" s="13">
        <f t="shared" si="303"/>
        <v>4.7802335999801326E-2</v>
      </c>
      <c r="BJ89" s="13">
        <f t="shared" si="304"/>
        <v>7.2795450860386732E-2</v>
      </c>
      <c r="BK89" s="13">
        <f t="shared" si="305"/>
        <v>5.0260047112581939E-2</v>
      </c>
      <c r="BL89" s="13">
        <f t="shared" si="306"/>
        <v>1.3137075572389989E-2</v>
      </c>
      <c r="BM89" s="13">
        <f t="shared" si="307"/>
        <v>0</v>
      </c>
      <c r="BN89" s="13">
        <f t="shared" si="308"/>
        <v>0.23680824350704913</v>
      </c>
      <c r="BO89" s="12">
        <f t="shared" si="309"/>
        <v>1.0000000000000002</v>
      </c>
      <c r="BP89" s="13"/>
      <c r="BQ89" s="23">
        <f t="shared" si="310"/>
        <v>1.7895731423637438</v>
      </c>
      <c r="BR89" s="13">
        <f t="shared" si="311"/>
        <v>3.0175433320501106E-2</v>
      </c>
      <c r="BS89" s="13">
        <f t="shared" si="312"/>
        <v>0.51471489662433578</v>
      </c>
      <c r="BT89" s="13">
        <f t="shared" si="313"/>
        <v>0</v>
      </c>
      <c r="BU89" s="13">
        <f t="shared" si="314"/>
        <v>9.0630333543230593E-2</v>
      </c>
      <c r="BV89" s="13">
        <f t="shared" si="315"/>
        <v>7.5569033291397858E-2</v>
      </c>
      <c r="BW89" s="24">
        <f t="shared" si="316"/>
        <v>2.2599127143940526E-2</v>
      </c>
      <c r="BX89" s="13">
        <f t="shared" si="317"/>
        <v>0</v>
      </c>
      <c r="BY89" s="13">
        <f t="shared" si="318"/>
        <v>6.8699335507578591E-2</v>
      </c>
      <c r="BZ89" s="13">
        <f t="shared" si="319"/>
        <v>0.10452912687730855</v>
      </c>
      <c r="CA89" s="13">
        <f t="shared" si="320"/>
        <v>7.2172327745415585E-2</v>
      </c>
      <c r="CB89" s="13">
        <f t="shared" si="321"/>
        <v>1.8870640328979033E-2</v>
      </c>
      <c r="CC89" s="13">
        <f t="shared" si="322"/>
        <v>0</v>
      </c>
      <c r="CD89" s="13">
        <f t="shared" si="323"/>
        <v>0.34016118469704643</v>
      </c>
      <c r="CE89" s="12">
        <f t="shared" si="324"/>
        <v>3.0295264210081392</v>
      </c>
      <c r="CF89" s="13"/>
      <c r="CG89" s="23">
        <f t="shared" si="395"/>
        <v>0.59071052490383147</v>
      </c>
      <c r="CH89" s="13">
        <f t="shared" si="395"/>
        <v>9.9604456694124457E-3</v>
      </c>
      <c r="CI89" s="13">
        <f t="shared" si="395"/>
        <v>0.16989945790043762</v>
      </c>
      <c r="CJ89" s="13">
        <f t="shared" si="395"/>
        <v>0</v>
      </c>
      <c r="CK89" s="13">
        <f t="shared" si="395"/>
        <v>2.991567689086911E-2</v>
      </c>
      <c r="CL89" s="13">
        <f t="shared" si="395"/>
        <v>2.4944173705621839E-2</v>
      </c>
      <c r="CM89" s="13">
        <f t="shared" si="395"/>
        <v>7.45962371782854E-3</v>
      </c>
      <c r="CN89" s="13">
        <f t="shared" si="395"/>
        <v>0</v>
      </c>
      <c r="CO89" s="13">
        <f t="shared" si="395"/>
        <v>2.2676592298778313E-2</v>
      </c>
      <c r="CP89" s="13">
        <f t="shared" si="395"/>
        <v>3.4503454451644711E-2</v>
      </c>
      <c r="CQ89" s="13">
        <f t="shared" si="395"/>
        <v>2.3822973533070793E-2</v>
      </c>
      <c r="CR89" s="13">
        <f t="shared" si="394"/>
        <v>6.2289076596663004E-3</v>
      </c>
      <c r="CS89" s="13">
        <f t="shared" si="394"/>
        <v>0</v>
      </c>
      <c r="CT89" s="13">
        <f t="shared" si="394"/>
        <v>0.11228196669228935</v>
      </c>
      <c r="CU89" s="12">
        <f t="shared" si="325"/>
        <v>1.0000000000000002</v>
      </c>
      <c r="CV89" s="26"/>
      <c r="CW89" s="23">
        <f t="shared" si="326"/>
        <v>0.89478657118187188</v>
      </c>
      <c r="CX89" s="13">
        <f t="shared" si="327"/>
        <v>1.5087716660250553E-2</v>
      </c>
      <c r="CY89" s="13">
        <f t="shared" si="328"/>
        <v>0.34314326441622384</v>
      </c>
      <c r="CZ89" s="13">
        <f t="shared" si="329"/>
        <v>0</v>
      </c>
      <c r="DA89" s="13">
        <f t="shared" si="330"/>
        <v>7.9944289693593323E-2</v>
      </c>
      <c r="DB89" s="13">
        <f t="shared" si="331"/>
        <v>7.5569033291397858E-2</v>
      </c>
      <c r="DC89" s="24">
        <f t="shared" si="332"/>
        <v>1.5066084762627016E-2</v>
      </c>
      <c r="DD89" s="13">
        <f t="shared" si="333"/>
        <v>0</v>
      </c>
      <c r="DE89" s="13">
        <f t="shared" si="334"/>
        <v>6.8699335507578591E-2</v>
      </c>
      <c r="DF89" s="13">
        <f t="shared" si="335"/>
        <v>0.10452912687730855</v>
      </c>
      <c r="DG89" s="13">
        <f t="shared" si="336"/>
        <v>0.14434465549083117</v>
      </c>
      <c r="DH89" s="13">
        <f t="shared" si="337"/>
        <v>3.7741280657958065E-2</v>
      </c>
      <c r="DI89" s="13">
        <f t="shared" si="338"/>
        <v>0</v>
      </c>
      <c r="DJ89" s="13">
        <f t="shared" si="381"/>
        <v>0.68032236939409285</v>
      </c>
      <c r="DK89" s="12">
        <f t="shared" si="382"/>
        <v>2.3685986098797089</v>
      </c>
      <c r="DL89" s="26"/>
      <c r="DM89" s="23">
        <f t="shared" si="152"/>
        <v>0.3777704535709891</v>
      </c>
      <c r="DN89" s="13">
        <f t="shared" si="152"/>
        <v>6.3698917145851037E-3</v>
      </c>
      <c r="DO89" s="13">
        <f t="shared" si="152"/>
        <v>0.14487185080027157</v>
      </c>
      <c r="DP89" s="13">
        <f t="shared" si="152"/>
        <v>0</v>
      </c>
      <c r="DQ89" s="13">
        <f t="shared" si="152"/>
        <v>3.3751725328274744E-2</v>
      </c>
      <c r="DR89" s="13">
        <f t="shared" si="294"/>
        <v>3.1904533328775235E-2</v>
      </c>
      <c r="DS89" s="13">
        <f t="shared" si="294"/>
        <v>6.3607589313717273E-3</v>
      </c>
      <c r="DT89" s="13">
        <f t="shared" si="294"/>
        <v>0</v>
      </c>
      <c r="DU89" s="13">
        <f t="shared" si="294"/>
        <v>2.9004211697594273E-2</v>
      </c>
      <c r="DV89" s="13">
        <f t="shared" si="294"/>
        <v>4.4131211781221612E-2</v>
      </c>
      <c r="DW89" s="13">
        <f t="shared" si="294"/>
        <v>6.0940952548377045E-2</v>
      </c>
      <c r="DX89" s="13">
        <f t="shared" si="294"/>
        <v>1.5934012838027794E-2</v>
      </c>
      <c r="DY89" s="13">
        <f t="shared" si="294"/>
        <v>0</v>
      </c>
      <c r="DZ89" s="13">
        <f t="shared" si="294"/>
        <v>0.28722568972065871</v>
      </c>
      <c r="EA89" s="12">
        <f t="shared" si="339"/>
        <v>1</v>
      </c>
      <c r="EB89" s="26"/>
      <c r="EC89" s="30">
        <f t="shared" si="340"/>
        <v>1173</v>
      </c>
      <c r="ED89" s="14">
        <f t="shared" si="341"/>
        <v>1500000000</v>
      </c>
      <c r="EE89" s="29"/>
      <c r="EF89" s="184">
        <f t="shared" si="391"/>
        <v>-11.453414322250639</v>
      </c>
      <c r="EG89" s="13">
        <f t="shared" si="383"/>
        <v>-0.2</v>
      </c>
      <c r="EH89" s="13">
        <f t="shared" si="384"/>
        <v>-0.14845268542199364</v>
      </c>
      <c r="EI89" s="12">
        <f t="shared" si="342"/>
        <v>4.5760434782608694</v>
      </c>
      <c r="EJ89" s="29"/>
      <c r="EK89" s="28">
        <f t="shared" si="385"/>
        <v>-2.3060652105357189</v>
      </c>
      <c r="EL89" s="24">
        <f t="shared" si="343"/>
        <v>-1.00133096419267</v>
      </c>
      <c r="EM89" s="24">
        <f t="shared" si="386"/>
        <v>9.9652593104874246E-2</v>
      </c>
      <c r="EN89" s="24">
        <f t="shared" si="344"/>
        <v>5.2608501035177134E-2</v>
      </c>
      <c r="EO89" s="24">
        <f t="shared" si="345"/>
        <v>5.2425735475158629E-3</v>
      </c>
      <c r="EP89" s="24">
        <f t="shared" si="346"/>
        <v>0.16618387754965622</v>
      </c>
      <c r="EQ89" s="24">
        <f t="shared" si="347"/>
        <v>-2.3057475918089554</v>
      </c>
      <c r="ER89" s="24">
        <f t="shared" si="348"/>
        <v>-26.370034632492079</v>
      </c>
      <c r="ES89" s="25">
        <f t="shared" si="349"/>
        <v>-11.450297278546278</v>
      </c>
      <c r="ET89" s="26"/>
      <c r="EU89" s="23">
        <f t="shared" si="392"/>
        <v>-5.0005200879922853</v>
      </c>
      <c r="EV89" s="12">
        <f t="shared" si="350"/>
        <v>9.9879319392925936E-6</v>
      </c>
      <c r="EW89" s="26"/>
      <c r="EX89" s="27">
        <f t="shared" si="351"/>
        <v>3.1523091832602089E-3</v>
      </c>
      <c r="EY89" s="26"/>
      <c r="EZ89" s="23">
        <f t="shared" si="281"/>
        <v>-8.3698223188274223</v>
      </c>
      <c r="FA89" s="13">
        <f t="shared" si="352"/>
        <v>15.636017848330674</v>
      </c>
      <c r="FB89" s="13">
        <f t="shared" si="282"/>
        <v>-27.172509068173227</v>
      </c>
      <c r="FC89" s="13">
        <f t="shared" si="283"/>
        <v>-1.5665729292663215</v>
      </c>
      <c r="FD89" s="12">
        <f t="shared" si="353"/>
        <v>0.17270549671322111</v>
      </c>
      <c r="FE89" s="13"/>
      <c r="FF89" s="23">
        <f t="shared" si="284"/>
        <v>-7.1076239035082462</v>
      </c>
      <c r="FG89" s="13">
        <f t="shared" si="285"/>
        <v>13.814764289861159</v>
      </c>
      <c r="FH89" s="13">
        <f t="shared" si="286"/>
        <v>15.215974285169665</v>
      </c>
      <c r="FI89" s="24">
        <f t="shared" si="287"/>
        <v>1.0258440776056421E-2</v>
      </c>
      <c r="FJ89" s="25">
        <f t="shared" si="288"/>
        <v>0.20702736120578713</v>
      </c>
      <c r="FK89" s="13"/>
      <c r="FL89" s="23">
        <f t="shared" si="354"/>
        <v>12.885330668774174</v>
      </c>
      <c r="FM89" s="13">
        <f t="shared" si="355"/>
        <v>-7.2054615233416301</v>
      </c>
      <c r="FN89" s="13">
        <f t="shared" si="289"/>
        <v>-2.8160364523854753</v>
      </c>
      <c r="FO89" s="13">
        <f t="shared" si="356"/>
        <v>1.5251083395904086E-3</v>
      </c>
      <c r="FP89" s="23">
        <f t="shared" si="290"/>
        <v>-4.2124558897256286</v>
      </c>
      <c r="FQ89" s="13">
        <f t="shared" si="291"/>
        <v>6.1308047288322065E-5</v>
      </c>
      <c r="FR89" s="13">
        <f t="shared" si="292"/>
        <v>-3.6651413117205145</v>
      </c>
      <c r="FS89" s="13">
        <f t="shared" si="387"/>
        <v>2.1615475981406895E-4</v>
      </c>
      <c r="FT89" s="13">
        <f t="shared" si="293"/>
        <v>-4.3531208513624584</v>
      </c>
      <c r="FU89" s="12">
        <f t="shared" si="388"/>
        <v>4.4346555084340267E-5</v>
      </c>
      <c r="FV89" s="22"/>
      <c r="FW89" s="11">
        <f t="shared" si="357"/>
        <v>-0.2</v>
      </c>
      <c r="FX89" s="10">
        <f t="shared" si="358"/>
        <v>-0.14845268542199364</v>
      </c>
      <c r="FY89" s="10">
        <f t="shared" si="359"/>
        <v>4.5760434782608694</v>
      </c>
      <c r="FZ89" s="5">
        <f t="shared" si="360"/>
        <v>-11.453414322250639</v>
      </c>
      <c r="GA89" s="10">
        <f t="shared" si="361"/>
        <v>0.16618387754965622</v>
      </c>
      <c r="GB89" s="9">
        <f t="shared" si="275"/>
        <v>12.885330668774174</v>
      </c>
      <c r="GC89" s="8">
        <f t="shared" si="276"/>
        <v>-7.2054615233416301</v>
      </c>
      <c r="GD89" s="8">
        <f t="shared" si="389"/>
        <v>1.5251083395904086E-3</v>
      </c>
      <c r="GE89" s="7">
        <f t="shared" si="390"/>
        <v>6.1308047288322065E-5</v>
      </c>
      <c r="GF89" s="6">
        <f t="shared" si="277"/>
        <v>1.0258440776056421E-2</v>
      </c>
      <c r="GG89" s="5">
        <f t="shared" si="278"/>
        <v>0.20702736120578713</v>
      </c>
      <c r="GH89" s="4">
        <f t="shared" si="279"/>
        <v>0.17270549671322111</v>
      </c>
      <c r="GI89" s="4">
        <f t="shared" si="362"/>
        <v>3.1523091832602089E-3</v>
      </c>
      <c r="GJ89" s="4">
        <f t="shared" si="363"/>
        <v>9.9879319392925936E-6</v>
      </c>
      <c r="GK89" s="1"/>
    </row>
    <row r="90" spans="1:193" x14ac:dyDescent="0.4">
      <c r="A90" s="32"/>
      <c r="B90" s="33"/>
      <c r="C90" s="33"/>
      <c r="D90" s="32"/>
      <c r="E90" s="32"/>
      <c r="F90" s="20" t="s">
        <v>84</v>
      </c>
      <c r="G90" s="19">
        <v>900</v>
      </c>
      <c r="H90" s="18">
        <v>1.5</v>
      </c>
      <c r="I90" s="17">
        <v>0.2</v>
      </c>
      <c r="J90" s="16">
        <v>52.63</v>
      </c>
      <c r="K90" s="16">
        <v>1.18</v>
      </c>
      <c r="L90" s="16">
        <v>17.13</v>
      </c>
      <c r="M90" s="16">
        <v>0</v>
      </c>
      <c r="N90" s="16">
        <f t="shared" si="153"/>
        <v>6.3739999999999997</v>
      </c>
      <c r="O90" s="16">
        <v>0</v>
      </c>
      <c r="P90" s="16">
        <v>2.71</v>
      </c>
      <c r="Q90" s="16">
        <v>5.74</v>
      </c>
      <c r="R90" s="16">
        <v>4.38</v>
      </c>
      <c r="S90" s="16">
        <v>1.74</v>
      </c>
      <c r="T90" s="16">
        <v>0</v>
      </c>
      <c r="U90" s="15">
        <v>6</v>
      </c>
      <c r="V90" s="16"/>
      <c r="W90" s="28">
        <f t="shared" si="364"/>
        <v>53.767725062318682</v>
      </c>
      <c r="X90" s="24">
        <f t="shared" si="155"/>
        <v>1.2055085611540193</v>
      </c>
      <c r="Y90" s="24">
        <f t="shared" si="155"/>
        <v>17.500306485227416</v>
      </c>
      <c r="Z90" s="24">
        <f t="shared" si="155"/>
        <v>0</v>
      </c>
      <c r="AA90" s="24">
        <f t="shared" si="155"/>
        <v>6.5117894650811179</v>
      </c>
      <c r="AB90" s="24">
        <f t="shared" si="155"/>
        <v>0</v>
      </c>
      <c r="AC90" s="24">
        <f t="shared" si="393"/>
        <v>2.7685832209554171</v>
      </c>
      <c r="AD90" s="24">
        <f t="shared" si="393"/>
        <v>5.8640840178170093</v>
      </c>
      <c r="AE90" s="24">
        <f t="shared" si="393"/>
        <v>4.4746843202157667</v>
      </c>
      <c r="AF90" s="24">
        <f t="shared" si="393"/>
        <v>1.777614318989825</v>
      </c>
      <c r="AG90" s="24">
        <f t="shared" si="393"/>
        <v>0</v>
      </c>
      <c r="AH90" s="24">
        <f t="shared" si="393"/>
        <v>6.1297045482407766</v>
      </c>
      <c r="AI90" s="14">
        <f t="shared" si="365"/>
        <v>100.00000000000004</v>
      </c>
      <c r="AJ90" s="26"/>
      <c r="AK90" s="50">
        <f t="shared" si="366"/>
        <v>0.89478657118187188</v>
      </c>
      <c r="AL90" s="47">
        <f t="shared" si="367"/>
        <v>1.5087716660250553E-2</v>
      </c>
      <c r="AM90" s="47">
        <f t="shared" si="368"/>
        <v>0.17163894159697349</v>
      </c>
      <c r="AN90" s="49">
        <f t="shared" si="369"/>
        <v>0</v>
      </c>
      <c r="AO90" s="49">
        <f t="shared" si="370"/>
        <v>9.0630333543230593E-2</v>
      </c>
      <c r="AP90" s="47">
        <f t="shared" si="371"/>
        <v>0</v>
      </c>
      <c r="AQ90" s="47">
        <f t="shared" si="372"/>
        <v>6.8665258456235542E-2</v>
      </c>
      <c r="AR90" s="47">
        <f t="shared" si="373"/>
        <v>0.10456640545322771</v>
      </c>
      <c r="AS90" s="47">
        <f t="shared" si="374"/>
        <v>7.2195616654013667E-2</v>
      </c>
      <c r="AT90" s="47">
        <f t="shared" si="375"/>
        <v>1.8870640328979033E-2</v>
      </c>
      <c r="AU90" s="47">
        <f t="shared" si="376"/>
        <v>0</v>
      </c>
      <c r="AV90" s="47">
        <f t="shared" si="377"/>
        <v>0.34016118469704643</v>
      </c>
      <c r="AW90" s="47">
        <f t="shared" si="378"/>
        <v>1.4364414838747823</v>
      </c>
      <c r="AX90" s="47">
        <f t="shared" si="379"/>
        <v>7.3163535992556705E-2</v>
      </c>
      <c r="AY90" s="46">
        <f t="shared" si="380"/>
        <v>8.7361731069027972E-3</v>
      </c>
      <c r="AZ90" s="26"/>
      <c r="BA90" s="23">
        <f t="shared" si="295"/>
        <v>0.62291891540767586</v>
      </c>
      <c r="BB90" s="13">
        <f t="shared" si="296"/>
        <v>1.0503537268745283E-2</v>
      </c>
      <c r="BC90" s="13">
        <f t="shared" si="297"/>
        <v>0.11948898964821014</v>
      </c>
      <c r="BD90" s="13">
        <f t="shared" si="298"/>
        <v>0</v>
      </c>
      <c r="BE90" s="13">
        <f t="shared" si="299"/>
        <v>6.309364813020886E-2</v>
      </c>
      <c r="BF90" s="13">
        <f t="shared" si="300"/>
        <v>5.0933878486437899E-2</v>
      </c>
      <c r="BG90" s="13">
        <f t="shared" si="301"/>
        <v>6.0818162138683738E-3</v>
      </c>
      <c r="BH90" s="13">
        <f t="shared" si="302"/>
        <v>0</v>
      </c>
      <c r="BI90" s="13">
        <f t="shared" si="303"/>
        <v>4.7802335999801326E-2</v>
      </c>
      <c r="BJ90" s="13">
        <f t="shared" si="304"/>
        <v>7.2795450860386732E-2</v>
      </c>
      <c r="BK90" s="13">
        <f t="shared" si="305"/>
        <v>5.0260047112581939E-2</v>
      </c>
      <c r="BL90" s="13">
        <f t="shared" si="306"/>
        <v>1.3137075572389989E-2</v>
      </c>
      <c r="BM90" s="13">
        <f t="shared" si="307"/>
        <v>0</v>
      </c>
      <c r="BN90" s="13">
        <f t="shared" si="308"/>
        <v>0.23680824350704913</v>
      </c>
      <c r="BO90" s="12">
        <f t="shared" si="309"/>
        <v>1.0000000000000002</v>
      </c>
      <c r="BP90" s="13"/>
      <c r="BQ90" s="23">
        <f t="shared" si="310"/>
        <v>1.7895731423637438</v>
      </c>
      <c r="BR90" s="13">
        <f t="shared" si="311"/>
        <v>3.0175433320501106E-2</v>
      </c>
      <c r="BS90" s="13">
        <f t="shared" si="312"/>
        <v>0.51471489662433578</v>
      </c>
      <c r="BT90" s="13">
        <f t="shared" si="313"/>
        <v>0</v>
      </c>
      <c r="BU90" s="13">
        <f t="shared" si="314"/>
        <v>9.0630333543230593E-2</v>
      </c>
      <c r="BV90" s="13">
        <f t="shared" si="315"/>
        <v>7.3163535992556705E-2</v>
      </c>
      <c r="BW90" s="24">
        <f t="shared" si="316"/>
        <v>2.6208519320708393E-2</v>
      </c>
      <c r="BX90" s="13">
        <f t="shared" si="317"/>
        <v>0</v>
      </c>
      <c r="BY90" s="13">
        <f t="shared" si="318"/>
        <v>6.8699335507578591E-2</v>
      </c>
      <c r="BZ90" s="13">
        <f t="shared" si="319"/>
        <v>0.10452912687730855</v>
      </c>
      <c r="CA90" s="13">
        <f t="shared" si="320"/>
        <v>7.2172327745415585E-2</v>
      </c>
      <c r="CB90" s="13">
        <f t="shared" si="321"/>
        <v>1.8870640328979033E-2</v>
      </c>
      <c r="CC90" s="13">
        <f t="shared" si="322"/>
        <v>0</v>
      </c>
      <c r="CD90" s="13">
        <f t="shared" si="323"/>
        <v>0.34016118469704643</v>
      </c>
      <c r="CE90" s="12">
        <f t="shared" si="324"/>
        <v>3.0295264210081392</v>
      </c>
      <c r="CF90" s="13"/>
      <c r="CG90" s="23">
        <f t="shared" si="395"/>
        <v>0.59071052490383147</v>
      </c>
      <c r="CH90" s="13">
        <f t="shared" si="395"/>
        <v>9.9604456694124457E-3</v>
      </c>
      <c r="CI90" s="13">
        <f t="shared" si="395"/>
        <v>0.16989945790043762</v>
      </c>
      <c r="CJ90" s="13">
        <f t="shared" si="395"/>
        <v>0</v>
      </c>
      <c r="CK90" s="13">
        <f t="shared" si="395"/>
        <v>2.991567689086911E-2</v>
      </c>
      <c r="CL90" s="13">
        <f t="shared" si="395"/>
        <v>2.4150156105326188E-2</v>
      </c>
      <c r="CM90" s="13">
        <f t="shared" si="395"/>
        <v>8.6510284706435899E-3</v>
      </c>
      <c r="CN90" s="13">
        <f t="shared" si="395"/>
        <v>0</v>
      </c>
      <c r="CO90" s="13">
        <f t="shared" si="395"/>
        <v>2.2676592298778313E-2</v>
      </c>
      <c r="CP90" s="13">
        <f t="shared" si="395"/>
        <v>3.4503454451644711E-2</v>
      </c>
      <c r="CQ90" s="13">
        <f t="shared" si="395"/>
        <v>2.3822973533070793E-2</v>
      </c>
      <c r="CR90" s="13">
        <f t="shared" si="394"/>
        <v>6.2289076596663004E-3</v>
      </c>
      <c r="CS90" s="13">
        <f t="shared" si="394"/>
        <v>0</v>
      </c>
      <c r="CT90" s="13">
        <f t="shared" si="394"/>
        <v>0.11228196669228935</v>
      </c>
      <c r="CU90" s="12">
        <f t="shared" si="325"/>
        <v>1.0000000000000002</v>
      </c>
      <c r="CV90" s="26"/>
      <c r="CW90" s="23">
        <f t="shared" si="326"/>
        <v>0.89478657118187188</v>
      </c>
      <c r="CX90" s="13">
        <f t="shared" si="327"/>
        <v>1.5087716660250553E-2</v>
      </c>
      <c r="CY90" s="13">
        <f t="shared" si="328"/>
        <v>0.34314326441622384</v>
      </c>
      <c r="CZ90" s="13">
        <f t="shared" si="329"/>
        <v>0</v>
      </c>
      <c r="DA90" s="13">
        <f t="shared" si="330"/>
        <v>7.9944289693593323E-2</v>
      </c>
      <c r="DB90" s="13">
        <f t="shared" si="331"/>
        <v>7.3163535992556705E-2</v>
      </c>
      <c r="DC90" s="24">
        <f t="shared" si="332"/>
        <v>1.7472346213805594E-2</v>
      </c>
      <c r="DD90" s="13">
        <f t="shared" si="333"/>
        <v>0</v>
      </c>
      <c r="DE90" s="13">
        <f t="shared" si="334"/>
        <v>6.8699335507578591E-2</v>
      </c>
      <c r="DF90" s="13">
        <f t="shared" si="335"/>
        <v>0.10452912687730855</v>
      </c>
      <c r="DG90" s="13">
        <f t="shared" si="336"/>
        <v>0.14434465549083117</v>
      </c>
      <c r="DH90" s="13">
        <f t="shared" si="337"/>
        <v>3.7741280657958065E-2</v>
      </c>
      <c r="DI90" s="13">
        <f t="shared" si="338"/>
        <v>0</v>
      </c>
      <c r="DJ90" s="13">
        <f t="shared" si="381"/>
        <v>0.68032236939409285</v>
      </c>
      <c r="DK90" s="12">
        <f t="shared" si="382"/>
        <v>2.3685986098797089</v>
      </c>
      <c r="DL90" s="26"/>
      <c r="DM90" s="23">
        <f t="shared" si="152"/>
        <v>0.3777704535709891</v>
      </c>
      <c r="DN90" s="13">
        <f t="shared" si="152"/>
        <v>6.3698917145851037E-3</v>
      </c>
      <c r="DO90" s="13">
        <f t="shared" si="152"/>
        <v>0.14487185080027157</v>
      </c>
      <c r="DP90" s="13">
        <f t="shared" si="152"/>
        <v>0</v>
      </c>
      <c r="DQ90" s="13">
        <f t="shared" si="152"/>
        <v>3.3751725328274744E-2</v>
      </c>
      <c r="DR90" s="13">
        <f t="shared" si="294"/>
        <v>3.0888955050206827E-2</v>
      </c>
      <c r="DS90" s="13">
        <f t="shared" si="294"/>
        <v>7.3766598278519387E-3</v>
      </c>
      <c r="DT90" s="13">
        <f t="shared" si="294"/>
        <v>0</v>
      </c>
      <c r="DU90" s="13">
        <f t="shared" si="294"/>
        <v>2.9004211697594273E-2</v>
      </c>
      <c r="DV90" s="13">
        <f t="shared" si="294"/>
        <v>4.4131211781221612E-2</v>
      </c>
      <c r="DW90" s="13">
        <f t="shared" si="294"/>
        <v>6.0940952548377045E-2</v>
      </c>
      <c r="DX90" s="13">
        <f t="shared" si="294"/>
        <v>1.5934012838027794E-2</v>
      </c>
      <c r="DY90" s="13">
        <f t="shared" si="294"/>
        <v>0</v>
      </c>
      <c r="DZ90" s="13">
        <f t="shared" si="294"/>
        <v>0.28722568972065871</v>
      </c>
      <c r="EA90" s="12">
        <f t="shared" si="339"/>
        <v>1</v>
      </c>
      <c r="EB90" s="26"/>
      <c r="EC90" s="30">
        <f t="shared" si="340"/>
        <v>1173</v>
      </c>
      <c r="ED90" s="14">
        <f t="shared" si="341"/>
        <v>1500000000</v>
      </c>
      <c r="EE90" s="29"/>
      <c r="EF90" s="184">
        <f t="shared" si="391"/>
        <v>-11.05341432225064</v>
      </c>
      <c r="EG90" s="13">
        <f t="shared" si="383"/>
        <v>0.2</v>
      </c>
      <c r="EH90" s="13">
        <f t="shared" si="384"/>
        <v>0.25154731457800494</v>
      </c>
      <c r="EI90" s="12">
        <f t="shared" si="342"/>
        <v>4.976043478260868</v>
      </c>
      <c r="EJ90" s="29"/>
      <c r="EK90" s="28">
        <f t="shared" si="385"/>
        <v>-2.1255425392449858</v>
      </c>
      <c r="EL90" s="24">
        <f t="shared" si="343"/>
        <v>-0.92294508868648972</v>
      </c>
      <c r="EM90" s="24">
        <f t="shared" si="386"/>
        <v>0.11936818876858876</v>
      </c>
      <c r="EN90" s="24">
        <f t="shared" si="344"/>
        <v>5.0933878486437899E-2</v>
      </c>
      <c r="EO90" s="24">
        <f t="shared" si="345"/>
        <v>6.0798848218854814E-3</v>
      </c>
      <c r="EP90" s="24">
        <f t="shared" si="346"/>
        <v>0.19272573395465048</v>
      </c>
      <c r="EQ90" s="24">
        <f t="shared" si="347"/>
        <v>-2.1252249205182219</v>
      </c>
      <c r="ER90" s="24">
        <f t="shared" si="348"/>
        <v>-25.449000595294457</v>
      </c>
      <c r="ES90" s="25">
        <f t="shared" si="349"/>
        <v>-11.050369342290255</v>
      </c>
      <c r="ET90" s="26"/>
      <c r="EU90" s="23">
        <f t="shared" si="392"/>
        <v>-4.3733200879922869</v>
      </c>
      <c r="EV90" s="12">
        <f t="shared" si="350"/>
        <v>4.2331292343544824E-5</v>
      </c>
      <c r="EW90" s="26"/>
      <c r="EX90" s="27">
        <f t="shared" si="351"/>
        <v>1.9562303872579508E-2</v>
      </c>
      <c r="EY90" s="26"/>
      <c r="EZ90" s="23">
        <f t="shared" si="281"/>
        <v>-8.3698223188274223</v>
      </c>
      <c r="FA90" s="13">
        <f t="shared" si="352"/>
        <v>15.621732220371271</v>
      </c>
      <c r="FB90" s="13">
        <f t="shared" si="282"/>
        <v>-27.172509068173227</v>
      </c>
      <c r="FC90" s="13">
        <f t="shared" si="283"/>
        <v>0.26120951716950458</v>
      </c>
      <c r="FD90" s="12">
        <f t="shared" si="353"/>
        <v>0.56493359463484016</v>
      </c>
      <c r="FE90" s="13"/>
      <c r="FF90" s="23">
        <f t="shared" si="284"/>
        <v>-7.1247071278719813</v>
      </c>
      <c r="FG90" s="13">
        <f t="shared" si="285"/>
        <v>13.814764289861159</v>
      </c>
      <c r="FH90" s="13">
        <f t="shared" si="286"/>
        <v>15.215974285169665</v>
      </c>
      <c r="FI90" s="24">
        <f t="shared" si="287"/>
        <v>6.3688789764236753E-2</v>
      </c>
      <c r="FJ90" s="25">
        <f t="shared" si="288"/>
        <v>0.63145547458848461</v>
      </c>
      <c r="FK90" s="13"/>
      <c r="FL90" s="23">
        <f t="shared" si="354"/>
        <v>12.885330668774174</v>
      </c>
      <c r="FM90" s="13">
        <f t="shared" si="355"/>
        <v>-7.2122243927199188</v>
      </c>
      <c r="FN90" s="13">
        <f t="shared" si="289"/>
        <v>-2.0092735830071895</v>
      </c>
      <c r="FO90" s="13">
        <f t="shared" si="356"/>
        <v>9.6938411100693234E-3</v>
      </c>
      <c r="FP90" s="23">
        <f t="shared" si="290"/>
        <v>-3.4056930203473428</v>
      </c>
      <c r="FQ90" s="13">
        <f t="shared" si="291"/>
        <v>3.927682458071402E-4</v>
      </c>
      <c r="FR90" s="13">
        <f t="shared" si="292"/>
        <v>-2.8583784423422287</v>
      </c>
      <c r="FS90" s="13">
        <f t="shared" si="387"/>
        <v>1.3836308552773735E-3</v>
      </c>
      <c r="FT90" s="13">
        <f t="shared" si="293"/>
        <v>-3.5463579819841726</v>
      </c>
      <c r="FU90" s="12">
        <f t="shared" si="388"/>
        <v>2.8413098961466154E-4</v>
      </c>
      <c r="FV90" s="22"/>
      <c r="FW90" s="11">
        <f t="shared" si="357"/>
        <v>0.2</v>
      </c>
      <c r="FX90" s="10">
        <f t="shared" si="358"/>
        <v>0.25154731457800494</v>
      </c>
      <c r="FY90" s="10">
        <f t="shared" si="359"/>
        <v>4.976043478260868</v>
      </c>
      <c r="FZ90" s="5">
        <f t="shared" si="360"/>
        <v>-11.05341432225064</v>
      </c>
      <c r="GA90" s="10">
        <f t="shared" si="361"/>
        <v>0.19272573395465048</v>
      </c>
      <c r="GB90" s="9">
        <f t="shared" si="275"/>
        <v>12.885330668774174</v>
      </c>
      <c r="GC90" s="8">
        <f t="shared" si="276"/>
        <v>-7.2122243927199188</v>
      </c>
      <c r="GD90" s="8">
        <f t="shared" si="389"/>
        <v>9.6938411100693234E-3</v>
      </c>
      <c r="GE90" s="7">
        <f t="shared" si="390"/>
        <v>3.927682458071402E-4</v>
      </c>
      <c r="GF90" s="6">
        <f t="shared" si="277"/>
        <v>6.3688789764236753E-2</v>
      </c>
      <c r="GG90" s="5">
        <f t="shared" si="278"/>
        <v>0.63145547458848461</v>
      </c>
      <c r="GH90" s="4">
        <f t="shared" si="279"/>
        <v>0.56493359463484016</v>
      </c>
      <c r="GI90" s="4">
        <f t="shared" si="362"/>
        <v>1.9562303872579508E-2</v>
      </c>
      <c r="GJ90" s="4">
        <f t="shared" si="363"/>
        <v>4.2331292343544824E-5</v>
      </c>
      <c r="GK90" s="1"/>
    </row>
    <row r="91" spans="1:193" x14ac:dyDescent="0.4">
      <c r="A91" s="32"/>
      <c r="B91" s="33"/>
      <c r="C91" s="33"/>
      <c r="D91" s="32"/>
      <c r="E91" s="32"/>
      <c r="F91" s="20" t="s">
        <v>84</v>
      </c>
      <c r="G91" s="19">
        <v>900</v>
      </c>
      <c r="H91" s="18">
        <v>1.5</v>
      </c>
      <c r="I91" s="17">
        <v>0.6</v>
      </c>
      <c r="J91" s="16">
        <v>52.63</v>
      </c>
      <c r="K91" s="16">
        <v>1.18</v>
      </c>
      <c r="L91" s="16">
        <v>17.13</v>
      </c>
      <c r="M91" s="16">
        <v>0</v>
      </c>
      <c r="N91" s="16">
        <f t="shared" si="153"/>
        <v>6.3739999999999997</v>
      </c>
      <c r="O91" s="16">
        <v>0</v>
      </c>
      <c r="P91" s="16">
        <v>2.71</v>
      </c>
      <c r="Q91" s="16">
        <v>5.74</v>
      </c>
      <c r="R91" s="16">
        <v>4.38</v>
      </c>
      <c r="S91" s="16">
        <v>1.74</v>
      </c>
      <c r="T91" s="16">
        <v>0</v>
      </c>
      <c r="U91" s="15">
        <v>6</v>
      </c>
      <c r="V91" s="16"/>
      <c r="W91" s="28">
        <f t="shared" si="364"/>
        <v>53.767725062318682</v>
      </c>
      <c r="X91" s="24">
        <f t="shared" si="155"/>
        <v>1.2055085611540193</v>
      </c>
      <c r="Y91" s="24">
        <f t="shared" si="155"/>
        <v>17.500306485227416</v>
      </c>
      <c r="Z91" s="24">
        <f t="shared" si="155"/>
        <v>0</v>
      </c>
      <c r="AA91" s="24">
        <f t="shared" si="155"/>
        <v>6.5117894650811179</v>
      </c>
      <c r="AB91" s="24">
        <f t="shared" si="155"/>
        <v>0</v>
      </c>
      <c r="AC91" s="24">
        <f t="shared" si="393"/>
        <v>2.7685832209554171</v>
      </c>
      <c r="AD91" s="24">
        <f t="shared" si="393"/>
        <v>5.8640840178170093</v>
      </c>
      <c r="AE91" s="24">
        <f t="shared" si="393"/>
        <v>4.4746843202157667</v>
      </c>
      <c r="AF91" s="24">
        <f t="shared" si="393"/>
        <v>1.777614318989825</v>
      </c>
      <c r="AG91" s="24">
        <f t="shared" si="393"/>
        <v>0</v>
      </c>
      <c r="AH91" s="24">
        <f t="shared" si="393"/>
        <v>6.1297045482407766</v>
      </c>
      <c r="AI91" s="14">
        <f t="shared" si="365"/>
        <v>100.00000000000004</v>
      </c>
      <c r="AJ91" s="26"/>
      <c r="AK91" s="50">
        <f t="shared" si="366"/>
        <v>0.89478657118187188</v>
      </c>
      <c r="AL91" s="47">
        <f t="shared" si="367"/>
        <v>1.5087716660250553E-2</v>
      </c>
      <c r="AM91" s="47">
        <f t="shared" si="368"/>
        <v>0.17163894159697349</v>
      </c>
      <c r="AN91" s="49">
        <f t="shared" si="369"/>
        <v>0</v>
      </c>
      <c r="AO91" s="49">
        <f t="shared" si="370"/>
        <v>9.0630333543230593E-2</v>
      </c>
      <c r="AP91" s="47">
        <f t="shared" si="371"/>
        <v>0</v>
      </c>
      <c r="AQ91" s="47">
        <f t="shared" si="372"/>
        <v>6.8665258456235542E-2</v>
      </c>
      <c r="AR91" s="47">
        <f t="shared" si="373"/>
        <v>0.10456640545322771</v>
      </c>
      <c r="AS91" s="47">
        <f t="shared" si="374"/>
        <v>7.2195616654013667E-2</v>
      </c>
      <c r="AT91" s="47">
        <f t="shared" si="375"/>
        <v>1.8870640328979033E-2</v>
      </c>
      <c r="AU91" s="47">
        <f t="shared" si="376"/>
        <v>0</v>
      </c>
      <c r="AV91" s="47">
        <f t="shared" si="377"/>
        <v>0.34016118469704643</v>
      </c>
      <c r="AW91" s="47">
        <f t="shared" si="378"/>
        <v>1.4364414838747823</v>
      </c>
      <c r="AX91" s="47">
        <f t="shared" si="379"/>
        <v>7.0476310163606323E-2</v>
      </c>
      <c r="AY91" s="46">
        <f t="shared" si="380"/>
        <v>1.0080212845781266E-2</v>
      </c>
      <c r="AZ91" s="26"/>
      <c r="BA91" s="23">
        <f t="shared" si="295"/>
        <v>0.62291891540767586</v>
      </c>
      <c r="BB91" s="13">
        <f t="shared" si="296"/>
        <v>1.0503537268745283E-2</v>
      </c>
      <c r="BC91" s="13">
        <f t="shared" si="297"/>
        <v>0.11948898964821014</v>
      </c>
      <c r="BD91" s="13">
        <f t="shared" si="298"/>
        <v>0</v>
      </c>
      <c r="BE91" s="13">
        <f t="shared" si="299"/>
        <v>6.309364813020886E-2</v>
      </c>
      <c r="BF91" s="13">
        <f t="shared" si="300"/>
        <v>4.9063126451554008E-2</v>
      </c>
      <c r="BG91" s="13">
        <f t="shared" si="301"/>
        <v>7.0174893714361562E-3</v>
      </c>
      <c r="BH91" s="13">
        <f t="shared" si="302"/>
        <v>0</v>
      </c>
      <c r="BI91" s="13">
        <f t="shared" si="303"/>
        <v>4.7802335999801326E-2</v>
      </c>
      <c r="BJ91" s="13">
        <f t="shared" si="304"/>
        <v>7.2795450860386732E-2</v>
      </c>
      <c r="BK91" s="13">
        <f t="shared" si="305"/>
        <v>5.0260047112581939E-2</v>
      </c>
      <c r="BL91" s="13">
        <f t="shared" si="306"/>
        <v>1.3137075572389989E-2</v>
      </c>
      <c r="BM91" s="13">
        <f t="shared" si="307"/>
        <v>0</v>
      </c>
      <c r="BN91" s="13">
        <f t="shared" si="308"/>
        <v>0.23680824350704913</v>
      </c>
      <c r="BO91" s="12">
        <f t="shared" si="309"/>
        <v>1.0000000000000002</v>
      </c>
      <c r="BP91" s="13"/>
      <c r="BQ91" s="23">
        <f t="shared" si="310"/>
        <v>1.7895731423637438</v>
      </c>
      <c r="BR91" s="13">
        <f t="shared" si="311"/>
        <v>3.0175433320501106E-2</v>
      </c>
      <c r="BS91" s="13">
        <f t="shared" si="312"/>
        <v>0.51471489662433578</v>
      </c>
      <c r="BT91" s="13">
        <f t="shared" si="313"/>
        <v>0</v>
      </c>
      <c r="BU91" s="13">
        <f t="shared" si="314"/>
        <v>9.0630333543230593E-2</v>
      </c>
      <c r="BV91" s="13">
        <f t="shared" si="315"/>
        <v>7.0476310163606323E-2</v>
      </c>
      <c r="BW91" s="24">
        <f t="shared" si="316"/>
        <v>3.0240638537343798E-2</v>
      </c>
      <c r="BX91" s="13">
        <f t="shared" si="317"/>
        <v>0</v>
      </c>
      <c r="BY91" s="13">
        <f t="shared" si="318"/>
        <v>6.8699335507578591E-2</v>
      </c>
      <c r="BZ91" s="13">
        <f t="shared" si="319"/>
        <v>0.10452912687730855</v>
      </c>
      <c r="CA91" s="13">
        <f t="shared" si="320"/>
        <v>7.2172327745415585E-2</v>
      </c>
      <c r="CB91" s="13">
        <f t="shared" si="321"/>
        <v>1.8870640328979033E-2</v>
      </c>
      <c r="CC91" s="13">
        <f t="shared" si="322"/>
        <v>0</v>
      </c>
      <c r="CD91" s="13">
        <f t="shared" si="323"/>
        <v>0.34016118469704643</v>
      </c>
      <c r="CE91" s="12">
        <f t="shared" si="324"/>
        <v>3.0295264210081392</v>
      </c>
      <c r="CF91" s="13"/>
      <c r="CG91" s="23">
        <f t="shared" si="395"/>
        <v>0.59071052490383147</v>
      </c>
      <c r="CH91" s="13">
        <f t="shared" si="395"/>
        <v>9.9604456694124457E-3</v>
      </c>
      <c r="CI91" s="13">
        <f t="shared" si="395"/>
        <v>0.16989945790043762</v>
      </c>
      <c r="CJ91" s="13">
        <f t="shared" si="395"/>
        <v>0</v>
      </c>
      <c r="CK91" s="13">
        <f t="shared" si="395"/>
        <v>2.991567689086911E-2</v>
      </c>
      <c r="CL91" s="13">
        <f t="shared" si="395"/>
        <v>2.3263144257429463E-2</v>
      </c>
      <c r="CM91" s="13">
        <f t="shared" si="395"/>
        <v>9.9819689069688272E-3</v>
      </c>
      <c r="CN91" s="13">
        <f t="shared" si="395"/>
        <v>0</v>
      </c>
      <c r="CO91" s="13">
        <f t="shared" si="395"/>
        <v>2.2676592298778313E-2</v>
      </c>
      <c r="CP91" s="13">
        <f t="shared" si="395"/>
        <v>3.4503454451644711E-2</v>
      </c>
      <c r="CQ91" s="13">
        <f t="shared" si="395"/>
        <v>2.3822973533070793E-2</v>
      </c>
      <c r="CR91" s="13">
        <f t="shared" si="394"/>
        <v>6.2289076596663004E-3</v>
      </c>
      <c r="CS91" s="13">
        <f t="shared" si="394"/>
        <v>0</v>
      </c>
      <c r="CT91" s="13">
        <f t="shared" si="394"/>
        <v>0.11228196669228935</v>
      </c>
      <c r="CU91" s="12">
        <f t="shared" si="325"/>
        <v>1.0000000000000002</v>
      </c>
      <c r="CV91" s="26"/>
      <c r="CW91" s="23">
        <f t="shared" si="326"/>
        <v>0.89478657118187188</v>
      </c>
      <c r="CX91" s="13">
        <f t="shared" si="327"/>
        <v>1.5087716660250553E-2</v>
      </c>
      <c r="CY91" s="13">
        <f t="shared" si="328"/>
        <v>0.34314326441622384</v>
      </c>
      <c r="CZ91" s="13">
        <f t="shared" si="329"/>
        <v>0</v>
      </c>
      <c r="DA91" s="13">
        <f t="shared" si="330"/>
        <v>7.9944289693593323E-2</v>
      </c>
      <c r="DB91" s="13">
        <f t="shared" si="331"/>
        <v>7.0476310163606323E-2</v>
      </c>
      <c r="DC91" s="24">
        <f t="shared" si="332"/>
        <v>2.0160425691562532E-2</v>
      </c>
      <c r="DD91" s="13">
        <f t="shared" si="333"/>
        <v>0</v>
      </c>
      <c r="DE91" s="13">
        <f t="shared" si="334"/>
        <v>6.8699335507578591E-2</v>
      </c>
      <c r="DF91" s="13">
        <f t="shared" si="335"/>
        <v>0.10452912687730855</v>
      </c>
      <c r="DG91" s="13">
        <f t="shared" si="336"/>
        <v>0.14434465549083117</v>
      </c>
      <c r="DH91" s="13">
        <f t="shared" si="337"/>
        <v>3.7741280657958065E-2</v>
      </c>
      <c r="DI91" s="13">
        <f t="shared" si="338"/>
        <v>0</v>
      </c>
      <c r="DJ91" s="13">
        <f t="shared" si="381"/>
        <v>0.68032236939409285</v>
      </c>
      <c r="DK91" s="12">
        <f t="shared" si="382"/>
        <v>2.3685986098797089</v>
      </c>
      <c r="DL91" s="26"/>
      <c r="DM91" s="23">
        <f t="shared" si="152"/>
        <v>0.3777704535709891</v>
      </c>
      <c r="DN91" s="13">
        <f t="shared" si="152"/>
        <v>6.3698917145851037E-3</v>
      </c>
      <c r="DO91" s="13">
        <f t="shared" si="152"/>
        <v>0.14487185080027157</v>
      </c>
      <c r="DP91" s="13">
        <f t="shared" si="152"/>
        <v>0</v>
      </c>
      <c r="DQ91" s="13">
        <f t="shared" si="152"/>
        <v>3.3751725328274744E-2</v>
      </c>
      <c r="DR91" s="13">
        <f t="shared" si="294"/>
        <v>2.9754433642594055E-2</v>
      </c>
      <c r="DS91" s="13">
        <f t="shared" si="294"/>
        <v>8.5115416379419363E-3</v>
      </c>
      <c r="DT91" s="13">
        <f t="shared" si="294"/>
        <v>0</v>
      </c>
      <c r="DU91" s="13">
        <f t="shared" ref="DU91:DZ95" si="396">IF(OR($DK91="",DE91=""),"",DE91/$DK91)</f>
        <v>2.9004211697594273E-2</v>
      </c>
      <c r="DV91" s="13">
        <f t="shared" si="396"/>
        <v>4.4131211781221612E-2</v>
      </c>
      <c r="DW91" s="13">
        <f t="shared" si="396"/>
        <v>6.0940952548377045E-2</v>
      </c>
      <c r="DX91" s="13">
        <f t="shared" si="396"/>
        <v>1.5934012838027794E-2</v>
      </c>
      <c r="DY91" s="13">
        <f t="shared" si="396"/>
        <v>0</v>
      </c>
      <c r="DZ91" s="13">
        <f t="shared" si="396"/>
        <v>0.28722568972065871</v>
      </c>
      <c r="EA91" s="12">
        <f t="shared" si="339"/>
        <v>1</v>
      </c>
      <c r="EB91" s="26"/>
      <c r="EC91" s="30">
        <f t="shared" si="340"/>
        <v>1173</v>
      </c>
      <c r="ED91" s="14">
        <f t="shared" si="341"/>
        <v>1500000000</v>
      </c>
      <c r="EE91" s="29"/>
      <c r="EF91" s="184">
        <f t="shared" si="391"/>
        <v>-10.65341432225064</v>
      </c>
      <c r="EG91" s="13">
        <f t="shared" si="383"/>
        <v>0.6</v>
      </c>
      <c r="EH91" s="13">
        <f t="shared" si="384"/>
        <v>0.6515473145780053</v>
      </c>
      <c r="EI91" s="12">
        <f t="shared" si="342"/>
        <v>5.3760434782608684</v>
      </c>
      <c r="EJ91" s="29"/>
      <c r="EK91" s="28">
        <f t="shared" si="385"/>
        <v>-1.9450198679542527</v>
      </c>
      <c r="EL91" s="24">
        <f t="shared" si="343"/>
        <v>-0.84455921318030946</v>
      </c>
      <c r="EM91" s="24">
        <f t="shared" si="386"/>
        <v>0.14298438250270176</v>
      </c>
      <c r="EN91" s="24">
        <f t="shared" si="344"/>
        <v>4.9063126451554015E-2</v>
      </c>
      <c r="EO91" s="24">
        <f t="shared" si="345"/>
        <v>7.0152608393274241E-3</v>
      </c>
      <c r="EP91" s="24">
        <f t="shared" si="346"/>
        <v>0.22237613602084802</v>
      </c>
      <c r="EQ91" s="24">
        <f t="shared" si="347"/>
        <v>-1.944702249227489</v>
      </c>
      <c r="ER91" s="24">
        <f t="shared" si="348"/>
        <v>-24.527966558096839</v>
      </c>
      <c r="ES91" s="25">
        <f t="shared" si="349"/>
        <v>-10.650441406034233</v>
      </c>
      <c r="ET91" s="26"/>
      <c r="EU91" s="23">
        <f t="shared" si="392"/>
        <v>-3.7461200879922849</v>
      </c>
      <c r="EV91" s="12">
        <f t="shared" si="350"/>
        <v>1.7939155575374954E-4</v>
      </c>
      <c r="EW91" s="26"/>
      <c r="EX91" s="27">
        <f t="shared" si="351"/>
        <v>0.11181576977811693</v>
      </c>
      <c r="EY91" s="26"/>
      <c r="EZ91" s="23">
        <f t="shared" si="281"/>
        <v>-8.3698223188274223</v>
      </c>
      <c r="FA91" s="13">
        <f t="shared" si="352"/>
        <v>15.605773479343469</v>
      </c>
      <c r="FB91" s="13">
        <f t="shared" si="282"/>
        <v>-27.172509068173227</v>
      </c>
      <c r="FC91" s="13">
        <f t="shared" si="283"/>
        <v>2.0873188505369384</v>
      </c>
      <c r="FD91" s="12">
        <f t="shared" si="353"/>
        <v>0.88966451464088858</v>
      </c>
      <c r="FE91" s="13"/>
      <c r="FF91" s="23">
        <f t="shared" si="284"/>
        <v>-7.143791115941351</v>
      </c>
      <c r="FG91" s="13">
        <f t="shared" si="285"/>
        <v>13.814764289861159</v>
      </c>
      <c r="FH91" s="13">
        <f t="shared" si="286"/>
        <v>15.215974285169665</v>
      </c>
      <c r="FI91" s="24">
        <f t="shared" si="287"/>
        <v>0.30961308800487719</v>
      </c>
      <c r="FJ91" s="25">
        <f t="shared" si="288"/>
        <v>0.91867481601983225</v>
      </c>
      <c r="FK91" s="13"/>
      <c r="FL91" s="23">
        <f t="shared" si="354"/>
        <v>12.885330668774174</v>
      </c>
      <c r="FM91" s="13">
        <f t="shared" si="355"/>
        <v>-7.2197794766183936</v>
      </c>
      <c r="FN91" s="13">
        <f t="shared" si="289"/>
        <v>-1.2017184991087149</v>
      </c>
      <c r="FO91" s="13">
        <f t="shared" si="356"/>
        <v>5.913041543350972E-2</v>
      </c>
      <c r="FP91" s="23">
        <f t="shared" si="290"/>
        <v>-2.5981379364488681</v>
      </c>
      <c r="FQ91" s="13">
        <f t="shared" si="291"/>
        <v>2.5163315182569201E-3</v>
      </c>
      <c r="FR91" s="13">
        <f t="shared" si="292"/>
        <v>-2.0508233584437541</v>
      </c>
      <c r="FS91" s="13">
        <f t="shared" si="387"/>
        <v>8.8171940977568308E-3</v>
      </c>
      <c r="FT91" s="13">
        <f t="shared" si="293"/>
        <v>-2.738802898085698</v>
      </c>
      <c r="FU91" s="12">
        <f t="shared" si="388"/>
        <v>1.8214001023284521E-3</v>
      </c>
      <c r="FV91" s="22"/>
      <c r="FW91" s="11">
        <f t="shared" si="357"/>
        <v>0.6</v>
      </c>
      <c r="FX91" s="10">
        <f t="shared" si="358"/>
        <v>0.6515473145780053</v>
      </c>
      <c r="FY91" s="10">
        <f t="shared" si="359"/>
        <v>5.3760434782608684</v>
      </c>
      <c r="FZ91" s="5">
        <f t="shared" si="360"/>
        <v>-10.65341432225064</v>
      </c>
      <c r="GA91" s="10">
        <f t="shared" si="361"/>
        <v>0.22237613602084802</v>
      </c>
      <c r="GB91" s="9">
        <f t="shared" si="275"/>
        <v>12.885330668774174</v>
      </c>
      <c r="GC91" s="8">
        <f t="shared" si="276"/>
        <v>-7.2197794766183936</v>
      </c>
      <c r="GD91" s="8">
        <f t="shared" si="389"/>
        <v>5.913041543350972E-2</v>
      </c>
      <c r="GE91" s="7">
        <f t="shared" si="390"/>
        <v>2.5163315182569201E-3</v>
      </c>
      <c r="GF91" s="6">
        <f t="shared" si="277"/>
        <v>0.30961308800487719</v>
      </c>
      <c r="GG91" s="5">
        <f t="shared" si="278"/>
        <v>0.91867481601983225</v>
      </c>
      <c r="GH91" s="4">
        <f t="shared" si="279"/>
        <v>0.88966451464088858</v>
      </c>
      <c r="GI91" s="4">
        <f t="shared" si="362"/>
        <v>0.11181576977811693</v>
      </c>
      <c r="GJ91" s="4">
        <f t="shared" si="363"/>
        <v>1.7939155575374954E-4</v>
      </c>
      <c r="GK91" s="1"/>
    </row>
    <row r="92" spans="1:193" x14ac:dyDescent="0.4">
      <c r="A92" s="32"/>
      <c r="B92" s="33"/>
      <c r="C92" s="33"/>
      <c r="D92" s="32"/>
      <c r="E92" s="32"/>
      <c r="F92" s="20" t="s">
        <v>84</v>
      </c>
      <c r="G92" s="19">
        <v>900</v>
      </c>
      <c r="H92" s="18">
        <v>1.5</v>
      </c>
      <c r="I92" s="17">
        <v>1</v>
      </c>
      <c r="J92" s="16">
        <v>52.63</v>
      </c>
      <c r="K92" s="16">
        <v>1.18</v>
      </c>
      <c r="L92" s="16">
        <v>17.13</v>
      </c>
      <c r="M92" s="16">
        <v>0</v>
      </c>
      <c r="N92" s="16">
        <f t="shared" si="153"/>
        <v>6.3739999999999997</v>
      </c>
      <c r="O92" s="16">
        <v>0</v>
      </c>
      <c r="P92" s="16">
        <v>2.71</v>
      </c>
      <c r="Q92" s="16">
        <v>5.74</v>
      </c>
      <c r="R92" s="16">
        <v>4.38</v>
      </c>
      <c r="S92" s="16">
        <v>1.74</v>
      </c>
      <c r="T92" s="16">
        <v>0</v>
      </c>
      <c r="U92" s="15">
        <v>6</v>
      </c>
      <c r="V92" s="16"/>
      <c r="W92" s="28">
        <f t="shared" si="364"/>
        <v>53.767725062318682</v>
      </c>
      <c r="X92" s="24">
        <f t="shared" si="155"/>
        <v>1.2055085611540193</v>
      </c>
      <c r="Y92" s="24">
        <f t="shared" si="155"/>
        <v>17.500306485227416</v>
      </c>
      <c r="Z92" s="24">
        <f t="shared" si="155"/>
        <v>0</v>
      </c>
      <c r="AA92" s="24">
        <f t="shared" si="155"/>
        <v>6.5117894650811179</v>
      </c>
      <c r="AB92" s="24">
        <f t="shared" si="155"/>
        <v>0</v>
      </c>
      <c r="AC92" s="24">
        <f t="shared" si="393"/>
        <v>2.7685832209554171</v>
      </c>
      <c r="AD92" s="24">
        <f t="shared" si="393"/>
        <v>5.8640840178170093</v>
      </c>
      <c r="AE92" s="24">
        <f t="shared" si="393"/>
        <v>4.4746843202157667</v>
      </c>
      <c r="AF92" s="24">
        <f t="shared" si="393"/>
        <v>1.777614318989825</v>
      </c>
      <c r="AG92" s="24">
        <f t="shared" si="393"/>
        <v>0</v>
      </c>
      <c r="AH92" s="24">
        <f t="shared" si="393"/>
        <v>6.1297045482407766</v>
      </c>
      <c r="AI92" s="14">
        <f t="shared" si="365"/>
        <v>100.00000000000004</v>
      </c>
      <c r="AJ92" s="26"/>
      <c r="AK92" s="50">
        <f t="shared" si="366"/>
        <v>0.89478657118187188</v>
      </c>
      <c r="AL92" s="47">
        <f t="shared" si="367"/>
        <v>1.5087716660250553E-2</v>
      </c>
      <c r="AM92" s="47">
        <f t="shared" si="368"/>
        <v>0.17163894159697349</v>
      </c>
      <c r="AN92" s="49">
        <f t="shared" si="369"/>
        <v>0</v>
      </c>
      <c r="AO92" s="49">
        <f t="shared" si="370"/>
        <v>9.0630333543230593E-2</v>
      </c>
      <c r="AP92" s="47">
        <f t="shared" si="371"/>
        <v>0</v>
      </c>
      <c r="AQ92" s="47">
        <f t="shared" si="372"/>
        <v>6.8665258456235542E-2</v>
      </c>
      <c r="AR92" s="47">
        <f t="shared" si="373"/>
        <v>0.10456640545322771</v>
      </c>
      <c r="AS92" s="47">
        <f t="shared" si="374"/>
        <v>7.2195616654013667E-2</v>
      </c>
      <c r="AT92" s="47">
        <f t="shared" si="375"/>
        <v>1.8870640328979033E-2</v>
      </c>
      <c r="AU92" s="47">
        <f t="shared" si="376"/>
        <v>0</v>
      </c>
      <c r="AV92" s="47">
        <f t="shared" si="377"/>
        <v>0.34016118469704643</v>
      </c>
      <c r="AW92" s="47">
        <f t="shared" si="378"/>
        <v>1.4364414838747823</v>
      </c>
      <c r="AX92" s="47">
        <f t="shared" si="379"/>
        <v>6.7506327197514288E-2</v>
      </c>
      <c r="AY92" s="46">
        <f t="shared" si="380"/>
        <v>1.1565676064843511E-2</v>
      </c>
      <c r="AZ92" s="26"/>
      <c r="BA92" s="23">
        <f t="shared" si="295"/>
        <v>0.62291891540767586</v>
      </c>
      <c r="BB92" s="13">
        <f t="shared" si="296"/>
        <v>1.0503537268745283E-2</v>
      </c>
      <c r="BC92" s="13">
        <f t="shared" si="297"/>
        <v>0.11948898964821014</v>
      </c>
      <c r="BD92" s="13">
        <f t="shared" si="298"/>
        <v>0</v>
      </c>
      <c r="BE92" s="13">
        <f t="shared" si="299"/>
        <v>6.309364813020886E-2</v>
      </c>
      <c r="BF92" s="13">
        <f t="shared" si="300"/>
        <v>4.6995528850515264E-2</v>
      </c>
      <c r="BG92" s="13">
        <f t="shared" si="301"/>
        <v>8.0516165779654664E-3</v>
      </c>
      <c r="BH92" s="13">
        <f t="shared" si="302"/>
        <v>0</v>
      </c>
      <c r="BI92" s="13">
        <f t="shared" si="303"/>
        <v>4.7802335999801326E-2</v>
      </c>
      <c r="BJ92" s="13">
        <f t="shared" si="304"/>
        <v>7.2795450860386732E-2</v>
      </c>
      <c r="BK92" s="13">
        <f t="shared" si="305"/>
        <v>5.0260047112581939E-2</v>
      </c>
      <c r="BL92" s="13">
        <f t="shared" si="306"/>
        <v>1.3137075572389989E-2</v>
      </c>
      <c r="BM92" s="13">
        <f t="shared" si="307"/>
        <v>0</v>
      </c>
      <c r="BN92" s="13">
        <f t="shared" si="308"/>
        <v>0.23680824350704913</v>
      </c>
      <c r="BO92" s="12">
        <f t="shared" si="309"/>
        <v>1.0000000000000002</v>
      </c>
      <c r="BP92" s="13"/>
      <c r="BQ92" s="23">
        <f t="shared" si="310"/>
        <v>1.7895731423637438</v>
      </c>
      <c r="BR92" s="13">
        <f t="shared" si="311"/>
        <v>3.0175433320501106E-2</v>
      </c>
      <c r="BS92" s="13">
        <f t="shared" si="312"/>
        <v>0.51471489662433578</v>
      </c>
      <c r="BT92" s="13">
        <f t="shared" si="313"/>
        <v>0</v>
      </c>
      <c r="BU92" s="13">
        <f t="shared" si="314"/>
        <v>9.0630333543230593E-2</v>
      </c>
      <c r="BV92" s="13">
        <f t="shared" si="315"/>
        <v>6.7506327197514288E-2</v>
      </c>
      <c r="BW92" s="24">
        <f t="shared" si="316"/>
        <v>3.4697028194530535E-2</v>
      </c>
      <c r="BX92" s="13">
        <f t="shared" si="317"/>
        <v>0</v>
      </c>
      <c r="BY92" s="13">
        <f t="shared" si="318"/>
        <v>6.8699335507578591E-2</v>
      </c>
      <c r="BZ92" s="13">
        <f t="shared" si="319"/>
        <v>0.10452912687730855</v>
      </c>
      <c r="CA92" s="13">
        <f t="shared" si="320"/>
        <v>7.2172327745415585E-2</v>
      </c>
      <c r="CB92" s="13">
        <f t="shared" si="321"/>
        <v>1.8870640328979033E-2</v>
      </c>
      <c r="CC92" s="13">
        <f t="shared" si="322"/>
        <v>0</v>
      </c>
      <c r="CD92" s="13">
        <f t="shared" si="323"/>
        <v>0.34016118469704643</v>
      </c>
      <c r="CE92" s="12">
        <f t="shared" si="324"/>
        <v>3.0295264210081392</v>
      </c>
      <c r="CF92" s="13"/>
      <c r="CG92" s="23">
        <f t="shared" si="395"/>
        <v>0.59071052490383147</v>
      </c>
      <c r="CH92" s="13">
        <f t="shared" si="395"/>
        <v>9.9604456694124457E-3</v>
      </c>
      <c r="CI92" s="13">
        <f t="shared" si="395"/>
        <v>0.16989945790043762</v>
      </c>
      <c r="CJ92" s="13">
        <f t="shared" si="395"/>
        <v>0</v>
      </c>
      <c r="CK92" s="13">
        <f t="shared" si="395"/>
        <v>2.991567689086911E-2</v>
      </c>
      <c r="CL92" s="13">
        <f t="shared" si="395"/>
        <v>2.2282798634596535E-2</v>
      </c>
      <c r="CM92" s="13">
        <f t="shared" si="395"/>
        <v>1.1452954479593005E-2</v>
      </c>
      <c r="CN92" s="13">
        <f t="shared" si="395"/>
        <v>0</v>
      </c>
      <c r="CO92" s="13">
        <f t="shared" si="395"/>
        <v>2.2676592298778313E-2</v>
      </c>
      <c r="CP92" s="13">
        <f t="shared" si="395"/>
        <v>3.4503454451644711E-2</v>
      </c>
      <c r="CQ92" s="13">
        <f t="shared" si="395"/>
        <v>2.3822973533070793E-2</v>
      </c>
      <c r="CR92" s="13">
        <f t="shared" si="394"/>
        <v>6.2289076596663004E-3</v>
      </c>
      <c r="CS92" s="13">
        <f t="shared" si="394"/>
        <v>0</v>
      </c>
      <c r="CT92" s="13">
        <f t="shared" si="394"/>
        <v>0.11228196669228935</v>
      </c>
      <c r="CU92" s="12">
        <f t="shared" si="325"/>
        <v>1.0000000000000002</v>
      </c>
      <c r="CV92" s="26"/>
      <c r="CW92" s="23">
        <f t="shared" si="326"/>
        <v>0.89478657118187188</v>
      </c>
      <c r="CX92" s="13">
        <f t="shared" si="327"/>
        <v>1.5087716660250553E-2</v>
      </c>
      <c r="CY92" s="13">
        <f t="shared" si="328"/>
        <v>0.34314326441622384</v>
      </c>
      <c r="CZ92" s="13">
        <f t="shared" si="329"/>
        <v>0</v>
      </c>
      <c r="DA92" s="13">
        <f t="shared" si="330"/>
        <v>7.9944289693593323E-2</v>
      </c>
      <c r="DB92" s="13">
        <f t="shared" si="331"/>
        <v>6.7506327197514288E-2</v>
      </c>
      <c r="DC92" s="24">
        <f t="shared" si="332"/>
        <v>2.3131352129687022E-2</v>
      </c>
      <c r="DD92" s="13">
        <f t="shared" si="333"/>
        <v>0</v>
      </c>
      <c r="DE92" s="13">
        <f t="shared" si="334"/>
        <v>6.8699335507578591E-2</v>
      </c>
      <c r="DF92" s="13">
        <f t="shared" si="335"/>
        <v>0.10452912687730855</v>
      </c>
      <c r="DG92" s="13">
        <f t="shared" si="336"/>
        <v>0.14434465549083117</v>
      </c>
      <c r="DH92" s="13">
        <f t="shared" si="337"/>
        <v>3.7741280657958065E-2</v>
      </c>
      <c r="DI92" s="13">
        <f t="shared" si="338"/>
        <v>0</v>
      </c>
      <c r="DJ92" s="13">
        <f t="shared" si="381"/>
        <v>0.68032236939409285</v>
      </c>
      <c r="DK92" s="12">
        <f t="shared" si="382"/>
        <v>2.3685986098797089</v>
      </c>
      <c r="DL92" s="26"/>
      <c r="DM92" s="23">
        <f t="shared" si="152"/>
        <v>0.3777704535709891</v>
      </c>
      <c r="DN92" s="13">
        <f t="shared" si="152"/>
        <v>6.3698917145851037E-3</v>
      </c>
      <c r="DO92" s="13">
        <f t="shared" si="152"/>
        <v>0.14487185080027157</v>
      </c>
      <c r="DP92" s="13">
        <f t="shared" si="152"/>
        <v>0</v>
      </c>
      <c r="DQ92" s="13">
        <f t="shared" si="152"/>
        <v>3.3751725328274744E-2</v>
      </c>
      <c r="DR92" s="13">
        <f t="shared" si="152"/>
        <v>2.8500534837746377E-2</v>
      </c>
      <c r="DS92" s="13">
        <f t="shared" si="152"/>
        <v>9.7658387677858876E-3</v>
      </c>
      <c r="DT92" s="13">
        <f t="shared" si="152"/>
        <v>0</v>
      </c>
      <c r="DU92" s="13">
        <f t="shared" si="396"/>
        <v>2.9004211697594273E-2</v>
      </c>
      <c r="DV92" s="13">
        <f t="shared" si="396"/>
        <v>4.4131211781221612E-2</v>
      </c>
      <c r="DW92" s="13">
        <f t="shared" si="396"/>
        <v>6.0940952548377045E-2</v>
      </c>
      <c r="DX92" s="13">
        <f t="shared" si="396"/>
        <v>1.5934012838027794E-2</v>
      </c>
      <c r="DY92" s="13">
        <f t="shared" si="396"/>
        <v>0</v>
      </c>
      <c r="DZ92" s="13">
        <f t="shared" si="396"/>
        <v>0.28722568972065871</v>
      </c>
      <c r="EA92" s="12">
        <f t="shared" si="339"/>
        <v>1</v>
      </c>
      <c r="EB92" s="26"/>
      <c r="EC92" s="30">
        <f t="shared" si="340"/>
        <v>1173</v>
      </c>
      <c r="ED92" s="14">
        <f t="shared" si="341"/>
        <v>1500000000</v>
      </c>
      <c r="EE92" s="29"/>
      <c r="EF92" s="184">
        <f t="shared" si="391"/>
        <v>-10.25341432225064</v>
      </c>
      <c r="EG92" s="13">
        <f t="shared" si="383"/>
        <v>1</v>
      </c>
      <c r="EH92" s="13">
        <f t="shared" si="384"/>
        <v>1.0515473145780057</v>
      </c>
      <c r="EI92" s="12">
        <f t="shared" si="342"/>
        <v>5.7760434782608687</v>
      </c>
      <c r="EJ92" s="29"/>
      <c r="EK92" s="28">
        <f t="shared" si="385"/>
        <v>-1.7644971966635197</v>
      </c>
      <c r="EL92" s="24">
        <f t="shared" si="343"/>
        <v>-0.76617333767412932</v>
      </c>
      <c r="EM92" s="24">
        <f t="shared" si="386"/>
        <v>0.17127288141494212</v>
      </c>
      <c r="EN92" s="24">
        <f t="shared" si="344"/>
        <v>4.6995528850515271E-2</v>
      </c>
      <c r="EO92" s="24">
        <f t="shared" si="345"/>
        <v>8.0490596398467926E-3</v>
      </c>
      <c r="EP92" s="24">
        <f t="shared" si="346"/>
        <v>0.25514643322686398</v>
      </c>
      <c r="EQ92" s="24">
        <f t="shared" si="347"/>
        <v>-1.7641795779367557</v>
      </c>
      <c r="ER92" s="24">
        <f t="shared" si="348"/>
        <v>-23.606932520899221</v>
      </c>
      <c r="ES92" s="25">
        <f t="shared" si="349"/>
        <v>-10.250513469778213</v>
      </c>
      <c r="ET92" s="26"/>
      <c r="EU92" s="23">
        <f t="shared" si="392"/>
        <v>-3.1189200879922865</v>
      </c>
      <c r="EV92" s="12">
        <f t="shared" si="350"/>
        <v>7.5988832365825321E-4</v>
      </c>
      <c r="EW92" s="26"/>
      <c r="EX92" s="27">
        <f t="shared" si="351"/>
        <v>0.44268836623770724</v>
      </c>
      <c r="EY92" s="26"/>
      <c r="EZ92" s="23">
        <f t="shared" si="281"/>
        <v>-8.3698223188274223</v>
      </c>
      <c r="FA92" s="13">
        <f t="shared" si="352"/>
        <v>15.588135516615434</v>
      </c>
      <c r="FB92" s="13">
        <f t="shared" si="282"/>
        <v>-27.172509068173227</v>
      </c>
      <c r="FC92" s="13">
        <f t="shared" si="283"/>
        <v>3.9117489622041433</v>
      </c>
      <c r="FD92" s="12">
        <f t="shared" si="353"/>
        <v>0.98038688813332686</v>
      </c>
      <c r="FE92" s="13"/>
      <c r="FF92" s="23">
        <f t="shared" si="284"/>
        <v>-7.1648831726194704</v>
      </c>
      <c r="FG92" s="13">
        <f t="shared" si="285"/>
        <v>13.814764289861159</v>
      </c>
      <c r="FH92" s="13">
        <f t="shared" si="286"/>
        <v>15.215974285169665</v>
      </c>
      <c r="FI92" s="24">
        <f t="shared" si="287"/>
        <v>0.74813789212437565</v>
      </c>
      <c r="FJ92" s="25">
        <f t="shared" si="288"/>
        <v>0.98681120077420659</v>
      </c>
      <c r="FK92" s="13"/>
      <c r="FL92" s="23">
        <f t="shared" si="354"/>
        <v>12.885330668774174</v>
      </c>
      <c r="FM92" s="13">
        <f t="shared" si="355"/>
        <v>-7.2281297119548462</v>
      </c>
      <c r="FN92" s="13">
        <f t="shared" si="289"/>
        <v>-0.39336826377225975</v>
      </c>
      <c r="FO92" s="13">
        <f t="shared" si="356"/>
        <v>0.28786745583442119</v>
      </c>
      <c r="FP92" s="23">
        <f t="shared" si="290"/>
        <v>-1.789787701112413</v>
      </c>
      <c r="FQ92" s="13">
        <f t="shared" si="291"/>
        <v>1.5966950672270164E-2</v>
      </c>
      <c r="FR92" s="13">
        <f t="shared" si="292"/>
        <v>-1.242473123107299</v>
      </c>
      <c r="FS92" s="13">
        <f t="shared" si="387"/>
        <v>5.412060488127246E-2</v>
      </c>
      <c r="FT92" s="13">
        <f t="shared" si="293"/>
        <v>-1.9304526627492429</v>
      </c>
      <c r="FU92" s="12">
        <f t="shared" si="388"/>
        <v>1.1600583055323077E-2</v>
      </c>
      <c r="FV92" s="22"/>
      <c r="FW92" s="11">
        <f t="shared" si="357"/>
        <v>1</v>
      </c>
      <c r="FX92" s="10">
        <f t="shared" si="358"/>
        <v>1.0515473145780057</v>
      </c>
      <c r="FY92" s="10">
        <f t="shared" si="359"/>
        <v>5.7760434782608687</v>
      </c>
      <c r="FZ92" s="5">
        <f t="shared" si="360"/>
        <v>-10.25341432225064</v>
      </c>
      <c r="GA92" s="10">
        <f t="shared" si="361"/>
        <v>0.25514643322686398</v>
      </c>
      <c r="GB92" s="9">
        <f t="shared" si="275"/>
        <v>12.885330668774174</v>
      </c>
      <c r="GC92" s="8">
        <f t="shared" si="276"/>
        <v>-7.2281297119548462</v>
      </c>
      <c r="GD92" s="8">
        <f t="shared" si="389"/>
        <v>0.28786745583442119</v>
      </c>
      <c r="GE92" s="7">
        <f t="shared" si="390"/>
        <v>1.5966950672270164E-2</v>
      </c>
      <c r="GF92" s="6">
        <f t="shared" si="277"/>
        <v>0.74813789212437565</v>
      </c>
      <c r="GG92" s="5">
        <f t="shared" si="278"/>
        <v>0.98681120077420659</v>
      </c>
      <c r="GH92" s="4">
        <f t="shared" si="279"/>
        <v>0.98038688813332686</v>
      </c>
      <c r="GI92" s="4">
        <f t="shared" si="362"/>
        <v>0.44268836623770724</v>
      </c>
      <c r="GJ92" s="4">
        <f t="shared" si="363"/>
        <v>7.5988832365825321E-4</v>
      </c>
      <c r="GK92" s="1"/>
    </row>
    <row r="93" spans="1:193" x14ac:dyDescent="0.4">
      <c r="A93" s="32"/>
      <c r="B93" s="33"/>
      <c r="C93" s="33"/>
      <c r="D93" s="32"/>
      <c r="E93" s="32"/>
      <c r="F93" s="20" t="s">
        <v>84</v>
      </c>
      <c r="G93" s="19">
        <v>900</v>
      </c>
      <c r="H93" s="18">
        <v>1.5</v>
      </c>
      <c r="I93" s="17">
        <v>1.4</v>
      </c>
      <c r="J93" s="16">
        <v>52.63</v>
      </c>
      <c r="K93" s="16">
        <v>1.18</v>
      </c>
      <c r="L93" s="16">
        <v>17.13</v>
      </c>
      <c r="M93" s="16">
        <v>0</v>
      </c>
      <c r="N93" s="16">
        <f t="shared" si="153"/>
        <v>6.3739999999999997</v>
      </c>
      <c r="O93" s="16">
        <v>0</v>
      </c>
      <c r="P93" s="16">
        <v>2.71</v>
      </c>
      <c r="Q93" s="16">
        <v>5.74</v>
      </c>
      <c r="R93" s="16">
        <v>4.38</v>
      </c>
      <c r="S93" s="16">
        <v>1.74</v>
      </c>
      <c r="T93" s="16">
        <v>0</v>
      </c>
      <c r="U93" s="15">
        <v>6</v>
      </c>
      <c r="V93" s="16"/>
      <c r="W93" s="28">
        <f t="shared" si="364"/>
        <v>53.767725062318682</v>
      </c>
      <c r="X93" s="24">
        <f t="shared" si="155"/>
        <v>1.2055085611540193</v>
      </c>
      <c r="Y93" s="24">
        <f t="shared" si="155"/>
        <v>17.500306485227416</v>
      </c>
      <c r="Z93" s="24">
        <f t="shared" si="155"/>
        <v>0</v>
      </c>
      <c r="AA93" s="24">
        <f t="shared" si="155"/>
        <v>6.5117894650811179</v>
      </c>
      <c r="AB93" s="24">
        <f t="shared" si="155"/>
        <v>0</v>
      </c>
      <c r="AC93" s="24">
        <f t="shared" si="393"/>
        <v>2.7685832209554171</v>
      </c>
      <c r="AD93" s="24">
        <f t="shared" si="393"/>
        <v>5.8640840178170093</v>
      </c>
      <c r="AE93" s="24">
        <f t="shared" si="393"/>
        <v>4.4746843202157667</v>
      </c>
      <c r="AF93" s="24">
        <f t="shared" si="393"/>
        <v>1.777614318989825</v>
      </c>
      <c r="AG93" s="24">
        <f t="shared" si="393"/>
        <v>0</v>
      </c>
      <c r="AH93" s="24">
        <f t="shared" si="393"/>
        <v>6.1297045482407766</v>
      </c>
      <c r="AI93" s="14">
        <f t="shared" si="365"/>
        <v>100.00000000000004</v>
      </c>
      <c r="AJ93" s="26"/>
      <c r="AK93" s="50">
        <f t="shared" si="366"/>
        <v>0.89478657118187188</v>
      </c>
      <c r="AL93" s="47">
        <f t="shared" si="367"/>
        <v>1.5087716660250553E-2</v>
      </c>
      <c r="AM93" s="47">
        <f t="shared" si="368"/>
        <v>0.17163894159697349</v>
      </c>
      <c r="AN93" s="49">
        <f t="shared" si="369"/>
        <v>0</v>
      </c>
      <c r="AO93" s="49">
        <f t="shared" si="370"/>
        <v>9.0630333543230593E-2</v>
      </c>
      <c r="AP93" s="47">
        <f t="shared" si="371"/>
        <v>0</v>
      </c>
      <c r="AQ93" s="47">
        <f t="shared" si="372"/>
        <v>6.8665258456235542E-2</v>
      </c>
      <c r="AR93" s="47">
        <f t="shared" si="373"/>
        <v>0.10456640545322771</v>
      </c>
      <c r="AS93" s="47">
        <f t="shared" si="374"/>
        <v>7.2195616654013667E-2</v>
      </c>
      <c r="AT93" s="47">
        <f t="shared" si="375"/>
        <v>1.8870640328979033E-2</v>
      </c>
      <c r="AU93" s="47">
        <f t="shared" si="376"/>
        <v>0</v>
      </c>
      <c r="AV93" s="47">
        <f t="shared" si="377"/>
        <v>0.34016118469704643</v>
      </c>
      <c r="AW93" s="47">
        <f t="shared" si="378"/>
        <v>1.4364414838747823</v>
      </c>
      <c r="AX93" s="47">
        <f t="shared" si="379"/>
        <v>6.4262423873824359E-2</v>
      </c>
      <c r="AY93" s="46">
        <f t="shared" si="380"/>
        <v>1.3188142970731438E-2</v>
      </c>
      <c r="AZ93" s="26"/>
      <c r="BA93" s="23">
        <f t="shared" si="295"/>
        <v>0.62291891540767586</v>
      </c>
      <c r="BB93" s="13">
        <f t="shared" si="296"/>
        <v>1.0503537268745283E-2</v>
      </c>
      <c r="BC93" s="13">
        <f t="shared" si="297"/>
        <v>0.11948898964821014</v>
      </c>
      <c r="BD93" s="13">
        <f t="shared" si="298"/>
        <v>0</v>
      </c>
      <c r="BE93" s="13">
        <f t="shared" si="299"/>
        <v>6.309364813020886E-2</v>
      </c>
      <c r="BF93" s="13">
        <f t="shared" si="300"/>
        <v>4.473723753819564E-2</v>
      </c>
      <c r="BG93" s="13">
        <f t="shared" si="301"/>
        <v>9.1811209288919955E-3</v>
      </c>
      <c r="BH93" s="13">
        <f t="shared" si="302"/>
        <v>0</v>
      </c>
      <c r="BI93" s="13">
        <f t="shared" si="303"/>
        <v>4.7802335999801326E-2</v>
      </c>
      <c r="BJ93" s="13">
        <f t="shared" si="304"/>
        <v>7.2795450860386732E-2</v>
      </c>
      <c r="BK93" s="13">
        <f t="shared" si="305"/>
        <v>5.0260047112581939E-2</v>
      </c>
      <c r="BL93" s="13">
        <f t="shared" si="306"/>
        <v>1.3137075572389989E-2</v>
      </c>
      <c r="BM93" s="13">
        <f t="shared" si="307"/>
        <v>0</v>
      </c>
      <c r="BN93" s="13">
        <f t="shared" si="308"/>
        <v>0.23680824350704913</v>
      </c>
      <c r="BO93" s="12">
        <f t="shared" si="309"/>
        <v>1.0000000000000002</v>
      </c>
      <c r="BP93" s="13"/>
      <c r="BQ93" s="23">
        <f t="shared" si="310"/>
        <v>1.7895731423637438</v>
      </c>
      <c r="BR93" s="13">
        <f t="shared" si="311"/>
        <v>3.0175433320501106E-2</v>
      </c>
      <c r="BS93" s="13">
        <f t="shared" si="312"/>
        <v>0.51471489662433578</v>
      </c>
      <c r="BT93" s="13">
        <f t="shared" si="313"/>
        <v>0</v>
      </c>
      <c r="BU93" s="13">
        <f t="shared" si="314"/>
        <v>9.0630333543230593E-2</v>
      </c>
      <c r="BV93" s="13">
        <f t="shared" si="315"/>
        <v>6.4262423873824359E-2</v>
      </c>
      <c r="BW93" s="24">
        <f t="shared" si="316"/>
        <v>3.9564428912194312E-2</v>
      </c>
      <c r="BX93" s="13">
        <f t="shared" si="317"/>
        <v>0</v>
      </c>
      <c r="BY93" s="13">
        <f t="shared" si="318"/>
        <v>6.8699335507578591E-2</v>
      </c>
      <c r="BZ93" s="13">
        <f t="shared" si="319"/>
        <v>0.10452912687730855</v>
      </c>
      <c r="CA93" s="13">
        <f t="shared" si="320"/>
        <v>7.2172327745415585E-2</v>
      </c>
      <c r="CB93" s="13">
        <f t="shared" si="321"/>
        <v>1.8870640328979033E-2</v>
      </c>
      <c r="CC93" s="13">
        <f t="shared" si="322"/>
        <v>0</v>
      </c>
      <c r="CD93" s="13">
        <f t="shared" si="323"/>
        <v>0.34016118469704643</v>
      </c>
      <c r="CE93" s="12">
        <f t="shared" si="324"/>
        <v>3.0295264210081392</v>
      </c>
      <c r="CF93" s="13"/>
      <c r="CG93" s="23">
        <f t="shared" si="395"/>
        <v>0.59071052490383147</v>
      </c>
      <c r="CH93" s="13">
        <f t="shared" si="395"/>
        <v>9.9604456694124457E-3</v>
      </c>
      <c r="CI93" s="13">
        <f t="shared" si="395"/>
        <v>0.16989945790043762</v>
      </c>
      <c r="CJ93" s="13">
        <f t="shared" si="395"/>
        <v>0</v>
      </c>
      <c r="CK93" s="13">
        <f t="shared" si="395"/>
        <v>2.991567689086911E-2</v>
      </c>
      <c r="CL93" s="13">
        <f t="shared" si="395"/>
        <v>2.121203612161919E-2</v>
      </c>
      <c r="CM93" s="13">
        <f t="shared" si="395"/>
        <v>1.3059608471421883E-2</v>
      </c>
      <c r="CN93" s="13">
        <f t="shared" si="395"/>
        <v>0</v>
      </c>
      <c r="CO93" s="13">
        <f t="shared" si="395"/>
        <v>2.2676592298778313E-2</v>
      </c>
      <c r="CP93" s="13">
        <f t="shared" si="395"/>
        <v>3.4503454451644711E-2</v>
      </c>
      <c r="CQ93" s="13">
        <f t="shared" si="395"/>
        <v>2.3822973533070793E-2</v>
      </c>
      <c r="CR93" s="13">
        <f t="shared" si="394"/>
        <v>6.2289076596663004E-3</v>
      </c>
      <c r="CS93" s="13">
        <f t="shared" si="394"/>
        <v>0</v>
      </c>
      <c r="CT93" s="13">
        <f t="shared" si="394"/>
        <v>0.11228196669228935</v>
      </c>
      <c r="CU93" s="12">
        <f t="shared" si="325"/>
        <v>1.0000000000000002</v>
      </c>
      <c r="CV93" s="26"/>
      <c r="CW93" s="23">
        <f t="shared" si="326"/>
        <v>0.89478657118187188</v>
      </c>
      <c r="CX93" s="13">
        <f t="shared" si="327"/>
        <v>1.5087716660250553E-2</v>
      </c>
      <c r="CY93" s="13">
        <f t="shared" si="328"/>
        <v>0.34314326441622384</v>
      </c>
      <c r="CZ93" s="13">
        <f t="shared" si="329"/>
        <v>0</v>
      </c>
      <c r="DA93" s="13">
        <f t="shared" si="330"/>
        <v>7.9944289693593323E-2</v>
      </c>
      <c r="DB93" s="13">
        <f t="shared" si="331"/>
        <v>6.4262423873824359E-2</v>
      </c>
      <c r="DC93" s="24">
        <f t="shared" si="332"/>
        <v>2.6376285941462876E-2</v>
      </c>
      <c r="DD93" s="13">
        <f t="shared" si="333"/>
        <v>0</v>
      </c>
      <c r="DE93" s="13">
        <f t="shared" si="334"/>
        <v>6.8699335507578591E-2</v>
      </c>
      <c r="DF93" s="13">
        <f t="shared" si="335"/>
        <v>0.10452912687730855</v>
      </c>
      <c r="DG93" s="13">
        <f t="shared" si="336"/>
        <v>0.14434465549083117</v>
      </c>
      <c r="DH93" s="13">
        <f t="shared" si="337"/>
        <v>3.7741280657958065E-2</v>
      </c>
      <c r="DI93" s="13">
        <f t="shared" si="338"/>
        <v>0</v>
      </c>
      <c r="DJ93" s="13">
        <f t="shared" si="381"/>
        <v>0.68032236939409285</v>
      </c>
      <c r="DK93" s="12">
        <f t="shared" si="382"/>
        <v>2.3685986098797089</v>
      </c>
      <c r="DL93" s="26"/>
      <c r="DM93" s="23">
        <f t="shared" si="152"/>
        <v>0.3777704535709891</v>
      </c>
      <c r="DN93" s="13">
        <f t="shared" si="152"/>
        <v>6.3698917145851037E-3</v>
      </c>
      <c r="DO93" s="13">
        <f t="shared" si="152"/>
        <v>0.14487185080027157</v>
      </c>
      <c r="DP93" s="13">
        <f t="shared" si="152"/>
        <v>0</v>
      </c>
      <c r="DQ93" s="13">
        <f t="shared" si="152"/>
        <v>3.3751725328274744E-2</v>
      </c>
      <c r="DR93" s="13">
        <f t="shared" si="152"/>
        <v>2.7130989440666765E-2</v>
      </c>
      <c r="DS93" s="13">
        <f t="shared" si="152"/>
        <v>1.1135819227219092E-2</v>
      </c>
      <c r="DT93" s="13">
        <f t="shared" si="152"/>
        <v>0</v>
      </c>
      <c r="DU93" s="13">
        <f t="shared" si="396"/>
        <v>2.9004211697594273E-2</v>
      </c>
      <c r="DV93" s="13">
        <f t="shared" si="396"/>
        <v>4.4131211781221612E-2</v>
      </c>
      <c r="DW93" s="13">
        <f t="shared" si="396"/>
        <v>6.0940952548377045E-2</v>
      </c>
      <c r="DX93" s="13">
        <f t="shared" si="396"/>
        <v>1.5934012838027794E-2</v>
      </c>
      <c r="DY93" s="13">
        <f t="shared" si="396"/>
        <v>0</v>
      </c>
      <c r="DZ93" s="13">
        <f t="shared" si="396"/>
        <v>0.28722568972065871</v>
      </c>
      <c r="EA93" s="12">
        <f t="shared" si="339"/>
        <v>1</v>
      </c>
      <c r="EB93" s="26"/>
      <c r="EC93" s="30">
        <f t="shared" si="340"/>
        <v>1173</v>
      </c>
      <c r="ED93" s="14">
        <f t="shared" si="341"/>
        <v>1500000000</v>
      </c>
      <c r="EE93" s="29"/>
      <c r="EF93" s="184">
        <f t="shared" si="391"/>
        <v>-9.8534143222506394</v>
      </c>
      <c r="EG93" s="13">
        <f t="shared" si="383"/>
        <v>1.4</v>
      </c>
      <c r="EH93" s="13">
        <f t="shared" si="384"/>
        <v>1.451547314578006</v>
      </c>
      <c r="EI93" s="12">
        <f t="shared" si="342"/>
        <v>6.1760434782608691</v>
      </c>
      <c r="EJ93" s="29"/>
      <c r="EK93" s="28">
        <f t="shared" si="385"/>
        <v>-1.5839745253727857</v>
      </c>
      <c r="EL93" s="24">
        <f t="shared" si="343"/>
        <v>-0.68778746216794862</v>
      </c>
      <c r="EM93" s="24">
        <f t="shared" si="386"/>
        <v>0.2051580696767534</v>
      </c>
      <c r="EN93" s="24">
        <f t="shared" si="344"/>
        <v>4.473723753819564E-2</v>
      </c>
      <c r="EO93" s="24">
        <f t="shared" si="345"/>
        <v>9.1782052960066082E-3</v>
      </c>
      <c r="EP93" s="24">
        <f t="shared" si="346"/>
        <v>0.2909391220195473</v>
      </c>
      <c r="EQ93" s="24">
        <f t="shared" si="347"/>
        <v>-1.5836569066460218</v>
      </c>
      <c r="ER93" s="24">
        <f t="shared" si="348"/>
        <v>-22.6858984837016</v>
      </c>
      <c r="ES93" s="25">
        <f t="shared" si="349"/>
        <v>-9.8505855335221888</v>
      </c>
      <c r="ET93" s="26"/>
      <c r="EU93" s="23">
        <f t="shared" si="392"/>
        <v>-2.4917200879922845</v>
      </c>
      <c r="EV93" s="12">
        <f t="shared" si="350"/>
        <v>3.2127902172748302E-3</v>
      </c>
      <c r="EW93" s="26"/>
      <c r="EX93" s="27">
        <f t="shared" si="351"/>
        <v>0.83366246918343812</v>
      </c>
      <c r="EY93" s="26"/>
      <c r="EZ93" s="23">
        <f t="shared" si="281"/>
        <v>-8.3698223188274223</v>
      </c>
      <c r="FA93" s="13">
        <f t="shared" si="352"/>
        <v>15.568870811541423</v>
      </c>
      <c r="FB93" s="13">
        <f t="shared" si="282"/>
        <v>-27.172509068173227</v>
      </c>
      <c r="FC93" s="13">
        <f t="shared" si="283"/>
        <v>5.7345523315253715</v>
      </c>
      <c r="FD93" s="12">
        <f t="shared" si="353"/>
        <v>0.99677808523239964</v>
      </c>
      <c r="FE93" s="13"/>
      <c r="FF93" s="23">
        <f t="shared" si="284"/>
        <v>-7.1879205413662817</v>
      </c>
      <c r="FG93" s="13">
        <f t="shared" si="285"/>
        <v>13.814764289861159</v>
      </c>
      <c r="FH93" s="13">
        <f t="shared" si="286"/>
        <v>15.215974285169665</v>
      </c>
      <c r="FI93" s="24">
        <f t="shared" si="287"/>
        <v>0.9518377531083142</v>
      </c>
      <c r="FJ93" s="25">
        <f t="shared" si="288"/>
        <v>0.99799524046348376</v>
      </c>
      <c r="FK93" s="13"/>
      <c r="FL93" s="23">
        <f t="shared" si="354"/>
        <v>12.885330668774174</v>
      </c>
      <c r="FM93" s="13">
        <f t="shared" si="355"/>
        <v>-7.2372502989948213</v>
      </c>
      <c r="FN93" s="13">
        <f t="shared" si="289"/>
        <v>0.41575232326771783</v>
      </c>
      <c r="FO93" s="13">
        <f t="shared" si="356"/>
        <v>0.72258191733167343</v>
      </c>
      <c r="FP93" s="23">
        <f t="shared" si="290"/>
        <v>-0.98066711407243545</v>
      </c>
      <c r="FQ93" s="13">
        <f t="shared" si="291"/>
        <v>9.4655677511176539E-2</v>
      </c>
      <c r="FR93" s="13">
        <f t="shared" si="292"/>
        <v>-0.43335253606732138</v>
      </c>
      <c r="FS93" s="13">
        <f t="shared" si="387"/>
        <v>0.26936806868974894</v>
      </c>
      <c r="FT93" s="13">
        <f t="shared" si="293"/>
        <v>-1.1213320757092653</v>
      </c>
      <c r="FU93" s="12">
        <f t="shared" si="388"/>
        <v>7.0308342271936719E-2</v>
      </c>
      <c r="FV93" s="22"/>
      <c r="FW93" s="11">
        <f t="shared" si="357"/>
        <v>1.4</v>
      </c>
      <c r="FX93" s="10">
        <f t="shared" si="358"/>
        <v>1.451547314578006</v>
      </c>
      <c r="FY93" s="10">
        <f t="shared" si="359"/>
        <v>6.1760434782608691</v>
      </c>
      <c r="FZ93" s="5">
        <f t="shared" si="360"/>
        <v>-9.8534143222506394</v>
      </c>
      <c r="GA93" s="10">
        <f t="shared" si="361"/>
        <v>0.2909391220195473</v>
      </c>
      <c r="GB93" s="9">
        <f t="shared" si="275"/>
        <v>12.885330668774174</v>
      </c>
      <c r="GC93" s="8">
        <f t="shared" si="276"/>
        <v>-7.2372502989948213</v>
      </c>
      <c r="GD93" s="8">
        <f t="shared" si="389"/>
        <v>0.72258191733167343</v>
      </c>
      <c r="GE93" s="7">
        <f t="shared" si="390"/>
        <v>9.4655677511176539E-2</v>
      </c>
      <c r="GF93" s="6">
        <f t="shared" si="277"/>
        <v>0.9518377531083142</v>
      </c>
      <c r="GG93" s="5">
        <f t="shared" si="278"/>
        <v>0.99799524046348376</v>
      </c>
      <c r="GH93" s="4">
        <f t="shared" si="279"/>
        <v>0.99677808523239964</v>
      </c>
      <c r="GI93" s="4">
        <f t="shared" si="362"/>
        <v>0.83366246918343812</v>
      </c>
      <c r="GJ93" s="4">
        <f t="shared" si="363"/>
        <v>3.2127902172748302E-3</v>
      </c>
      <c r="GK93" s="1"/>
    </row>
    <row r="94" spans="1:193" x14ac:dyDescent="0.4">
      <c r="A94" s="32"/>
      <c r="B94" s="33"/>
      <c r="C94" s="33"/>
      <c r="D94" s="32"/>
      <c r="E94" s="32"/>
      <c r="F94" s="20" t="s">
        <v>84</v>
      </c>
      <c r="G94" s="19">
        <v>900</v>
      </c>
      <c r="H94" s="18">
        <v>1.5</v>
      </c>
      <c r="I94" s="17">
        <v>1.8</v>
      </c>
      <c r="J94" s="16">
        <v>52.63</v>
      </c>
      <c r="K94" s="16">
        <v>1.18</v>
      </c>
      <c r="L94" s="16">
        <v>17.13</v>
      </c>
      <c r="M94" s="16">
        <v>0</v>
      </c>
      <c r="N94" s="16">
        <f t="shared" si="153"/>
        <v>6.3739999999999997</v>
      </c>
      <c r="O94" s="16">
        <v>0</v>
      </c>
      <c r="P94" s="16">
        <v>2.71</v>
      </c>
      <c r="Q94" s="16">
        <v>5.74</v>
      </c>
      <c r="R94" s="16">
        <v>4.38</v>
      </c>
      <c r="S94" s="16">
        <v>1.74</v>
      </c>
      <c r="T94" s="16">
        <v>0</v>
      </c>
      <c r="U94" s="15">
        <v>6</v>
      </c>
      <c r="V94" s="16"/>
      <c r="W94" s="28">
        <f t="shared" si="364"/>
        <v>53.767725062318682</v>
      </c>
      <c r="X94" s="24">
        <f t="shared" si="155"/>
        <v>1.2055085611540193</v>
      </c>
      <c r="Y94" s="24">
        <f t="shared" si="155"/>
        <v>17.500306485227416</v>
      </c>
      <c r="Z94" s="24">
        <f t="shared" si="155"/>
        <v>0</v>
      </c>
      <c r="AA94" s="24">
        <f t="shared" si="155"/>
        <v>6.5117894650811179</v>
      </c>
      <c r="AB94" s="24">
        <f t="shared" si="155"/>
        <v>0</v>
      </c>
      <c r="AC94" s="24">
        <f t="shared" si="393"/>
        <v>2.7685832209554171</v>
      </c>
      <c r="AD94" s="24">
        <f t="shared" si="393"/>
        <v>5.8640840178170093</v>
      </c>
      <c r="AE94" s="24">
        <f t="shared" si="393"/>
        <v>4.4746843202157667</v>
      </c>
      <c r="AF94" s="24">
        <f t="shared" si="393"/>
        <v>1.777614318989825</v>
      </c>
      <c r="AG94" s="24">
        <f t="shared" si="393"/>
        <v>0</v>
      </c>
      <c r="AH94" s="24">
        <f t="shared" si="393"/>
        <v>6.1297045482407766</v>
      </c>
      <c r="AI94" s="14">
        <f t="shared" si="365"/>
        <v>100.00000000000004</v>
      </c>
      <c r="AJ94" s="26"/>
      <c r="AK94" s="50">
        <f t="shared" si="366"/>
        <v>0.89478657118187188</v>
      </c>
      <c r="AL94" s="47">
        <f t="shared" si="367"/>
        <v>1.5087716660250553E-2</v>
      </c>
      <c r="AM94" s="47">
        <f t="shared" si="368"/>
        <v>0.17163894159697349</v>
      </c>
      <c r="AN94" s="49">
        <f t="shared" si="369"/>
        <v>0</v>
      </c>
      <c r="AO94" s="49">
        <f t="shared" si="370"/>
        <v>9.0630333543230593E-2</v>
      </c>
      <c r="AP94" s="47">
        <f t="shared" si="371"/>
        <v>0</v>
      </c>
      <c r="AQ94" s="47">
        <f t="shared" si="372"/>
        <v>6.8665258456235542E-2</v>
      </c>
      <c r="AR94" s="47">
        <f t="shared" si="373"/>
        <v>0.10456640545322771</v>
      </c>
      <c r="AS94" s="47">
        <f t="shared" si="374"/>
        <v>7.2195616654013667E-2</v>
      </c>
      <c r="AT94" s="47">
        <f t="shared" si="375"/>
        <v>1.8870640328979033E-2</v>
      </c>
      <c r="AU94" s="47">
        <f t="shared" si="376"/>
        <v>0</v>
      </c>
      <c r="AV94" s="47">
        <f t="shared" si="377"/>
        <v>0.34016118469704643</v>
      </c>
      <c r="AW94" s="47">
        <f t="shared" si="378"/>
        <v>1.4364414838747823</v>
      </c>
      <c r="AX94" s="47">
        <f t="shared" si="379"/>
        <v>6.0764781793570963E-2</v>
      </c>
      <c r="AY94" s="46">
        <f t="shared" si="380"/>
        <v>1.493751955739156E-2</v>
      </c>
      <c r="AZ94" s="26"/>
      <c r="BA94" s="23">
        <f t="shared" si="295"/>
        <v>0.62291891540767586</v>
      </c>
      <c r="BB94" s="13">
        <f t="shared" si="296"/>
        <v>1.0503537268745283E-2</v>
      </c>
      <c r="BC94" s="13">
        <f t="shared" si="297"/>
        <v>0.11948898964821014</v>
      </c>
      <c r="BD94" s="13">
        <f t="shared" si="298"/>
        <v>0</v>
      </c>
      <c r="BE94" s="13">
        <f t="shared" si="299"/>
        <v>6.309364813020886E-2</v>
      </c>
      <c r="BF94" s="13">
        <f t="shared" si="300"/>
        <v>4.2302302234866362E-2</v>
      </c>
      <c r="BG94" s="13">
        <f t="shared" si="301"/>
        <v>1.039897533249861E-2</v>
      </c>
      <c r="BH94" s="13">
        <f t="shared" si="302"/>
        <v>0</v>
      </c>
      <c r="BI94" s="13">
        <f t="shared" si="303"/>
        <v>4.7802335999801326E-2</v>
      </c>
      <c r="BJ94" s="13">
        <f t="shared" si="304"/>
        <v>7.2795450860386732E-2</v>
      </c>
      <c r="BK94" s="13">
        <f t="shared" si="305"/>
        <v>5.0260047112581939E-2</v>
      </c>
      <c r="BL94" s="13">
        <f t="shared" si="306"/>
        <v>1.3137075572389989E-2</v>
      </c>
      <c r="BM94" s="13">
        <f t="shared" si="307"/>
        <v>0</v>
      </c>
      <c r="BN94" s="13">
        <f t="shared" si="308"/>
        <v>0.23680824350704913</v>
      </c>
      <c r="BO94" s="12">
        <f t="shared" si="309"/>
        <v>1.0000000000000002</v>
      </c>
      <c r="BP94" s="13"/>
      <c r="BQ94" s="23">
        <f t="shared" si="310"/>
        <v>1.7895731423637438</v>
      </c>
      <c r="BR94" s="13">
        <f t="shared" si="311"/>
        <v>3.0175433320501106E-2</v>
      </c>
      <c r="BS94" s="13">
        <f t="shared" si="312"/>
        <v>0.51471489662433578</v>
      </c>
      <c r="BT94" s="13">
        <f t="shared" si="313"/>
        <v>0</v>
      </c>
      <c r="BU94" s="13">
        <f t="shared" si="314"/>
        <v>9.0630333543230593E-2</v>
      </c>
      <c r="BV94" s="13">
        <f t="shared" si="315"/>
        <v>6.0764781793570963E-2</v>
      </c>
      <c r="BW94" s="24">
        <f t="shared" si="316"/>
        <v>4.4812558672174679E-2</v>
      </c>
      <c r="BX94" s="13">
        <f t="shared" si="317"/>
        <v>0</v>
      </c>
      <c r="BY94" s="13">
        <f t="shared" si="318"/>
        <v>6.8699335507578591E-2</v>
      </c>
      <c r="BZ94" s="13">
        <f t="shared" si="319"/>
        <v>0.10452912687730855</v>
      </c>
      <c r="CA94" s="13">
        <f t="shared" si="320"/>
        <v>7.2172327745415585E-2</v>
      </c>
      <c r="CB94" s="13">
        <f t="shared" si="321"/>
        <v>1.8870640328979033E-2</v>
      </c>
      <c r="CC94" s="13">
        <f t="shared" si="322"/>
        <v>0</v>
      </c>
      <c r="CD94" s="13">
        <f t="shared" si="323"/>
        <v>0.34016118469704643</v>
      </c>
      <c r="CE94" s="12">
        <f t="shared" si="324"/>
        <v>3.0295264210081392</v>
      </c>
      <c r="CF94" s="13"/>
      <c r="CG94" s="23">
        <f t="shared" si="395"/>
        <v>0.59071052490383147</v>
      </c>
      <c r="CH94" s="13">
        <f t="shared" si="395"/>
        <v>9.9604456694124457E-3</v>
      </c>
      <c r="CI94" s="13">
        <f t="shared" si="395"/>
        <v>0.16989945790043762</v>
      </c>
      <c r="CJ94" s="13">
        <f t="shared" si="395"/>
        <v>0</v>
      </c>
      <c r="CK94" s="13">
        <f t="shared" si="395"/>
        <v>2.991567689086911E-2</v>
      </c>
      <c r="CL94" s="13">
        <f t="shared" si="395"/>
        <v>2.0057518354089875E-2</v>
      </c>
      <c r="CM94" s="13">
        <f t="shared" si="395"/>
        <v>1.4791935254772378E-2</v>
      </c>
      <c r="CN94" s="13">
        <f t="shared" si="395"/>
        <v>0</v>
      </c>
      <c r="CO94" s="13">
        <f t="shared" si="395"/>
        <v>2.2676592298778313E-2</v>
      </c>
      <c r="CP94" s="13">
        <f t="shared" si="395"/>
        <v>3.4503454451644711E-2</v>
      </c>
      <c r="CQ94" s="13">
        <f t="shared" si="395"/>
        <v>2.3822973533070793E-2</v>
      </c>
      <c r="CR94" s="13">
        <f t="shared" si="394"/>
        <v>6.2289076596663004E-3</v>
      </c>
      <c r="CS94" s="13">
        <f t="shared" si="394"/>
        <v>0</v>
      </c>
      <c r="CT94" s="13">
        <f t="shared" si="394"/>
        <v>0.11228196669228935</v>
      </c>
      <c r="CU94" s="12">
        <f t="shared" si="325"/>
        <v>1.0000000000000002</v>
      </c>
      <c r="CV94" s="26"/>
      <c r="CW94" s="23">
        <f t="shared" si="326"/>
        <v>0.89478657118187188</v>
      </c>
      <c r="CX94" s="13">
        <f t="shared" si="327"/>
        <v>1.5087716660250553E-2</v>
      </c>
      <c r="CY94" s="13">
        <f t="shared" si="328"/>
        <v>0.34314326441622384</v>
      </c>
      <c r="CZ94" s="13">
        <f t="shared" si="329"/>
        <v>0</v>
      </c>
      <c r="DA94" s="13">
        <f t="shared" si="330"/>
        <v>7.9944289693593323E-2</v>
      </c>
      <c r="DB94" s="13">
        <f t="shared" si="331"/>
        <v>6.0764781793570963E-2</v>
      </c>
      <c r="DC94" s="24">
        <f t="shared" si="332"/>
        <v>2.987503911478312E-2</v>
      </c>
      <c r="DD94" s="13">
        <f t="shared" si="333"/>
        <v>0</v>
      </c>
      <c r="DE94" s="13">
        <f t="shared" si="334"/>
        <v>6.8699335507578591E-2</v>
      </c>
      <c r="DF94" s="13">
        <f t="shared" si="335"/>
        <v>0.10452912687730855</v>
      </c>
      <c r="DG94" s="13">
        <f t="shared" si="336"/>
        <v>0.14434465549083117</v>
      </c>
      <c r="DH94" s="13">
        <f t="shared" si="337"/>
        <v>3.7741280657958065E-2</v>
      </c>
      <c r="DI94" s="13">
        <f t="shared" si="338"/>
        <v>0</v>
      </c>
      <c r="DJ94" s="13">
        <f t="shared" si="381"/>
        <v>0.68032236939409285</v>
      </c>
      <c r="DK94" s="12">
        <f t="shared" si="382"/>
        <v>2.3685986098797089</v>
      </c>
      <c r="DL94" s="26"/>
      <c r="DM94" s="23">
        <f t="shared" si="152"/>
        <v>0.3777704535709891</v>
      </c>
      <c r="DN94" s="13">
        <f t="shared" si="152"/>
        <v>6.3698917145851037E-3</v>
      </c>
      <c r="DO94" s="13">
        <f t="shared" si="152"/>
        <v>0.14487185080027157</v>
      </c>
      <c r="DP94" s="13">
        <f t="shared" si="152"/>
        <v>0</v>
      </c>
      <c r="DQ94" s="13">
        <f t="shared" si="152"/>
        <v>3.3751725328274744E-2</v>
      </c>
      <c r="DR94" s="13">
        <f t="shared" si="152"/>
        <v>2.5654317933023252E-2</v>
      </c>
      <c r="DS94" s="13">
        <f t="shared" si="152"/>
        <v>1.261295982787913E-2</v>
      </c>
      <c r="DT94" s="13">
        <f t="shared" si="152"/>
        <v>0</v>
      </c>
      <c r="DU94" s="13">
        <f t="shared" si="396"/>
        <v>2.9004211697594273E-2</v>
      </c>
      <c r="DV94" s="13">
        <f t="shared" si="396"/>
        <v>4.4131211781221612E-2</v>
      </c>
      <c r="DW94" s="13">
        <f t="shared" si="396"/>
        <v>6.0940952548377045E-2</v>
      </c>
      <c r="DX94" s="13">
        <f t="shared" si="396"/>
        <v>1.5934012838027794E-2</v>
      </c>
      <c r="DY94" s="13">
        <f t="shared" si="396"/>
        <v>0</v>
      </c>
      <c r="DZ94" s="13">
        <f t="shared" si="396"/>
        <v>0.28722568972065871</v>
      </c>
      <c r="EA94" s="12">
        <f t="shared" si="339"/>
        <v>1</v>
      </c>
      <c r="EB94" s="26"/>
      <c r="EC94" s="30">
        <f t="shared" si="340"/>
        <v>1173</v>
      </c>
      <c r="ED94" s="14">
        <f t="shared" si="341"/>
        <v>1500000000</v>
      </c>
      <c r="EE94" s="29"/>
      <c r="EF94" s="184">
        <f t="shared" si="391"/>
        <v>-9.453414322250639</v>
      </c>
      <c r="EG94" s="13">
        <f t="shared" si="383"/>
        <v>1.8</v>
      </c>
      <c r="EH94" s="13">
        <f t="shared" si="384"/>
        <v>1.8515473145780064</v>
      </c>
      <c r="EI94" s="12">
        <f t="shared" si="342"/>
        <v>6.5760434782608694</v>
      </c>
      <c r="EJ94" s="29"/>
      <c r="EK94" s="28">
        <f t="shared" si="385"/>
        <v>-1.4034518540820526</v>
      </c>
      <c r="EL94" s="24">
        <f t="shared" si="343"/>
        <v>-0.60940158666176847</v>
      </c>
      <c r="EM94" s="24">
        <f t="shared" si="386"/>
        <v>0.24574721465402743</v>
      </c>
      <c r="EN94" s="24">
        <f t="shared" si="344"/>
        <v>4.2302302234866362E-2</v>
      </c>
      <c r="EO94" s="24">
        <f t="shared" si="345"/>
        <v>1.0395672947671249E-2</v>
      </c>
      <c r="EP94" s="24">
        <f t="shared" si="346"/>
        <v>0.32953152197562857</v>
      </c>
      <c r="EQ94" s="24">
        <f t="shared" si="347"/>
        <v>-1.4031342353552891</v>
      </c>
      <c r="ER94" s="24">
        <f t="shared" si="348"/>
        <v>-21.764864446503982</v>
      </c>
      <c r="ES94" s="25">
        <f t="shared" si="349"/>
        <v>-9.4506575972661668</v>
      </c>
      <c r="ET94" s="26"/>
      <c r="EU94" s="23">
        <f t="shared" si="392"/>
        <v>-1.8645200879922861</v>
      </c>
      <c r="EV94" s="12">
        <f t="shared" si="350"/>
        <v>1.3476813214005179E-2</v>
      </c>
      <c r="EW94" s="26"/>
      <c r="EX94" s="27">
        <f t="shared" si="351"/>
        <v>0.96934656996828439</v>
      </c>
      <c r="EY94" s="26"/>
      <c r="EZ94" s="23">
        <f t="shared" si="281"/>
        <v>-8.3698223188274223</v>
      </c>
      <c r="FA94" s="13">
        <f t="shared" si="352"/>
        <v>15.548099217444133</v>
      </c>
      <c r="FB94" s="13">
        <f t="shared" si="282"/>
        <v>-27.172509068173227</v>
      </c>
      <c r="FC94" s="13">
        <f t="shared" si="283"/>
        <v>7.5558488118233171</v>
      </c>
      <c r="FD94" s="12">
        <f t="shared" si="353"/>
        <v>0.99947723144069589</v>
      </c>
      <c r="FE94" s="13"/>
      <c r="FF94" s="23">
        <f t="shared" si="284"/>
        <v>-7.2127598976315292</v>
      </c>
      <c r="FG94" s="13">
        <f t="shared" si="285"/>
        <v>13.814764289861159</v>
      </c>
      <c r="FH94" s="13">
        <f t="shared" si="286"/>
        <v>15.215974285169665</v>
      </c>
      <c r="FI94" s="24">
        <f t="shared" si="287"/>
        <v>0.99248329231381383</v>
      </c>
      <c r="FJ94" s="25">
        <f t="shared" si="288"/>
        <v>0.99969941735572376</v>
      </c>
      <c r="FK94" s="13"/>
      <c r="FL94" s="23">
        <f t="shared" si="354"/>
        <v>12.885330668774174</v>
      </c>
      <c r="FM94" s="13">
        <f t="shared" si="355"/>
        <v>-7.247084537125974</v>
      </c>
      <c r="FN94" s="13">
        <f t="shared" si="289"/>
        <v>1.2255865613988703</v>
      </c>
      <c r="FO94" s="13">
        <f t="shared" si="356"/>
        <v>0.94385406858295984</v>
      </c>
      <c r="FP94" s="23">
        <f t="shared" si="290"/>
        <v>-0.17083287594128294</v>
      </c>
      <c r="FQ94" s="13">
        <f t="shared" si="291"/>
        <v>0.40290937699160745</v>
      </c>
      <c r="FR94" s="13">
        <f t="shared" si="292"/>
        <v>0.37648170206383114</v>
      </c>
      <c r="FS94" s="13">
        <f t="shared" si="387"/>
        <v>0.70409631707044951</v>
      </c>
      <c r="FT94" s="13">
        <f t="shared" si="293"/>
        <v>-0.31149783757811278</v>
      </c>
      <c r="FU94" s="12">
        <f t="shared" si="388"/>
        <v>0.32799877775736364</v>
      </c>
      <c r="FV94" s="22"/>
      <c r="FW94" s="11">
        <f t="shared" si="357"/>
        <v>1.8</v>
      </c>
      <c r="FX94" s="10">
        <f t="shared" si="358"/>
        <v>1.8515473145780064</v>
      </c>
      <c r="FY94" s="10">
        <f t="shared" si="359"/>
        <v>6.5760434782608694</v>
      </c>
      <c r="FZ94" s="5">
        <f t="shared" si="360"/>
        <v>-9.453414322250639</v>
      </c>
      <c r="GA94" s="10">
        <f t="shared" si="361"/>
        <v>0.32953152197562857</v>
      </c>
      <c r="GB94" s="9">
        <f t="shared" si="275"/>
        <v>12.885330668774174</v>
      </c>
      <c r="GC94" s="8">
        <f t="shared" si="276"/>
        <v>-7.247084537125974</v>
      </c>
      <c r="GD94" s="8">
        <f t="shared" si="389"/>
        <v>0.94385406858295984</v>
      </c>
      <c r="GE94" s="7">
        <f t="shared" si="390"/>
        <v>0.40290937699160745</v>
      </c>
      <c r="GF94" s="6">
        <f t="shared" si="277"/>
        <v>0.99248329231381383</v>
      </c>
      <c r="GG94" s="5">
        <f t="shared" si="278"/>
        <v>0.99969941735572376</v>
      </c>
      <c r="GH94" s="4">
        <f t="shared" si="279"/>
        <v>0.99947723144069589</v>
      </c>
      <c r="GI94" s="4">
        <f t="shared" si="362"/>
        <v>0.96934656996828439</v>
      </c>
      <c r="GJ94" s="4">
        <f t="shared" si="363"/>
        <v>1.3476813214005179E-2</v>
      </c>
      <c r="GK94" s="1"/>
    </row>
    <row r="95" spans="1:193" x14ac:dyDescent="0.4">
      <c r="A95" s="32"/>
      <c r="B95" s="33"/>
      <c r="C95" s="33"/>
      <c r="D95" s="32"/>
      <c r="E95" s="32"/>
      <c r="F95" s="20" t="s">
        <v>84</v>
      </c>
      <c r="G95" s="19">
        <v>900</v>
      </c>
      <c r="H95" s="18">
        <v>1.5</v>
      </c>
      <c r="I95" s="17">
        <v>2.2000000000000002</v>
      </c>
      <c r="J95" s="16">
        <v>52.63</v>
      </c>
      <c r="K95" s="16">
        <v>1.18</v>
      </c>
      <c r="L95" s="16">
        <v>17.13</v>
      </c>
      <c r="M95" s="16">
        <v>0</v>
      </c>
      <c r="N95" s="16">
        <f t="shared" si="153"/>
        <v>6.3739999999999997</v>
      </c>
      <c r="O95" s="16">
        <v>0</v>
      </c>
      <c r="P95" s="16">
        <v>2.71</v>
      </c>
      <c r="Q95" s="16">
        <v>5.74</v>
      </c>
      <c r="R95" s="16">
        <v>4.38</v>
      </c>
      <c r="S95" s="16">
        <v>1.74</v>
      </c>
      <c r="T95" s="16">
        <v>0</v>
      </c>
      <c r="U95" s="15">
        <v>6</v>
      </c>
      <c r="V95" s="16"/>
      <c r="W95" s="28">
        <f t="shared" si="364"/>
        <v>53.767725062318682</v>
      </c>
      <c r="X95" s="24">
        <f t="shared" si="155"/>
        <v>1.2055085611540193</v>
      </c>
      <c r="Y95" s="24">
        <f t="shared" si="155"/>
        <v>17.500306485227416</v>
      </c>
      <c r="Z95" s="24">
        <f t="shared" si="155"/>
        <v>0</v>
      </c>
      <c r="AA95" s="24">
        <f t="shared" si="155"/>
        <v>6.5117894650811179</v>
      </c>
      <c r="AB95" s="24">
        <f t="shared" si="155"/>
        <v>0</v>
      </c>
      <c r="AC95" s="24">
        <f t="shared" si="393"/>
        <v>2.7685832209554171</v>
      </c>
      <c r="AD95" s="24">
        <f t="shared" si="393"/>
        <v>5.8640840178170093</v>
      </c>
      <c r="AE95" s="24">
        <f t="shared" si="393"/>
        <v>4.4746843202157667</v>
      </c>
      <c r="AF95" s="24">
        <f t="shared" si="393"/>
        <v>1.777614318989825</v>
      </c>
      <c r="AG95" s="24">
        <f t="shared" si="393"/>
        <v>0</v>
      </c>
      <c r="AH95" s="24">
        <f t="shared" si="393"/>
        <v>6.1297045482407766</v>
      </c>
      <c r="AI95" s="14">
        <f t="shared" si="365"/>
        <v>100.00000000000004</v>
      </c>
      <c r="AJ95" s="26"/>
      <c r="AK95" s="50">
        <f t="shared" si="366"/>
        <v>0.89478657118187188</v>
      </c>
      <c r="AL95" s="47">
        <f t="shared" si="367"/>
        <v>1.5087716660250553E-2</v>
      </c>
      <c r="AM95" s="47">
        <f t="shared" si="368"/>
        <v>0.17163894159697349</v>
      </c>
      <c r="AN95" s="49">
        <f t="shared" si="369"/>
        <v>0</v>
      </c>
      <c r="AO95" s="49">
        <f t="shared" si="370"/>
        <v>9.0630333543230593E-2</v>
      </c>
      <c r="AP95" s="47">
        <f t="shared" si="371"/>
        <v>0</v>
      </c>
      <c r="AQ95" s="47">
        <f t="shared" si="372"/>
        <v>6.8665258456235542E-2</v>
      </c>
      <c r="AR95" s="47">
        <f t="shared" si="373"/>
        <v>0.10456640545322771</v>
      </c>
      <c r="AS95" s="47">
        <f t="shared" si="374"/>
        <v>7.2195616654013667E-2</v>
      </c>
      <c r="AT95" s="47">
        <f t="shared" si="375"/>
        <v>1.8870640328979033E-2</v>
      </c>
      <c r="AU95" s="47">
        <f t="shared" si="376"/>
        <v>0</v>
      </c>
      <c r="AV95" s="47">
        <f t="shared" si="377"/>
        <v>0.34016118469704643</v>
      </c>
      <c r="AW95" s="47">
        <f t="shared" si="378"/>
        <v>1.4364414838747823</v>
      </c>
      <c r="AX95" s="47">
        <f t="shared" si="379"/>
        <v>5.7045656211704744E-2</v>
      </c>
      <c r="AY95" s="46">
        <f t="shared" si="380"/>
        <v>1.679767307409848E-2</v>
      </c>
      <c r="AZ95" s="26"/>
      <c r="BA95" s="23">
        <f t="shared" si="295"/>
        <v>0.62291891540767586</v>
      </c>
      <c r="BB95" s="13">
        <f t="shared" si="296"/>
        <v>1.0503537268745283E-2</v>
      </c>
      <c r="BC95" s="13">
        <f t="shared" si="297"/>
        <v>0.11948898964821014</v>
      </c>
      <c r="BD95" s="13">
        <f t="shared" si="298"/>
        <v>0</v>
      </c>
      <c r="BE95" s="13">
        <f t="shared" si="299"/>
        <v>6.309364813020886E-2</v>
      </c>
      <c r="BF95" s="13">
        <f t="shared" si="300"/>
        <v>3.9713177913676526E-2</v>
      </c>
      <c r="BG95" s="13">
        <f t="shared" si="301"/>
        <v>1.1693948735584393E-2</v>
      </c>
      <c r="BH95" s="13">
        <f t="shared" si="302"/>
        <v>0</v>
      </c>
      <c r="BI95" s="13">
        <f t="shared" si="303"/>
        <v>4.7802335999801326E-2</v>
      </c>
      <c r="BJ95" s="13">
        <f t="shared" si="304"/>
        <v>7.2795450860386732E-2</v>
      </c>
      <c r="BK95" s="13">
        <f t="shared" si="305"/>
        <v>5.0260047112581939E-2</v>
      </c>
      <c r="BL95" s="13">
        <f t="shared" si="306"/>
        <v>1.3137075572389989E-2</v>
      </c>
      <c r="BM95" s="13">
        <f t="shared" si="307"/>
        <v>0</v>
      </c>
      <c r="BN95" s="13">
        <f t="shared" si="308"/>
        <v>0.23680824350704913</v>
      </c>
      <c r="BO95" s="12">
        <f t="shared" si="309"/>
        <v>1.0000000000000002</v>
      </c>
      <c r="BP95" s="13"/>
      <c r="BQ95" s="23">
        <f t="shared" si="310"/>
        <v>1.7895731423637438</v>
      </c>
      <c r="BR95" s="13">
        <f t="shared" si="311"/>
        <v>3.0175433320501106E-2</v>
      </c>
      <c r="BS95" s="13">
        <f t="shared" si="312"/>
        <v>0.51471489662433578</v>
      </c>
      <c r="BT95" s="13">
        <f t="shared" si="313"/>
        <v>0</v>
      </c>
      <c r="BU95" s="13">
        <f t="shared" si="314"/>
        <v>9.0630333543230593E-2</v>
      </c>
      <c r="BV95" s="13">
        <f t="shared" si="315"/>
        <v>5.7045656211704744E-2</v>
      </c>
      <c r="BW95" s="24">
        <f t="shared" si="316"/>
        <v>5.0393019222295443E-2</v>
      </c>
      <c r="BX95" s="13">
        <f t="shared" si="317"/>
        <v>0</v>
      </c>
      <c r="BY95" s="13">
        <f t="shared" si="318"/>
        <v>6.8699335507578591E-2</v>
      </c>
      <c r="BZ95" s="13">
        <f t="shared" si="319"/>
        <v>0.10452912687730855</v>
      </c>
      <c r="CA95" s="13">
        <f t="shared" si="320"/>
        <v>7.2172327745415585E-2</v>
      </c>
      <c r="CB95" s="13">
        <f t="shared" si="321"/>
        <v>1.8870640328979033E-2</v>
      </c>
      <c r="CC95" s="13">
        <f t="shared" si="322"/>
        <v>0</v>
      </c>
      <c r="CD95" s="13">
        <f t="shared" si="323"/>
        <v>0.34016118469704643</v>
      </c>
      <c r="CE95" s="12">
        <f t="shared" si="324"/>
        <v>3.0295264210081392</v>
      </c>
      <c r="CF95" s="13"/>
      <c r="CG95" s="23">
        <f t="shared" si="395"/>
        <v>0.59071052490383147</v>
      </c>
      <c r="CH95" s="13">
        <f t="shared" si="395"/>
        <v>9.9604456694124457E-3</v>
      </c>
      <c r="CI95" s="13">
        <f t="shared" si="395"/>
        <v>0.16989945790043762</v>
      </c>
      <c r="CJ95" s="13">
        <f t="shared" si="395"/>
        <v>0</v>
      </c>
      <c r="CK95" s="13">
        <f t="shared" si="395"/>
        <v>2.991567689086911E-2</v>
      </c>
      <c r="CL95" s="13">
        <f t="shared" si="395"/>
        <v>1.8829892294757275E-2</v>
      </c>
      <c r="CM95" s="13">
        <f t="shared" si="395"/>
        <v>1.6633959312203687E-2</v>
      </c>
      <c r="CN95" s="13">
        <f t="shared" si="395"/>
        <v>0</v>
      </c>
      <c r="CO95" s="13">
        <f t="shared" si="395"/>
        <v>2.2676592298778313E-2</v>
      </c>
      <c r="CP95" s="13">
        <f t="shared" si="395"/>
        <v>3.4503454451644711E-2</v>
      </c>
      <c r="CQ95" s="13">
        <f t="shared" si="395"/>
        <v>2.3822973533070793E-2</v>
      </c>
      <c r="CR95" s="13">
        <f t="shared" si="394"/>
        <v>6.2289076596663004E-3</v>
      </c>
      <c r="CS95" s="13">
        <f t="shared" si="394"/>
        <v>0</v>
      </c>
      <c r="CT95" s="13">
        <f t="shared" si="394"/>
        <v>0.11228196669228935</v>
      </c>
      <c r="CU95" s="12">
        <f t="shared" si="325"/>
        <v>1.0000000000000002</v>
      </c>
      <c r="CV95" s="26"/>
      <c r="CW95" s="23">
        <f t="shared" si="326"/>
        <v>0.89478657118187188</v>
      </c>
      <c r="CX95" s="13">
        <f t="shared" si="327"/>
        <v>1.5087716660250553E-2</v>
      </c>
      <c r="CY95" s="13">
        <f t="shared" si="328"/>
        <v>0.34314326441622384</v>
      </c>
      <c r="CZ95" s="13">
        <f t="shared" si="329"/>
        <v>0</v>
      </c>
      <c r="DA95" s="13">
        <f t="shared" si="330"/>
        <v>7.9944289693593323E-2</v>
      </c>
      <c r="DB95" s="13">
        <f t="shared" si="331"/>
        <v>5.7045656211704744E-2</v>
      </c>
      <c r="DC95" s="24">
        <f t="shared" si="332"/>
        <v>3.359534614819696E-2</v>
      </c>
      <c r="DD95" s="13">
        <f t="shared" si="333"/>
        <v>0</v>
      </c>
      <c r="DE95" s="13">
        <f t="shared" si="334"/>
        <v>6.8699335507578591E-2</v>
      </c>
      <c r="DF95" s="13">
        <f t="shared" si="335"/>
        <v>0.10452912687730855</v>
      </c>
      <c r="DG95" s="13">
        <f t="shared" si="336"/>
        <v>0.14434465549083117</v>
      </c>
      <c r="DH95" s="13">
        <f t="shared" si="337"/>
        <v>3.7741280657958065E-2</v>
      </c>
      <c r="DI95" s="13">
        <f t="shared" si="338"/>
        <v>0</v>
      </c>
      <c r="DJ95" s="13">
        <f t="shared" si="381"/>
        <v>0.68032236939409285</v>
      </c>
      <c r="DK95" s="12">
        <f t="shared" si="382"/>
        <v>2.3685986098797089</v>
      </c>
      <c r="DL95" s="26"/>
      <c r="DM95" s="23">
        <f t="shared" si="152"/>
        <v>0.3777704535709891</v>
      </c>
      <c r="DN95" s="13">
        <f t="shared" si="152"/>
        <v>6.3698917145851037E-3</v>
      </c>
      <c r="DO95" s="13">
        <f t="shared" si="152"/>
        <v>0.14487185080027157</v>
      </c>
      <c r="DP95" s="13">
        <f t="shared" si="152"/>
        <v>0</v>
      </c>
      <c r="DQ95" s="13">
        <f t="shared" si="152"/>
        <v>3.3751725328274744E-2</v>
      </c>
      <c r="DR95" s="13">
        <f t="shared" si="152"/>
        <v>2.4084138179326996E-2</v>
      </c>
      <c r="DS95" s="13">
        <f t="shared" si="152"/>
        <v>1.4183638379279098E-2</v>
      </c>
      <c r="DT95" s="13">
        <f t="shared" si="152"/>
        <v>0</v>
      </c>
      <c r="DU95" s="13">
        <f t="shared" si="396"/>
        <v>2.9004211697594273E-2</v>
      </c>
      <c r="DV95" s="13">
        <f t="shared" si="396"/>
        <v>4.4131211781221612E-2</v>
      </c>
      <c r="DW95" s="13">
        <f t="shared" si="396"/>
        <v>6.0940952548377045E-2</v>
      </c>
      <c r="DX95" s="13">
        <f t="shared" si="396"/>
        <v>1.5934012838027794E-2</v>
      </c>
      <c r="DY95" s="13">
        <f t="shared" si="396"/>
        <v>0</v>
      </c>
      <c r="DZ95" s="13">
        <f t="shared" si="396"/>
        <v>0.28722568972065871</v>
      </c>
      <c r="EA95" s="12">
        <f t="shared" si="339"/>
        <v>1</v>
      </c>
      <c r="EB95" s="26"/>
      <c r="EC95" s="30">
        <f t="shared" si="340"/>
        <v>1173</v>
      </c>
      <c r="ED95" s="14">
        <f t="shared" si="341"/>
        <v>1500000000</v>
      </c>
      <c r="EE95" s="29"/>
      <c r="EF95" s="184">
        <f t="shared" si="391"/>
        <v>-9.0534143222506387</v>
      </c>
      <c r="EG95" s="13">
        <f t="shared" si="383"/>
        <v>2.2000000000000002</v>
      </c>
      <c r="EH95" s="13">
        <f t="shared" si="384"/>
        <v>2.2515473145780067</v>
      </c>
      <c r="EI95" s="12">
        <f t="shared" si="342"/>
        <v>6.9760434782608698</v>
      </c>
      <c r="EJ95" s="29"/>
      <c r="EK95" s="28">
        <f t="shared" si="385"/>
        <v>-1.2229291827913196</v>
      </c>
      <c r="EL95" s="24">
        <f t="shared" si="343"/>
        <v>-0.53101571115558821</v>
      </c>
      <c r="EM95" s="24">
        <f t="shared" si="386"/>
        <v>0.29436664911775423</v>
      </c>
      <c r="EN95" s="24">
        <f t="shared" si="344"/>
        <v>3.9713177913676526E-2</v>
      </c>
      <c r="EO95" s="24">
        <f t="shared" si="345"/>
        <v>1.1690235108266165E-2</v>
      </c>
      <c r="EP95" s="24">
        <f t="shared" si="346"/>
        <v>0.37056773398617132</v>
      </c>
      <c r="EQ95" s="24">
        <f t="shared" si="347"/>
        <v>-1.2226115640645558</v>
      </c>
      <c r="ER95" s="24">
        <f t="shared" si="348"/>
        <v>-20.843830409306364</v>
      </c>
      <c r="ES95" s="25">
        <f t="shared" si="349"/>
        <v>-9.0507296610101449</v>
      </c>
      <c r="ET95" s="26"/>
      <c r="EU95" s="23">
        <f t="shared" si="392"/>
        <v>-1.2373200879922841</v>
      </c>
      <c r="EV95" s="12">
        <f t="shared" si="350"/>
        <v>5.4731231604585151E-2</v>
      </c>
      <c r="EW95" s="26"/>
      <c r="EX95" s="27">
        <f t="shared" si="351"/>
        <v>0.99501312126331209</v>
      </c>
      <c r="EY95" s="26"/>
      <c r="EZ95" s="23">
        <f t="shared" si="281"/>
        <v>-8.3698223188274223</v>
      </c>
      <c r="FA95" s="13">
        <f t="shared" si="352"/>
        <v>15.526012289962473</v>
      </c>
      <c r="FB95" s="13">
        <f t="shared" si="282"/>
        <v>-27.172509068173227</v>
      </c>
      <c r="FC95" s="13">
        <f t="shared" si="283"/>
        <v>9.3758299587368938</v>
      </c>
      <c r="FD95" s="12">
        <f t="shared" si="353"/>
        <v>0.99991525931277692</v>
      </c>
      <c r="FE95" s="13"/>
      <c r="FF95" s="23">
        <f t="shared" si="284"/>
        <v>-7.2391721728739657</v>
      </c>
      <c r="FG95" s="13">
        <f t="shared" si="285"/>
        <v>13.814764289861159</v>
      </c>
      <c r="FH95" s="13">
        <f t="shared" si="286"/>
        <v>15.215974285169665</v>
      </c>
      <c r="FI95" s="24">
        <f t="shared" si="287"/>
        <v>0.99887175890016189</v>
      </c>
      <c r="FJ95" s="25">
        <f t="shared" si="288"/>
        <v>0.99995516029854414</v>
      </c>
      <c r="FK95" s="13"/>
      <c r="FL95" s="23">
        <f t="shared" si="354"/>
        <v>12.885330668774174</v>
      </c>
      <c r="FM95" s="13">
        <f t="shared" si="355"/>
        <v>-7.2575417703221436</v>
      </c>
      <c r="FN95" s="13">
        <f t="shared" si="289"/>
        <v>2.036043794595038</v>
      </c>
      <c r="FO95" s="13">
        <f t="shared" si="356"/>
        <v>0.99088036559571968</v>
      </c>
      <c r="FP95" s="23">
        <f t="shared" si="290"/>
        <v>0.63962435725488476</v>
      </c>
      <c r="FQ95" s="13">
        <f t="shared" si="291"/>
        <v>0.81348100761451536</v>
      </c>
      <c r="FR95" s="13">
        <f t="shared" si="292"/>
        <v>1.1869389352599988</v>
      </c>
      <c r="FS95" s="13">
        <f t="shared" si="387"/>
        <v>0.93894764223951033</v>
      </c>
      <c r="FT95" s="13">
        <f t="shared" si="293"/>
        <v>0.49895939561805491</v>
      </c>
      <c r="FU95" s="12">
        <f t="shared" si="388"/>
        <v>0.7593092943028148</v>
      </c>
      <c r="FV95" s="22"/>
      <c r="FW95" s="11">
        <f t="shared" si="357"/>
        <v>2.2000000000000002</v>
      </c>
      <c r="FX95" s="10">
        <f t="shared" si="358"/>
        <v>2.2515473145780067</v>
      </c>
      <c r="FY95" s="10">
        <f t="shared" si="359"/>
        <v>6.9760434782608698</v>
      </c>
      <c r="FZ95" s="5">
        <f t="shared" si="360"/>
        <v>-9.0534143222506387</v>
      </c>
      <c r="GA95" s="10">
        <f t="shared" si="361"/>
        <v>0.37056773398617132</v>
      </c>
      <c r="GB95" s="9">
        <f t="shared" si="275"/>
        <v>12.885330668774174</v>
      </c>
      <c r="GC95" s="8">
        <f t="shared" si="276"/>
        <v>-7.2575417703221436</v>
      </c>
      <c r="GD95" s="8">
        <f t="shared" si="389"/>
        <v>0.99088036559571968</v>
      </c>
      <c r="GE95" s="7">
        <f t="shared" si="390"/>
        <v>0.81348100761451536</v>
      </c>
      <c r="GF95" s="6">
        <f t="shared" si="277"/>
        <v>0.99887175890016189</v>
      </c>
      <c r="GG95" s="5">
        <f t="shared" si="278"/>
        <v>0.99995516029854414</v>
      </c>
      <c r="GH95" s="4">
        <f t="shared" si="279"/>
        <v>0.99991525931277692</v>
      </c>
      <c r="GI95" s="4">
        <f t="shared" si="362"/>
        <v>0.99501312126331209</v>
      </c>
      <c r="GJ95" s="4">
        <f t="shared" si="363"/>
        <v>5.4731231604585151E-2</v>
      </c>
      <c r="GK95" s="1"/>
    </row>
    <row r="96" spans="1:193" x14ac:dyDescent="0.4">
      <c r="A96" s="32"/>
      <c r="B96" s="33"/>
      <c r="C96" s="33"/>
      <c r="D96" s="32"/>
      <c r="E96" s="32"/>
      <c r="F96" s="20"/>
      <c r="G96" s="19"/>
      <c r="H96" s="18"/>
      <c r="I96" s="17"/>
      <c r="J96" s="16"/>
      <c r="K96" s="16"/>
      <c r="L96" s="16"/>
      <c r="M96" s="16"/>
      <c r="N96" s="16"/>
      <c r="O96" s="16"/>
      <c r="P96" s="16"/>
      <c r="Q96" s="16"/>
      <c r="R96" s="16"/>
      <c r="S96" s="16"/>
      <c r="T96" s="16"/>
      <c r="U96" s="15"/>
      <c r="V96" s="16"/>
      <c r="W96" s="28"/>
      <c r="X96" s="24"/>
      <c r="Y96" s="24"/>
      <c r="Z96" s="24"/>
      <c r="AA96" s="24"/>
      <c r="AB96" s="24"/>
      <c r="AC96" s="24"/>
      <c r="AD96" s="24"/>
      <c r="AE96" s="24"/>
      <c r="AF96" s="24"/>
      <c r="AG96" s="24"/>
      <c r="AH96" s="24"/>
      <c r="AI96" s="14"/>
      <c r="AJ96" s="26"/>
      <c r="AK96" s="28"/>
      <c r="AL96" s="24"/>
      <c r="AM96" s="24"/>
      <c r="AN96" s="31"/>
      <c r="AO96" s="24"/>
      <c r="AP96" s="24"/>
      <c r="AQ96" s="24"/>
      <c r="AR96" s="24"/>
      <c r="AS96" s="24"/>
      <c r="AT96" s="24"/>
      <c r="AU96" s="24"/>
      <c r="AV96" s="24"/>
      <c r="AW96" s="24"/>
      <c r="AX96" s="24"/>
      <c r="AY96" s="25"/>
      <c r="AZ96" s="26"/>
      <c r="BA96" s="23"/>
      <c r="BB96" s="13"/>
      <c r="BC96" s="13"/>
      <c r="BD96" s="13"/>
      <c r="BE96" s="13"/>
      <c r="BF96" s="13"/>
      <c r="BG96" s="13"/>
      <c r="BH96" s="13"/>
      <c r="BI96" s="13"/>
      <c r="BJ96" s="13"/>
      <c r="BK96" s="13"/>
      <c r="BL96" s="13"/>
      <c r="BM96" s="13"/>
      <c r="BN96" s="13"/>
      <c r="BO96" s="12"/>
      <c r="BP96" s="13"/>
      <c r="BQ96" s="23"/>
      <c r="BR96" s="13"/>
      <c r="BS96" s="13"/>
      <c r="BT96" s="13"/>
      <c r="BU96" s="13"/>
      <c r="BV96" s="13"/>
      <c r="BW96" s="24"/>
      <c r="BX96" s="13"/>
      <c r="BY96" s="13"/>
      <c r="BZ96" s="13"/>
      <c r="CA96" s="13"/>
      <c r="CB96" s="13"/>
      <c r="CC96" s="13"/>
      <c r="CD96" s="13"/>
      <c r="CE96" s="12"/>
      <c r="CF96" s="13"/>
      <c r="CG96" s="23"/>
      <c r="CH96" s="13"/>
      <c r="CI96" s="13"/>
      <c r="CJ96" s="13"/>
      <c r="CK96" s="13"/>
      <c r="CL96" s="13"/>
      <c r="CM96" s="13"/>
      <c r="CN96" s="13"/>
      <c r="CO96" s="13"/>
      <c r="CP96" s="13"/>
      <c r="CQ96" s="13"/>
      <c r="CR96" s="13"/>
      <c r="CS96" s="13"/>
      <c r="CT96" s="13"/>
      <c r="CU96" s="12"/>
      <c r="CV96" s="26"/>
      <c r="CW96" s="23"/>
      <c r="CX96" s="13"/>
      <c r="CY96" s="13"/>
      <c r="CZ96" s="13"/>
      <c r="DA96" s="13"/>
      <c r="DB96" s="13"/>
      <c r="DC96" s="24"/>
      <c r="DD96" s="13"/>
      <c r="DE96" s="13"/>
      <c r="DF96" s="13"/>
      <c r="DG96" s="13"/>
      <c r="DH96" s="13"/>
      <c r="DI96" s="13"/>
      <c r="DJ96" s="13"/>
      <c r="DK96" s="12"/>
      <c r="DL96" s="26"/>
      <c r="DM96" s="23"/>
      <c r="DN96" s="13"/>
      <c r="DO96" s="13"/>
      <c r="DP96" s="13"/>
      <c r="DQ96" s="13"/>
      <c r="DR96" s="13"/>
      <c r="DS96" s="13"/>
      <c r="DT96" s="13"/>
      <c r="DU96" s="13"/>
      <c r="DV96" s="13"/>
      <c r="DW96" s="13"/>
      <c r="DX96" s="13"/>
      <c r="DY96" s="13"/>
      <c r="DZ96" s="13"/>
      <c r="EA96" s="12"/>
      <c r="EB96" s="26"/>
      <c r="EC96" s="30"/>
      <c r="ED96" s="14"/>
      <c r="EE96" s="29"/>
      <c r="EF96" s="184"/>
      <c r="EG96" s="13"/>
      <c r="EH96" s="13"/>
      <c r="EI96" s="12"/>
      <c r="EJ96" s="29"/>
      <c r="EK96" s="28"/>
      <c r="EL96" s="24"/>
      <c r="EM96" s="24"/>
      <c r="EN96" s="24"/>
      <c r="EO96" s="24"/>
      <c r="EP96" s="24"/>
      <c r="EQ96" s="24"/>
      <c r="ER96" s="24"/>
      <c r="ES96" s="25"/>
      <c r="ET96" s="26"/>
      <c r="EU96" s="23"/>
      <c r="EV96" s="12"/>
      <c r="EW96" s="26"/>
      <c r="EX96" s="27"/>
      <c r="EY96" s="26"/>
      <c r="EZ96" s="23"/>
      <c r="FA96" s="13"/>
      <c r="FB96" s="13"/>
      <c r="FC96" s="13"/>
      <c r="FD96" s="12"/>
      <c r="FE96" s="13"/>
      <c r="FF96" s="23"/>
      <c r="FG96" s="13"/>
      <c r="FH96" s="13"/>
      <c r="FI96" s="24"/>
      <c r="FJ96" s="25"/>
      <c r="FK96" s="13"/>
      <c r="FL96" s="23"/>
      <c r="FM96" s="13"/>
      <c r="FN96" s="13"/>
      <c r="FO96" s="13"/>
      <c r="FP96" s="23"/>
      <c r="FQ96" s="13"/>
      <c r="FR96" s="13"/>
      <c r="FS96" s="13"/>
      <c r="FT96" s="13"/>
      <c r="FU96" s="12"/>
      <c r="FV96" s="22"/>
      <c r="FW96" s="11"/>
      <c r="FX96" s="10"/>
      <c r="FY96" s="10"/>
      <c r="FZ96" s="5"/>
      <c r="GA96" s="10"/>
      <c r="GB96" s="9"/>
      <c r="GC96" s="8"/>
      <c r="GD96" s="8"/>
      <c r="GE96" s="7"/>
      <c r="GF96" s="6"/>
      <c r="GG96" s="5"/>
      <c r="GH96" s="4"/>
      <c r="GI96" s="4"/>
      <c r="GJ96" s="4"/>
      <c r="GK96" s="1"/>
    </row>
    <row r="97" spans="1:193" x14ac:dyDescent="0.4">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s="185"/>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s="1"/>
    </row>
    <row r="98" spans="1:193" x14ac:dyDescent="0.4">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s="185"/>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row>
    <row r="99" spans="1:193" x14ac:dyDescent="0.4">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s="185"/>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row>
    <row r="100" spans="1:193" x14ac:dyDescent="0.4">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s="185"/>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row>
    <row r="101" spans="1:193" x14ac:dyDescent="0.4">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s="185"/>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row>
    <row r="102" spans="1:193" x14ac:dyDescent="0.4">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s="185"/>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row>
    <row r="103" spans="1:193" x14ac:dyDescent="0.4">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s="185"/>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row>
    <row r="104" spans="1:193" x14ac:dyDescent="0.4">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s="185"/>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row>
    <row r="105" spans="1:193" x14ac:dyDescent="0.4">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s="18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row>
    <row r="106" spans="1:193" x14ac:dyDescent="0.4">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s="185"/>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row>
    <row r="107" spans="1:193" x14ac:dyDescent="0.4">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s="185"/>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row>
    <row r="108" spans="1:193" x14ac:dyDescent="0.4">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s="185"/>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row>
    <row r="109" spans="1:193" x14ac:dyDescent="0.4">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s="185"/>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row>
    <row r="110" spans="1:193" x14ac:dyDescent="0.4">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s="185"/>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row>
    <row r="111" spans="1:193" x14ac:dyDescent="0.4">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s="185"/>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row>
    <row r="112" spans="1:193" x14ac:dyDescent="0.4">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s="185"/>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row>
    <row r="113" spans="136:136" customFormat="1" x14ac:dyDescent="0.4">
      <c r="EF113" s="185"/>
    </row>
    <row r="114" spans="136:136" customFormat="1" x14ac:dyDescent="0.4">
      <c r="EF114" s="185"/>
    </row>
    <row r="115" spans="136:136" customFormat="1" x14ac:dyDescent="0.4">
      <c r="EF115" s="185"/>
    </row>
    <row r="116" spans="136:136" customFormat="1" x14ac:dyDescent="0.4">
      <c r="EF116" s="185"/>
    </row>
    <row r="117" spans="136:136" customFormat="1" x14ac:dyDescent="0.4">
      <c r="EF117" s="185"/>
    </row>
    <row r="118" spans="136:136" customFormat="1" x14ac:dyDescent="0.4">
      <c r="EF118" s="185"/>
    </row>
    <row r="119" spans="136:136" customFormat="1" x14ac:dyDescent="0.4">
      <c r="EF119" s="185"/>
    </row>
    <row r="120" spans="136:136" customFormat="1" x14ac:dyDescent="0.4">
      <c r="EF120" s="185"/>
    </row>
    <row r="121" spans="136:136" customFormat="1" x14ac:dyDescent="0.4">
      <c r="EF121" s="185"/>
    </row>
    <row r="122" spans="136:136" customFormat="1" x14ac:dyDescent="0.4">
      <c r="EF122" s="185"/>
    </row>
    <row r="123" spans="136:136" customFormat="1" x14ac:dyDescent="0.4">
      <c r="EF123" s="185"/>
    </row>
    <row r="124" spans="136:136" customFormat="1" x14ac:dyDescent="0.4">
      <c r="EF124" s="185"/>
    </row>
    <row r="125" spans="136:136" customFormat="1" x14ac:dyDescent="0.4">
      <c r="EF125" s="185"/>
    </row>
    <row r="126" spans="136:136" customFormat="1" x14ac:dyDescent="0.4">
      <c r="EF126" s="185"/>
    </row>
    <row r="127" spans="136:136" customFormat="1" x14ac:dyDescent="0.4">
      <c r="EF127" s="185"/>
    </row>
    <row r="128" spans="136:136" customFormat="1" x14ac:dyDescent="0.4">
      <c r="EF128" s="185"/>
    </row>
    <row r="129" spans="1:192" x14ac:dyDescent="0.4">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s="185"/>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row>
    <row r="130" spans="1:192" x14ac:dyDescent="0.4">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s="185"/>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row>
    <row r="131" spans="1:192" x14ac:dyDescent="0.4">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s="185"/>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row>
    <row r="132" spans="1:192" x14ac:dyDescent="0.4">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s="185"/>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row>
    <row r="133" spans="1:192" x14ac:dyDescent="0.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s="185"/>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row>
    <row r="134" spans="1:192" x14ac:dyDescent="0.4">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s="185"/>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row>
    <row r="135" spans="1:192" x14ac:dyDescent="0.4">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s="18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row>
    <row r="139" spans="1:192" x14ac:dyDescent="0.4">
      <c r="GF139" s="113"/>
      <c r="GG139" s="112"/>
      <c r="GH139" s="111"/>
    </row>
    <row r="140" spans="1:192" x14ac:dyDescent="0.4">
      <c r="GF140" s="113"/>
      <c r="GG140" s="112"/>
      <c r="GH140" s="111"/>
    </row>
    <row r="141" spans="1:192" x14ac:dyDescent="0.4">
      <c r="GF141" s="113"/>
      <c r="GG141" s="112"/>
      <c r="GH141" s="111"/>
    </row>
  </sheetData>
  <mergeCells count="19">
    <mergeCell ref="GB6:GE7"/>
    <mergeCell ref="F6:U7"/>
    <mergeCell ref="EF6:EI7"/>
    <mergeCell ref="EK6:EP7"/>
    <mergeCell ref="EQ6:ES7"/>
    <mergeCell ref="EU6:EV7"/>
    <mergeCell ref="EX6:EX7"/>
    <mergeCell ref="EZ6:FD7"/>
    <mergeCell ref="GA6:GA7"/>
    <mergeCell ref="U2:FW2"/>
    <mergeCell ref="FF6:FJ7"/>
    <mergeCell ref="FL6:FO7"/>
    <mergeCell ref="FP6:FU7"/>
    <mergeCell ref="FW6:FZ7"/>
    <mergeCell ref="GF6:GF7"/>
    <mergeCell ref="GG6:GG7"/>
    <mergeCell ref="GH6:GH7"/>
    <mergeCell ref="GI6:GI7"/>
    <mergeCell ref="GJ6:GJ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Calculator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Gorojovsky</dc:creator>
  <cp:lastModifiedBy>Penny Wieser</cp:lastModifiedBy>
  <dcterms:created xsi:type="dcterms:W3CDTF">2025-10-07T09:41:55Z</dcterms:created>
  <dcterms:modified xsi:type="dcterms:W3CDTF">2026-06-10T04:25:27Z</dcterms:modified>
</cp:coreProperties>
</file>