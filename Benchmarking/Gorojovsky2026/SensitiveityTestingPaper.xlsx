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PythonPackages_Outside_Box\PySulfSat\PySulfSat_Structure\Benchmarking\Gorojovsky2026\"/>
    </mc:Choice>
  </mc:AlternateContent>
  <xr:revisionPtr revIDLastSave="0" documentId="8_{B69760BB-F908-400C-B030-4258D9728C2D}" xr6:coauthVersionLast="47" xr6:coauthVersionMax="47" xr10:uidLastSave="{00000000-0000-0000-0000-000000000000}"/>
  <bookViews>
    <workbookView xWindow="28690" yWindow="-110" windowWidth="51820" windowHeight="21100" activeTab="1" xr2:uid="{32DF9F16-F33B-8948-9851-681D5E8C3787}"/>
  </bookViews>
  <sheets>
    <sheet name="Info" sheetId="1" r:id="rId1"/>
    <sheet name="Calculator"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B9" i="5" l="1"/>
  <c r="AW10" i="5"/>
  <c r="AW11" i="5"/>
  <c r="AW12" i="5"/>
  <c r="AW13" i="5"/>
  <c r="AW14" i="5"/>
  <c r="AW15" i="5"/>
  <c r="AW16" i="5"/>
  <c r="AW17" i="5"/>
  <c r="AW18" i="5"/>
  <c r="AW19" i="5"/>
  <c r="AW20" i="5"/>
  <c r="AW21" i="5"/>
  <c r="AW22" i="5"/>
  <c r="AW23" i="5"/>
  <c r="AW24" i="5"/>
  <c r="AW25" i="5"/>
  <c r="AW26" i="5"/>
  <c r="AW27" i="5"/>
  <c r="AW28" i="5"/>
  <c r="AW29" i="5"/>
  <c r="AW30" i="5"/>
  <c r="AW31" i="5"/>
  <c r="AW32" i="5"/>
  <c r="AW33" i="5"/>
  <c r="AW34" i="5"/>
  <c r="AW35" i="5"/>
  <c r="AW36" i="5"/>
  <c r="AW37" i="5"/>
  <c r="AW38" i="5"/>
  <c r="AW39" i="5"/>
  <c r="AW40" i="5"/>
  <c r="AW41" i="5"/>
  <c r="AW42" i="5"/>
  <c r="AW43" i="5"/>
  <c r="AW44" i="5"/>
  <c r="AW45" i="5"/>
  <c r="AW46" i="5"/>
  <c r="AW47" i="5"/>
  <c r="AW48" i="5"/>
  <c r="AW49" i="5"/>
  <c r="AW50" i="5"/>
  <c r="AW51" i="5"/>
  <c r="AW52" i="5"/>
  <c r="AW53" i="5"/>
  <c r="AW54" i="5"/>
  <c r="AW55" i="5"/>
  <c r="AW56" i="5"/>
  <c r="AW57" i="5"/>
  <c r="AW58" i="5"/>
  <c r="AW59" i="5"/>
  <c r="AW60" i="5"/>
  <c r="AW61" i="5"/>
  <c r="AW62" i="5"/>
  <c r="AW63" i="5"/>
  <c r="AW64" i="5"/>
  <c r="AW65" i="5"/>
  <c r="AW66" i="5"/>
  <c r="AW67" i="5"/>
  <c r="AW68" i="5"/>
  <c r="AW69" i="5"/>
  <c r="AW70" i="5"/>
  <c r="AW71" i="5"/>
  <c r="AW72" i="5"/>
  <c r="AW73" i="5"/>
  <c r="AW74" i="5"/>
  <c r="AW75" i="5"/>
  <c r="AW76" i="5"/>
  <c r="AW77" i="5"/>
  <c r="AW78" i="5"/>
  <c r="AW79" i="5"/>
  <c r="AW80" i="5"/>
  <c r="AW81" i="5"/>
  <c r="AW82" i="5"/>
  <c r="AW83" i="5"/>
  <c r="AW84" i="5"/>
  <c r="AW85" i="5"/>
  <c r="AW86" i="5"/>
  <c r="AW87" i="5"/>
  <c r="AW88" i="5"/>
  <c r="AW89" i="5"/>
  <c r="AW90" i="5"/>
  <c r="AW91" i="5"/>
  <c r="AW92" i="5"/>
  <c r="AW93" i="5"/>
  <c r="AW94" i="5"/>
  <c r="AW95" i="5"/>
  <c r="AW9" i="5"/>
  <c r="EZ10" i="5"/>
  <c r="EZ11" i="5"/>
  <c r="EZ12" i="5"/>
  <c r="EZ13" i="5"/>
  <c r="EZ14" i="5"/>
  <c r="EZ15" i="5"/>
  <c r="EZ16" i="5"/>
  <c r="EZ17" i="5"/>
  <c r="EZ18" i="5"/>
  <c r="EZ19" i="5"/>
  <c r="EZ20" i="5"/>
  <c r="EZ21" i="5"/>
  <c r="EZ22" i="5"/>
  <c r="EZ23" i="5"/>
  <c r="EZ24" i="5"/>
  <c r="EZ25" i="5"/>
  <c r="EZ26" i="5"/>
  <c r="EZ27" i="5"/>
  <c r="EZ28" i="5"/>
  <c r="EZ29" i="5"/>
  <c r="EZ30" i="5"/>
  <c r="EZ31" i="5"/>
  <c r="EZ32" i="5"/>
  <c r="EZ33" i="5"/>
  <c r="EZ34" i="5"/>
  <c r="EZ35" i="5"/>
  <c r="EZ36" i="5"/>
  <c r="EZ37" i="5"/>
  <c r="EZ38" i="5"/>
  <c r="EZ39" i="5"/>
  <c r="EZ40" i="5"/>
  <c r="EZ41" i="5"/>
  <c r="EZ42" i="5"/>
  <c r="EZ43" i="5"/>
  <c r="EZ44" i="5"/>
  <c r="EZ45" i="5"/>
  <c r="EZ46" i="5"/>
  <c r="EZ47" i="5"/>
  <c r="EZ48" i="5"/>
  <c r="EZ49" i="5"/>
  <c r="EZ50" i="5"/>
  <c r="EZ51" i="5"/>
  <c r="EZ52" i="5"/>
  <c r="EZ53" i="5"/>
  <c r="EZ54" i="5"/>
  <c r="EZ55" i="5"/>
  <c r="EZ56" i="5"/>
  <c r="EZ57" i="5"/>
  <c r="EZ58" i="5"/>
  <c r="EZ59" i="5"/>
  <c r="EZ60" i="5"/>
  <c r="EZ61" i="5"/>
  <c r="EZ62" i="5"/>
  <c r="EZ63" i="5"/>
  <c r="EZ64" i="5"/>
  <c r="EZ65" i="5"/>
  <c r="EZ66" i="5"/>
  <c r="EZ67" i="5"/>
  <c r="EZ68" i="5"/>
  <c r="EZ69" i="5"/>
  <c r="EZ70" i="5"/>
  <c r="EZ71" i="5"/>
  <c r="EZ72" i="5"/>
  <c r="EZ73" i="5"/>
  <c r="EZ74" i="5"/>
  <c r="EZ75" i="5"/>
  <c r="EZ76" i="5"/>
  <c r="EZ77" i="5"/>
  <c r="EZ78" i="5"/>
  <c r="EZ79" i="5"/>
  <c r="EZ80" i="5"/>
  <c r="EZ81" i="5"/>
  <c r="EZ82" i="5"/>
  <c r="EZ83" i="5"/>
  <c r="EZ84" i="5"/>
  <c r="EZ85" i="5"/>
  <c r="EZ86" i="5"/>
  <c r="EZ87" i="5"/>
  <c r="EZ88" i="5"/>
  <c r="EZ89" i="5"/>
  <c r="EZ90" i="5"/>
  <c r="EZ91" i="5"/>
  <c r="EZ92" i="5"/>
  <c r="EZ93" i="5"/>
  <c r="EZ94" i="5"/>
  <c r="EZ95" i="5"/>
  <c r="EZ9" i="5"/>
  <c r="EY10" i="5"/>
  <c r="EY11" i="5"/>
  <c r="EY12" i="5"/>
  <c r="EY13" i="5"/>
  <c r="EY14" i="5"/>
  <c r="EY15" i="5"/>
  <c r="EY16" i="5"/>
  <c r="EY17" i="5"/>
  <c r="EY18" i="5"/>
  <c r="EY19" i="5"/>
  <c r="EY20" i="5"/>
  <c r="EY21" i="5"/>
  <c r="EY22" i="5"/>
  <c r="EY23" i="5"/>
  <c r="EY24" i="5"/>
  <c r="EY25" i="5"/>
  <c r="EY26" i="5"/>
  <c r="EY27" i="5"/>
  <c r="EY28" i="5"/>
  <c r="EY29" i="5"/>
  <c r="EY30" i="5"/>
  <c r="EY31" i="5"/>
  <c r="EY32" i="5"/>
  <c r="EY33" i="5"/>
  <c r="EY34" i="5"/>
  <c r="EY35" i="5"/>
  <c r="EY36" i="5"/>
  <c r="EY37" i="5"/>
  <c r="EY38" i="5"/>
  <c r="EY39" i="5"/>
  <c r="EY40" i="5"/>
  <c r="EY41" i="5"/>
  <c r="EY42" i="5"/>
  <c r="EY43" i="5"/>
  <c r="EY44" i="5"/>
  <c r="EY45" i="5"/>
  <c r="EY46" i="5"/>
  <c r="EY47" i="5"/>
  <c r="EY48" i="5"/>
  <c r="EY49" i="5"/>
  <c r="EY50" i="5"/>
  <c r="EY51" i="5"/>
  <c r="EY52" i="5"/>
  <c r="EY53" i="5"/>
  <c r="EY54" i="5"/>
  <c r="EY55" i="5"/>
  <c r="EY56" i="5"/>
  <c r="EY57" i="5"/>
  <c r="EY58" i="5"/>
  <c r="EY59" i="5"/>
  <c r="EY60" i="5"/>
  <c r="EY61" i="5"/>
  <c r="EY62" i="5"/>
  <c r="EY63" i="5"/>
  <c r="EY64" i="5"/>
  <c r="EY65" i="5"/>
  <c r="EY66" i="5"/>
  <c r="EY67" i="5"/>
  <c r="EY68" i="5"/>
  <c r="EY69" i="5"/>
  <c r="EY70" i="5"/>
  <c r="EY71" i="5"/>
  <c r="EY72" i="5"/>
  <c r="EY73" i="5"/>
  <c r="EY74" i="5"/>
  <c r="EY75" i="5"/>
  <c r="EY76" i="5"/>
  <c r="EY77" i="5"/>
  <c r="EY78" i="5"/>
  <c r="EY79" i="5"/>
  <c r="EY80" i="5"/>
  <c r="EY81" i="5"/>
  <c r="EY82" i="5"/>
  <c r="EY83" i="5"/>
  <c r="EY84" i="5"/>
  <c r="EY85" i="5"/>
  <c r="EY86" i="5"/>
  <c r="EY87" i="5"/>
  <c r="EY88" i="5"/>
  <c r="EY89" i="5"/>
  <c r="EY90" i="5"/>
  <c r="EY91" i="5"/>
  <c r="EY92" i="5"/>
  <c r="EY93" i="5"/>
  <c r="EY94" i="5"/>
  <c r="EY95" i="5"/>
  <c r="EY9" i="5"/>
  <c r="ED9" i="5"/>
  <c r="EF9" i="5"/>
  <c r="W60" i="5"/>
  <c r="CW60" i="5" s="1"/>
  <c r="X60" i="5"/>
  <c r="AL60" i="5" s="1"/>
  <c r="Y60" i="5"/>
  <c r="AM60" i="5" s="1"/>
  <c r="Z60" i="5"/>
  <c r="AN60" i="5" s="1"/>
  <c r="AA60" i="5"/>
  <c r="AO60" i="5" s="1"/>
  <c r="AB60" i="5"/>
  <c r="AC60" i="5"/>
  <c r="DE60" i="5" s="1"/>
  <c r="AD60" i="5"/>
  <c r="DF60" i="5" s="1"/>
  <c r="AE60" i="5"/>
  <c r="AS60" i="5" s="1"/>
  <c r="AF60" i="5"/>
  <c r="AT60" i="5" s="1"/>
  <c r="AG60" i="5"/>
  <c r="AU60" i="5" s="1"/>
  <c r="AH60" i="5"/>
  <c r="CD60" i="5" s="1"/>
  <c r="DA60" i="5"/>
  <c r="EC60" i="5"/>
  <c r="ED60" i="5"/>
  <c r="EF60" i="5"/>
  <c r="EG60" i="5"/>
  <c r="FE60" i="5" s="1"/>
  <c r="W61" i="5"/>
  <c r="X61" i="5"/>
  <c r="CX61" i="5" s="1"/>
  <c r="Y61" i="5"/>
  <c r="CY61" i="5" s="1"/>
  <c r="Z61" i="5"/>
  <c r="CZ61" i="5" s="1"/>
  <c r="AA61" i="5"/>
  <c r="BU61" i="5" s="1"/>
  <c r="AB61" i="5"/>
  <c r="AP61" i="5" s="1"/>
  <c r="AC61" i="5"/>
  <c r="AQ61" i="5" s="1"/>
  <c r="AD61" i="5"/>
  <c r="AR61" i="5" s="1"/>
  <c r="AE61" i="5"/>
  <c r="AF61" i="5"/>
  <c r="AG61" i="5"/>
  <c r="DI61" i="5" s="1"/>
  <c r="AH61" i="5"/>
  <c r="AV61" i="5" s="1"/>
  <c r="DA61" i="5"/>
  <c r="EC61" i="5"/>
  <c r="FI61" i="5" s="1"/>
  <c r="ED61" i="5"/>
  <c r="EF61" i="5"/>
  <c r="EG61" i="5"/>
  <c r="FE61" i="5" s="1"/>
  <c r="CD61" i="5" l="1"/>
  <c r="CC61" i="5"/>
  <c r="BT61" i="5"/>
  <c r="EI60" i="5"/>
  <c r="CC60" i="5"/>
  <c r="BS60" i="5"/>
  <c r="EH60" i="5"/>
  <c r="DI60" i="5"/>
  <c r="DJ61" i="5"/>
  <c r="CY60" i="5"/>
  <c r="EH61" i="5"/>
  <c r="DE61" i="5"/>
  <c r="AO61" i="5"/>
  <c r="AK60" i="5"/>
  <c r="AN61" i="5"/>
  <c r="DG61" i="5"/>
  <c r="AS61" i="5"/>
  <c r="BQ61" i="5"/>
  <c r="AK61" i="5"/>
  <c r="AI60" i="5"/>
  <c r="DH60" i="5"/>
  <c r="CB60" i="5"/>
  <c r="BX61" i="5"/>
  <c r="DG60" i="5"/>
  <c r="CA60" i="5"/>
  <c r="AM61" i="5"/>
  <c r="AV60" i="5"/>
  <c r="AR60" i="5"/>
  <c r="CZ60" i="5"/>
  <c r="BT60" i="5"/>
  <c r="CX60" i="5"/>
  <c r="BR60" i="5"/>
  <c r="AU61" i="5"/>
  <c r="AQ60" i="5"/>
  <c r="BZ60" i="5"/>
  <c r="DD61" i="5"/>
  <c r="DH61" i="5"/>
  <c r="AT61" i="5"/>
  <c r="BR61" i="5"/>
  <c r="AL61" i="5"/>
  <c r="DJ60" i="5"/>
  <c r="BQ60" i="5"/>
  <c r="DD60" i="5"/>
  <c r="AP60" i="5"/>
  <c r="DF61" i="5"/>
  <c r="BU60" i="5"/>
  <c r="CW61" i="5"/>
  <c r="CB61" i="5"/>
  <c r="FI60" i="5"/>
  <c r="BY60" i="5"/>
  <c r="CA61" i="5"/>
  <c r="BS61" i="5"/>
  <c r="BX60" i="5"/>
  <c r="EI61" i="5"/>
  <c r="BZ61" i="5"/>
  <c r="AI61" i="5"/>
  <c r="BY61" i="5"/>
  <c r="BH60" i="5" l="1"/>
  <c r="DK60" i="5"/>
  <c r="DX60" i="5" s="1"/>
  <c r="CE60" i="5"/>
  <c r="CG60" i="5" s="1"/>
  <c r="CE61" i="5"/>
  <c r="CH61" i="5" s="1"/>
  <c r="CN60" i="5"/>
  <c r="CT60" i="5"/>
  <c r="DK61" i="5"/>
  <c r="DV60" i="5"/>
  <c r="DO60" i="5"/>
  <c r="DW60" i="5"/>
  <c r="DP60" i="5"/>
  <c r="DQ60" i="5"/>
  <c r="EA60" i="5"/>
  <c r="DT60" i="5"/>
  <c r="DN60" i="5" l="1"/>
  <c r="DZ60" i="5"/>
  <c r="DU60" i="5"/>
  <c r="DY60" i="5"/>
  <c r="DM60" i="5"/>
  <c r="CR61" i="5"/>
  <c r="CQ60" i="5"/>
  <c r="CJ61" i="5"/>
  <c r="CI60" i="5"/>
  <c r="CR60" i="5"/>
  <c r="CH60" i="5"/>
  <c r="BL60" i="5"/>
  <c r="CP61" i="5"/>
  <c r="BD60" i="5"/>
  <c r="CJ60" i="5"/>
  <c r="BC60" i="5"/>
  <c r="BE60" i="5"/>
  <c r="BJ60" i="5"/>
  <c r="BB60" i="5"/>
  <c r="CP60" i="5"/>
  <c r="CS60" i="5"/>
  <c r="CO60" i="5"/>
  <c r="CK60" i="5"/>
  <c r="CO61" i="5"/>
  <c r="BI60" i="5"/>
  <c r="CQ61" i="5"/>
  <c r="BN60" i="5"/>
  <c r="BA60" i="5"/>
  <c r="CI61" i="5"/>
  <c r="BM60" i="5"/>
  <c r="BK60" i="5"/>
  <c r="CG61" i="5"/>
  <c r="CN61" i="5"/>
  <c r="CS61" i="5"/>
  <c r="CK61" i="5"/>
  <c r="CT61" i="5"/>
  <c r="BH61" i="5"/>
  <c r="BA61" i="5"/>
  <c r="BI61" i="5"/>
  <c r="BB61" i="5"/>
  <c r="BJ61" i="5"/>
  <c r="BC61" i="5"/>
  <c r="BK61" i="5"/>
  <c r="BD61" i="5"/>
  <c r="BL61" i="5"/>
  <c r="BE61" i="5"/>
  <c r="BM61" i="5"/>
  <c r="BN61" i="5"/>
  <c r="DP61" i="5"/>
  <c r="DX61" i="5"/>
  <c r="DQ61" i="5"/>
  <c r="DY61" i="5"/>
  <c r="DZ61" i="5"/>
  <c r="EA61" i="5"/>
  <c r="DT61" i="5"/>
  <c r="DM61" i="5"/>
  <c r="DU61" i="5"/>
  <c r="DN61" i="5"/>
  <c r="DV61" i="5"/>
  <c r="DO61" i="5"/>
  <c r="DW61" i="5"/>
  <c r="FG60" i="5"/>
  <c r="EK60" i="5" l="1"/>
  <c r="EM60" i="5" s="1"/>
  <c r="EN60" i="5" s="1"/>
  <c r="CU60" i="5"/>
  <c r="BO60" i="5"/>
  <c r="CU61" i="5"/>
  <c r="FN61" i="5" s="1"/>
  <c r="EK61" i="5"/>
  <c r="EL61" i="5" s="1"/>
  <c r="FS61" i="5"/>
  <c r="FO61" i="5"/>
  <c r="FG61" i="5"/>
  <c r="BO61" i="5"/>
  <c r="FO60" i="5"/>
  <c r="FS60" i="5"/>
  <c r="FN60" i="5"/>
  <c r="EL60" i="5" l="1"/>
  <c r="EM61" i="5"/>
  <c r="EO60" i="5"/>
  <c r="EP60" i="5" s="1"/>
  <c r="EN61" i="5"/>
  <c r="EO61" i="5" s="1"/>
  <c r="AY60" i="5" l="1"/>
  <c r="AX60" i="5"/>
  <c r="BF60" i="5" s="1"/>
  <c r="EP61" i="5"/>
  <c r="DC60" i="5"/>
  <c r="DS60" i="5" s="1"/>
  <c r="BW60" i="5"/>
  <c r="CM60" i="5" s="1"/>
  <c r="BV60" i="5"/>
  <c r="CL60" i="5" s="1"/>
  <c r="DB60" i="5"/>
  <c r="DR60" i="5" s="1"/>
  <c r="FH60" i="5" s="1"/>
  <c r="FJ60" i="5" s="1"/>
  <c r="FK60" i="5" s="1"/>
  <c r="AX61" i="5" l="1"/>
  <c r="BF61" i="5" s="1"/>
  <c r="AY61" i="5"/>
  <c r="EQ60" i="5"/>
  <c r="ER60" i="5" s="1"/>
  <c r="ES60" i="5" s="1"/>
  <c r="BG60" i="5"/>
  <c r="FA60" i="5" s="1"/>
  <c r="FB60" i="5" s="1"/>
  <c r="FM60" i="5"/>
  <c r="FT60" i="5"/>
  <c r="DB61" i="5"/>
  <c r="DR61" i="5" s="1"/>
  <c r="FH61" i="5" s="1"/>
  <c r="FJ61" i="5" s="1"/>
  <c r="FK61" i="5" s="1"/>
  <c r="DC61" i="5"/>
  <c r="DS61" i="5" s="1"/>
  <c r="BV61" i="5"/>
  <c r="CL61" i="5" s="1"/>
  <c r="BW61" i="5"/>
  <c r="CM61" i="5" s="1"/>
  <c r="EQ61" i="5" l="1"/>
  <c r="ER61" i="5" s="1"/>
  <c r="ES61" i="5" s="1"/>
  <c r="BG61" i="5"/>
  <c r="FA61" i="5" s="1"/>
  <c r="FB61" i="5" s="1"/>
  <c r="FY60" i="5"/>
  <c r="GA60" i="5"/>
  <c r="FU60" i="5"/>
  <c r="FV60" i="5" s="1"/>
  <c r="FW60" i="5"/>
  <c r="FX60" i="5" s="1"/>
  <c r="FP60" i="5"/>
  <c r="FQ60" i="5"/>
  <c r="FT61" i="5"/>
  <c r="FM61" i="5"/>
  <c r="FZ60" i="5" l="1"/>
  <c r="GB60" i="5"/>
  <c r="FP61" i="5"/>
  <c r="FQ61" i="5"/>
  <c r="FW61" i="5"/>
  <c r="FX61" i="5" s="1"/>
  <c r="FU61" i="5"/>
  <c r="FV61" i="5" s="1"/>
  <c r="FY61" i="5"/>
  <c r="GA61" i="5"/>
  <c r="GB61" i="5" l="1"/>
  <c r="FZ61" i="5"/>
  <c r="GD60" i="5" l="1"/>
  <c r="GE60" i="5"/>
  <c r="GF60" i="5"/>
  <c r="GG60" i="5"/>
  <c r="GH60" i="5"/>
  <c r="GI60" i="5"/>
  <c r="GJ60" i="5"/>
  <c r="GK60" i="5"/>
  <c r="GM60" i="5"/>
  <c r="GN60" i="5"/>
  <c r="GO60" i="5"/>
  <c r="GP60" i="5"/>
  <c r="GQ60" i="5"/>
  <c r="GL60" i="5" l="1"/>
  <c r="EG95" i="5" l="1"/>
  <c r="EF95" i="5"/>
  <c r="ED95" i="5"/>
  <c r="EC95" i="5"/>
  <c r="FI95" i="5" s="1"/>
  <c r="DA95" i="5"/>
  <c r="AE95" i="5"/>
  <c r="AS95" i="5" s="1"/>
  <c r="AC95" i="5"/>
  <c r="AQ95" i="5" s="1"/>
  <c r="EG94" i="5"/>
  <c r="EF94" i="5"/>
  <c r="ED94" i="5"/>
  <c r="EC94" i="5"/>
  <c r="DA94" i="5"/>
  <c r="EG93" i="5"/>
  <c r="EF93" i="5"/>
  <c r="ED93" i="5"/>
  <c r="EC93" i="5"/>
  <c r="FI93" i="5" s="1"/>
  <c r="DA93" i="5"/>
  <c r="W93" i="5"/>
  <c r="AK93" i="5" s="1"/>
  <c r="EG92" i="5"/>
  <c r="EF92" i="5"/>
  <c r="ED92" i="5"/>
  <c r="EC92" i="5"/>
  <c r="FI92" i="5" s="1"/>
  <c r="DA92" i="5"/>
  <c r="EG91" i="5"/>
  <c r="EF91" i="5"/>
  <c r="ED91" i="5"/>
  <c r="EC91" i="5"/>
  <c r="DA91" i="5"/>
  <c r="EG90" i="5"/>
  <c r="EF90" i="5"/>
  <c r="ED90" i="5"/>
  <c r="EC90" i="5"/>
  <c r="DA90" i="5"/>
  <c r="EG89" i="5"/>
  <c r="EF89" i="5"/>
  <c r="ED89" i="5"/>
  <c r="EC89" i="5"/>
  <c r="DA89" i="5"/>
  <c r="EG88" i="5"/>
  <c r="EF88" i="5"/>
  <c r="ED88" i="5"/>
  <c r="EC88" i="5"/>
  <c r="FI88" i="5" s="1"/>
  <c r="DA88" i="5"/>
  <c r="AH88" i="5"/>
  <c r="AV88" i="5" s="1"/>
  <c r="EG87" i="5"/>
  <c r="EF87" i="5"/>
  <c r="ED87" i="5"/>
  <c r="EC87" i="5"/>
  <c r="DA87" i="5"/>
  <c r="Z87" i="5"/>
  <c r="EG86" i="5"/>
  <c r="EF86" i="5"/>
  <c r="ED86" i="5"/>
  <c r="EC86" i="5"/>
  <c r="DA86" i="5"/>
  <c r="EG85" i="5"/>
  <c r="EF85" i="5"/>
  <c r="ED85" i="5"/>
  <c r="EC85" i="5"/>
  <c r="FI85" i="5" s="1"/>
  <c r="DA85" i="5"/>
  <c r="EG84" i="5"/>
  <c r="EF84" i="5"/>
  <c r="ED84" i="5"/>
  <c r="EC84" i="5"/>
  <c r="DA84" i="5"/>
  <c r="W84" i="5"/>
  <c r="AK84" i="5" s="1"/>
  <c r="EG83" i="5"/>
  <c r="EF83" i="5"/>
  <c r="ED83" i="5"/>
  <c r="EC83" i="5"/>
  <c r="FI83" i="5" s="1"/>
  <c r="DA83" i="5"/>
  <c r="Z83" i="5"/>
  <c r="AN83" i="5" s="1"/>
  <c r="EG82" i="5"/>
  <c r="EF82" i="5"/>
  <c r="ED82" i="5"/>
  <c r="EC82" i="5"/>
  <c r="FI82" i="5" s="1"/>
  <c r="DA82" i="5"/>
  <c r="X82" i="5"/>
  <c r="AL82" i="5" s="1"/>
  <c r="EG81" i="5"/>
  <c r="EF81" i="5"/>
  <c r="ED81" i="5"/>
  <c r="EC81" i="5"/>
  <c r="DA81" i="5"/>
  <c r="AG81" i="5"/>
  <c r="EG80" i="5"/>
  <c r="EF80" i="5"/>
  <c r="ED80" i="5"/>
  <c r="EC80" i="5"/>
  <c r="DA80" i="5"/>
  <c r="EG79" i="5"/>
  <c r="EF79" i="5"/>
  <c r="ED79" i="5"/>
  <c r="EC79" i="5"/>
  <c r="FI79" i="5" s="1"/>
  <c r="DA79" i="5"/>
  <c r="EG78" i="5"/>
  <c r="EF78" i="5"/>
  <c r="ED78" i="5"/>
  <c r="EC78" i="5"/>
  <c r="DA78" i="5"/>
  <c r="AB78" i="5"/>
  <c r="AP78" i="5" s="1"/>
  <c r="EG77" i="5"/>
  <c r="EF77" i="5"/>
  <c r="ED77" i="5"/>
  <c r="EC77" i="5"/>
  <c r="FI77" i="5" s="1"/>
  <c r="DA77" i="5"/>
  <c r="EG76" i="5"/>
  <c r="EF76" i="5"/>
  <c r="ED76" i="5"/>
  <c r="EC76" i="5"/>
  <c r="FI76" i="5" s="1"/>
  <c r="DA76" i="5"/>
  <c r="AG76" i="5"/>
  <c r="AU76" i="5" s="1"/>
  <c r="EG75" i="5"/>
  <c r="EF75" i="5"/>
  <c r="ED75" i="5"/>
  <c r="EC75" i="5"/>
  <c r="DA75" i="5"/>
  <c r="EG74" i="5"/>
  <c r="EF74" i="5"/>
  <c r="ED74" i="5"/>
  <c r="EC74" i="5"/>
  <c r="DA74" i="5"/>
  <c r="X74" i="5"/>
  <c r="AL74" i="5" s="1"/>
  <c r="EG73" i="5"/>
  <c r="EF73" i="5"/>
  <c r="ED73" i="5"/>
  <c r="EC73" i="5"/>
  <c r="DA73" i="5"/>
  <c r="AA73" i="5"/>
  <c r="EG72" i="5"/>
  <c r="EF72" i="5"/>
  <c r="ED72" i="5"/>
  <c r="EC72" i="5"/>
  <c r="DA72" i="5"/>
  <c r="EG71" i="5"/>
  <c r="EF71" i="5"/>
  <c r="ED71" i="5"/>
  <c r="EC71" i="5"/>
  <c r="DA71" i="5"/>
  <c r="AA71" i="5"/>
  <c r="AO71" i="5" s="1"/>
  <c r="EG70" i="5"/>
  <c r="EF70" i="5"/>
  <c r="ED70" i="5"/>
  <c r="EC70" i="5"/>
  <c r="DA70" i="5"/>
  <c r="AD70" i="5"/>
  <c r="AR70" i="5" s="1"/>
  <c r="EG69" i="5"/>
  <c r="EF69" i="5"/>
  <c r="ED69" i="5"/>
  <c r="EC69" i="5"/>
  <c r="DA69" i="5"/>
  <c r="AD69" i="5"/>
  <c r="AR69" i="5" s="1"/>
  <c r="EG68" i="5"/>
  <c r="EF68" i="5"/>
  <c r="ED68" i="5"/>
  <c r="EC68" i="5"/>
  <c r="FI68" i="5" s="1"/>
  <c r="DA68" i="5"/>
  <c r="EG67" i="5"/>
  <c r="EF67" i="5"/>
  <c r="ED67" i="5"/>
  <c r="EC67" i="5"/>
  <c r="DA67" i="5"/>
  <c r="AD67" i="5"/>
  <c r="AR67" i="5" s="1"/>
  <c r="EG66" i="5"/>
  <c r="EF66" i="5"/>
  <c r="ED66" i="5"/>
  <c r="EC66" i="5"/>
  <c r="DA66" i="5"/>
  <c r="EG65" i="5"/>
  <c r="EF65" i="5"/>
  <c r="ED65" i="5"/>
  <c r="EC65" i="5"/>
  <c r="FI65" i="5" s="1"/>
  <c r="DA65" i="5"/>
  <c r="AE65" i="5"/>
  <c r="AS65" i="5" s="1"/>
  <c r="EG64" i="5"/>
  <c r="EF64" i="5"/>
  <c r="ED64" i="5"/>
  <c r="EC64" i="5"/>
  <c r="DA64" i="5"/>
  <c r="AA64" i="5"/>
  <c r="AO64" i="5" s="1"/>
  <c r="EG63" i="5"/>
  <c r="EF63" i="5"/>
  <c r="ED63" i="5"/>
  <c r="EC63" i="5"/>
  <c r="DA63" i="5"/>
  <c r="EG62" i="5"/>
  <c r="EF62" i="5"/>
  <c r="ED62" i="5"/>
  <c r="EC62" i="5"/>
  <c r="DA62" i="5"/>
  <c r="AF62" i="5"/>
  <c r="AT62" i="5" s="1"/>
  <c r="EG59" i="5"/>
  <c r="EF59" i="5"/>
  <c r="ED59" i="5"/>
  <c r="EC59" i="5"/>
  <c r="FI59" i="5" s="1"/>
  <c r="DA59" i="5"/>
  <c r="AH59" i="5"/>
  <c r="AV59" i="5" s="1"/>
  <c r="AD59" i="5"/>
  <c r="AC59" i="5"/>
  <c r="AA59" i="5"/>
  <c r="AO59" i="5" s="1"/>
  <c r="Z59" i="5"/>
  <c r="AN59" i="5" s="1"/>
  <c r="Y59" i="5"/>
  <c r="AM59" i="5" s="1"/>
  <c r="X59" i="5"/>
  <c r="AL59" i="5" s="1"/>
  <c r="AE59" i="5"/>
  <c r="EG58" i="5"/>
  <c r="EF58" i="5"/>
  <c r="ED58" i="5"/>
  <c r="EC58" i="5"/>
  <c r="DA58" i="5"/>
  <c r="AF58" i="5"/>
  <c r="AT58" i="5" s="1"/>
  <c r="EG57" i="5"/>
  <c r="EF57" i="5"/>
  <c r="ED57" i="5"/>
  <c r="EC57" i="5"/>
  <c r="DA57" i="5"/>
  <c r="AG57" i="5"/>
  <c r="AU57" i="5" s="1"/>
  <c r="AF57" i="5"/>
  <c r="AT57" i="5" s="1"/>
  <c r="EG56" i="5"/>
  <c r="EF56" i="5"/>
  <c r="ED56" i="5"/>
  <c r="EC56" i="5"/>
  <c r="DA56" i="5"/>
  <c r="AD56" i="5"/>
  <c r="AR56" i="5" s="1"/>
  <c r="AC56" i="5"/>
  <c r="AQ56" i="5" s="1"/>
  <c r="AB56" i="5"/>
  <c r="AP56" i="5" s="1"/>
  <c r="AA56" i="5"/>
  <c r="AE56" i="5"/>
  <c r="AS56" i="5" s="1"/>
  <c r="EG55" i="5"/>
  <c r="EF55" i="5"/>
  <c r="ED55" i="5"/>
  <c r="EC55" i="5"/>
  <c r="DA55" i="5"/>
  <c r="AH55" i="5"/>
  <c r="AV55" i="5" s="1"/>
  <c r="AG55" i="5"/>
  <c r="AU55" i="5" s="1"/>
  <c r="AE55" i="5"/>
  <c r="AS55" i="5" s="1"/>
  <c r="AC55" i="5"/>
  <c r="AQ55" i="5" s="1"/>
  <c r="EG54" i="5"/>
  <c r="EF54" i="5"/>
  <c r="ED54" i="5"/>
  <c r="EC54" i="5"/>
  <c r="DA54" i="5"/>
  <c r="AG54" i="5"/>
  <c r="AU54" i="5" s="1"/>
  <c r="AE54" i="5"/>
  <c r="AS54" i="5" s="1"/>
  <c r="AD54" i="5"/>
  <c r="AR54" i="5" s="1"/>
  <c r="AC54" i="5"/>
  <c r="AQ54" i="5" s="1"/>
  <c r="EG53" i="5"/>
  <c r="EF53" i="5"/>
  <c r="ED53" i="5"/>
  <c r="EC53" i="5"/>
  <c r="DA53" i="5"/>
  <c r="AH53" i="5"/>
  <c r="AG53" i="5"/>
  <c r="AE53" i="5"/>
  <c r="AS53" i="5" s="1"/>
  <c r="AC53" i="5"/>
  <c r="AQ53" i="5" s="1"/>
  <c r="AB53" i="5"/>
  <c r="AP53" i="5" s="1"/>
  <c r="AA53" i="5"/>
  <c r="AO53" i="5" s="1"/>
  <c r="Z53" i="5"/>
  <c r="AN53" i="5" s="1"/>
  <c r="Y53" i="5"/>
  <c r="AM53" i="5" s="1"/>
  <c r="W53" i="5"/>
  <c r="AK53" i="5" s="1"/>
  <c r="AF53" i="5"/>
  <c r="EG52" i="5"/>
  <c r="EF52" i="5"/>
  <c r="ED52" i="5"/>
  <c r="EC52" i="5"/>
  <c r="FI52" i="5" s="1"/>
  <c r="DA52" i="5"/>
  <c r="AH52" i="5"/>
  <c r="AV52" i="5" s="1"/>
  <c r="AG52" i="5"/>
  <c r="AB52" i="5"/>
  <c r="AA52" i="5"/>
  <c r="AO52" i="5" s="1"/>
  <c r="Z52" i="5"/>
  <c r="Y52" i="5"/>
  <c r="AM52" i="5" s="1"/>
  <c r="AF52" i="5"/>
  <c r="AT52" i="5" s="1"/>
  <c r="EG51" i="5"/>
  <c r="EF51" i="5"/>
  <c r="ED51" i="5"/>
  <c r="EC51" i="5"/>
  <c r="FI51" i="5" s="1"/>
  <c r="DA51" i="5"/>
  <c r="AH51" i="5"/>
  <c r="AV51" i="5" s="1"/>
  <c r="AG51" i="5"/>
  <c r="AU51" i="5" s="1"/>
  <c r="AF51" i="5"/>
  <c r="AE51" i="5"/>
  <c r="AS51" i="5" s="1"/>
  <c r="AC51" i="5"/>
  <c r="AB51" i="5"/>
  <c r="AA51" i="5"/>
  <c r="AO51" i="5" s="1"/>
  <c r="Z51" i="5"/>
  <c r="AN51" i="5" s="1"/>
  <c r="Y51" i="5"/>
  <c r="AM51" i="5" s="1"/>
  <c r="X51" i="5"/>
  <c r="W51" i="5"/>
  <c r="AK51" i="5" s="1"/>
  <c r="AD51" i="5"/>
  <c r="AR51" i="5" s="1"/>
  <c r="EG50" i="5"/>
  <c r="EF50" i="5"/>
  <c r="ED50" i="5"/>
  <c r="EC50" i="5"/>
  <c r="FI50" i="5" s="1"/>
  <c r="DA50" i="5"/>
  <c r="AH50" i="5"/>
  <c r="AV50" i="5" s="1"/>
  <c r="AG50" i="5"/>
  <c r="AU50" i="5" s="1"/>
  <c r="AF50" i="5"/>
  <c r="AT50" i="5" s="1"/>
  <c r="AE50" i="5"/>
  <c r="AS50" i="5" s="1"/>
  <c r="Z50" i="5"/>
  <c r="AN50" i="5" s="1"/>
  <c r="Y50" i="5"/>
  <c r="AM50" i="5" s="1"/>
  <c r="X50" i="5"/>
  <c r="AL50" i="5" s="1"/>
  <c r="W50" i="5"/>
  <c r="AD50" i="5"/>
  <c r="EG49" i="5"/>
  <c r="EF49" i="5"/>
  <c r="ED49" i="5"/>
  <c r="EC49" i="5"/>
  <c r="DA49" i="5"/>
  <c r="AG49" i="5"/>
  <c r="AU49" i="5" s="1"/>
  <c r="AF49" i="5"/>
  <c r="AT49" i="5" s="1"/>
  <c r="AE49" i="5"/>
  <c r="AS49" i="5" s="1"/>
  <c r="AD49" i="5"/>
  <c r="AR49" i="5" s="1"/>
  <c r="Y49" i="5"/>
  <c r="AM49" i="5" s="1"/>
  <c r="EG48" i="5"/>
  <c r="EF48" i="5"/>
  <c r="ED48" i="5"/>
  <c r="EC48" i="5"/>
  <c r="DA48" i="5"/>
  <c r="AF48" i="5"/>
  <c r="AT48" i="5" s="1"/>
  <c r="AE48" i="5"/>
  <c r="AS48" i="5" s="1"/>
  <c r="AD48" i="5"/>
  <c r="AR48" i="5" s="1"/>
  <c r="EG47" i="5"/>
  <c r="EF47" i="5"/>
  <c r="ED47" i="5"/>
  <c r="EC47" i="5"/>
  <c r="FI47" i="5" s="1"/>
  <c r="DA47" i="5"/>
  <c r="AH47" i="5"/>
  <c r="AG47" i="5"/>
  <c r="AF47" i="5"/>
  <c r="AE47" i="5"/>
  <c r="AD47" i="5"/>
  <c r="AR47" i="5" s="1"/>
  <c r="AC47" i="5"/>
  <c r="AQ47" i="5" s="1"/>
  <c r="AB47" i="5"/>
  <c r="AA47" i="5"/>
  <c r="AO47" i="5" s="1"/>
  <c r="Z47" i="5"/>
  <c r="Y47" i="5"/>
  <c r="AM47" i="5" s="1"/>
  <c r="X47" i="5"/>
  <c r="W47" i="5"/>
  <c r="AK47" i="5" s="1"/>
  <c r="EG46" i="5"/>
  <c r="EF46" i="5"/>
  <c r="ED46" i="5"/>
  <c r="EC46" i="5"/>
  <c r="FI46" i="5" s="1"/>
  <c r="DA46" i="5"/>
  <c r="AH46" i="5"/>
  <c r="AG46" i="5"/>
  <c r="AU46" i="5" s="1"/>
  <c r="AF46" i="5"/>
  <c r="AE46" i="5"/>
  <c r="AD46" i="5"/>
  <c r="AR46" i="5" s="1"/>
  <c r="AC46" i="5"/>
  <c r="AQ46" i="5" s="1"/>
  <c r="AB46" i="5"/>
  <c r="AP46" i="5" s="1"/>
  <c r="AA46" i="5"/>
  <c r="AO46" i="5" s="1"/>
  <c r="Z46" i="5"/>
  <c r="Y46" i="5"/>
  <c r="AM46" i="5" s="1"/>
  <c r="X46" i="5"/>
  <c r="AL46" i="5" s="1"/>
  <c r="W46" i="5"/>
  <c r="AK46" i="5" s="1"/>
  <c r="EG45" i="5"/>
  <c r="EF45" i="5"/>
  <c r="ED45" i="5"/>
  <c r="EC45" i="5"/>
  <c r="FI45" i="5" s="1"/>
  <c r="DA45" i="5"/>
  <c r="AH45" i="5"/>
  <c r="AG45" i="5"/>
  <c r="AU45" i="5" s="1"/>
  <c r="AF45" i="5"/>
  <c r="AT45" i="5" s="1"/>
  <c r="AE45" i="5"/>
  <c r="AS45" i="5" s="1"/>
  <c r="AD45" i="5"/>
  <c r="AC45" i="5"/>
  <c r="AQ45" i="5" s="1"/>
  <c r="AB45" i="5"/>
  <c r="AP45" i="5" s="1"/>
  <c r="AA45" i="5"/>
  <c r="AO45" i="5" s="1"/>
  <c r="Z45" i="5"/>
  <c r="Y45" i="5"/>
  <c r="AM45" i="5" s="1"/>
  <c r="X45" i="5"/>
  <c r="W45" i="5"/>
  <c r="EG44" i="5"/>
  <c r="EF44" i="5"/>
  <c r="ED44" i="5"/>
  <c r="EC44" i="5"/>
  <c r="DA44" i="5"/>
  <c r="AH44" i="5"/>
  <c r="AV44" i="5" s="1"/>
  <c r="AG44" i="5"/>
  <c r="AU44" i="5" s="1"/>
  <c r="AF44" i="5"/>
  <c r="AE44" i="5"/>
  <c r="AD44" i="5"/>
  <c r="AC44" i="5"/>
  <c r="AB44" i="5"/>
  <c r="AP44" i="5" s="1"/>
  <c r="AA44" i="5"/>
  <c r="Z44" i="5"/>
  <c r="AN44" i="5" s="1"/>
  <c r="Y44" i="5"/>
  <c r="AM44" i="5" s="1"/>
  <c r="X44" i="5"/>
  <c r="W44" i="5"/>
  <c r="AK44" i="5" s="1"/>
  <c r="EG43" i="5"/>
  <c r="EF43" i="5"/>
  <c r="ED43" i="5"/>
  <c r="EC43" i="5"/>
  <c r="DA43" i="5"/>
  <c r="AH43" i="5"/>
  <c r="AG43" i="5"/>
  <c r="AF43" i="5"/>
  <c r="AE43" i="5"/>
  <c r="AD43" i="5"/>
  <c r="AR43" i="5" s="1"/>
  <c r="AC43" i="5"/>
  <c r="AB43" i="5"/>
  <c r="AA43" i="5"/>
  <c r="Z43" i="5"/>
  <c r="AN43" i="5" s="1"/>
  <c r="Y43" i="5"/>
  <c r="AM43" i="5" s="1"/>
  <c r="X43" i="5"/>
  <c r="AL43" i="5" s="1"/>
  <c r="W43" i="5"/>
  <c r="AK43" i="5" s="1"/>
  <c r="EG42" i="5"/>
  <c r="EF42" i="5"/>
  <c r="ED42" i="5"/>
  <c r="EC42" i="5"/>
  <c r="DA42" i="5"/>
  <c r="AH42" i="5"/>
  <c r="AV42" i="5" s="1"/>
  <c r="AG42" i="5"/>
  <c r="AF42" i="5"/>
  <c r="AT42" i="5" s="1"/>
  <c r="AE42" i="5"/>
  <c r="AD42" i="5"/>
  <c r="AC42" i="5"/>
  <c r="AQ42" i="5" s="1"/>
  <c r="AB42" i="5"/>
  <c r="AP42" i="5" s="1"/>
  <c r="AA42" i="5"/>
  <c r="Z42" i="5"/>
  <c r="Y42" i="5"/>
  <c r="X42" i="5"/>
  <c r="W42" i="5"/>
  <c r="AK42" i="5" s="1"/>
  <c r="EG41" i="5"/>
  <c r="EF41" i="5"/>
  <c r="ED41" i="5"/>
  <c r="EC41" i="5"/>
  <c r="FI41" i="5" s="1"/>
  <c r="DA41" i="5"/>
  <c r="AH41" i="5"/>
  <c r="AV41" i="5" s="1"/>
  <c r="AG41" i="5"/>
  <c r="AU41" i="5" s="1"/>
  <c r="AF41" i="5"/>
  <c r="AT41" i="5" s="1"/>
  <c r="AE41" i="5"/>
  <c r="AS41" i="5" s="1"/>
  <c r="AD41" i="5"/>
  <c r="AR41" i="5" s="1"/>
  <c r="AC41" i="5"/>
  <c r="AQ41" i="5" s="1"/>
  <c r="AB41" i="5"/>
  <c r="AA41" i="5"/>
  <c r="AO41" i="5" s="1"/>
  <c r="Z41" i="5"/>
  <c r="AN41" i="5" s="1"/>
  <c r="Y41" i="5"/>
  <c r="AM41" i="5" s="1"/>
  <c r="X41" i="5"/>
  <c r="AL41" i="5" s="1"/>
  <c r="W41" i="5"/>
  <c r="EG40" i="5"/>
  <c r="EF40" i="5"/>
  <c r="ED40" i="5"/>
  <c r="EC40" i="5"/>
  <c r="FI40" i="5" s="1"/>
  <c r="DA40" i="5"/>
  <c r="AH40" i="5"/>
  <c r="AG40" i="5"/>
  <c r="AF40" i="5"/>
  <c r="AE40" i="5"/>
  <c r="AS40" i="5" s="1"/>
  <c r="AD40" i="5"/>
  <c r="AR40" i="5" s="1"/>
  <c r="AC40" i="5"/>
  <c r="AQ40" i="5" s="1"/>
  <c r="AB40" i="5"/>
  <c r="AP40" i="5" s="1"/>
  <c r="AA40" i="5"/>
  <c r="AO40" i="5" s="1"/>
  <c r="Z40" i="5"/>
  <c r="AN40" i="5" s="1"/>
  <c r="Y40" i="5"/>
  <c r="AM40" i="5" s="1"/>
  <c r="X40" i="5"/>
  <c r="W40" i="5"/>
  <c r="AK40" i="5" s="1"/>
  <c r="EG39" i="5"/>
  <c r="EF39" i="5"/>
  <c r="ED39" i="5"/>
  <c r="EC39" i="5"/>
  <c r="DA39" i="5"/>
  <c r="AH39" i="5"/>
  <c r="AV39" i="5" s="1"/>
  <c r="AG39" i="5"/>
  <c r="AU39" i="5" s="1"/>
  <c r="AF39" i="5"/>
  <c r="AT39" i="5" s="1"/>
  <c r="AE39" i="5"/>
  <c r="AS39" i="5" s="1"/>
  <c r="AD39" i="5"/>
  <c r="AC39" i="5"/>
  <c r="AB39" i="5"/>
  <c r="AA39" i="5"/>
  <c r="AO39" i="5" s="1"/>
  <c r="Z39" i="5"/>
  <c r="AN39" i="5" s="1"/>
  <c r="Y39" i="5"/>
  <c r="AM39" i="5" s="1"/>
  <c r="X39" i="5"/>
  <c r="W39" i="5"/>
  <c r="AK39" i="5" s="1"/>
  <c r="EG38" i="5"/>
  <c r="EF38" i="5"/>
  <c r="ED38" i="5"/>
  <c r="EC38" i="5"/>
  <c r="FI38" i="5" s="1"/>
  <c r="DA38" i="5"/>
  <c r="AH38" i="5"/>
  <c r="AV38" i="5" s="1"/>
  <c r="AG38" i="5"/>
  <c r="AU38" i="5" s="1"/>
  <c r="AF38" i="5"/>
  <c r="AT38" i="5" s="1"/>
  <c r="AE38" i="5"/>
  <c r="AD38" i="5"/>
  <c r="AR38" i="5" s="1"/>
  <c r="AC38" i="5"/>
  <c r="AB38" i="5"/>
  <c r="AP38" i="5" s="1"/>
  <c r="AA38" i="5"/>
  <c r="AO38" i="5" s="1"/>
  <c r="Z38" i="5"/>
  <c r="AN38" i="5" s="1"/>
  <c r="Y38" i="5"/>
  <c r="AM38" i="5" s="1"/>
  <c r="X38" i="5"/>
  <c r="AL38" i="5" s="1"/>
  <c r="W38" i="5"/>
  <c r="AK38" i="5" s="1"/>
  <c r="EG37" i="5"/>
  <c r="EF37" i="5"/>
  <c r="ED37" i="5"/>
  <c r="EC37" i="5"/>
  <c r="DA37" i="5"/>
  <c r="AH37" i="5"/>
  <c r="AG37" i="5"/>
  <c r="AF37" i="5"/>
  <c r="AT37" i="5" s="1"/>
  <c r="AE37" i="5"/>
  <c r="AS37" i="5" s="1"/>
  <c r="AD37" i="5"/>
  <c r="AC37" i="5"/>
  <c r="AB37" i="5"/>
  <c r="AP37" i="5" s="1"/>
  <c r="AA37" i="5"/>
  <c r="Z37" i="5"/>
  <c r="Y37" i="5"/>
  <c r="AM37" i="5" s="1"/>
  <c r="X37" i="5"/>
  <c r="AL37" i="5" s="1"/>
  <c r="W37" i="5"/>
  <c r="AK37" i="5" s="1"/>
  <c r="EG36" i="5"/>
  <c r="EF36" i="5"/>
  <c r="ED36" i="5"/>
  <c r="EC36" i="5"/>
  <c r="DA36" i="5"/>
  <c r="AH36" i="5"/>
  <c r="AG36" i="5"/>
  <c r="AU36" i="5" s="1"/>
  <c r="AF36" i="5"/>
  <c r="AE36" i="5"/>
  <c r="AS36" i="5" s="1"/>
  <c r="AD36" i="5"/>
  <c r="AR36" i="5" s="1"/>
  <c r="AC36" i="5"/>
  <c r="AQ36" i="5" s="1"/>
  <c r="AB36" i="5"/>
  <c r="AA36" i="5"/>
  <c r="Z36" i="5"/>
  <c r="Y36" i="5"/>
  <c r="AM36" i="5" s="1"/>
  <c r="X36" i="5"/>
  <c r="W36" i="5"/>
  <c r="AK36" i="5" s="1"/>
  <c r="EG35" i="5"/>
  <c r="EF35" i="5"/>
  <c r="ED35" i="5"/>
  <c r="EC35" i="5"/>
  <c r="DA35" i="5"/>
  <c r="AH35" i="5"/>
  <c r="AG35" i="5"/>
  <c r="AU35" i="5" s="1"/>
  <c r="AF35" i="5"/>
  <c r="AT35" i="5" s="1"/>
  <c r="AE35" i="5"/>
  <c r="AD35" i="5"/>
  <c r="AR35" i="5" s="1"/>
  <c r="AC35" i="5"/>
  <c r="AQ35" i="5" s="1"/>
  <c r="AB35" i="5"/>
  <c r="AP35" i="5" s="1"/>
  <c r="AA35" i="5"/>
  <c r="AO35" i="5" s="1"/>
  <c r="Z35" i="5"/>
  <c r="AN35" i="5" s="1"/>
  <c r="Y35" i="5"/>
  <c r="X35" i="5"/>
  <c r="W35" i="5"/>
  <c r="AK35" i="5" s="1"/>
  <c r="EG34" i="5"/>
  <c r="EF34" i="5"/>
  <c r="ED34" i="5"/>
  <c r="EC34" i="5"/>
  <c r="FI34" i="5" s="1"/>
  <c r="DA34" i="5"/>
  <c r="AH34" i="5"/>
  <c r="AV34" i="5" s="1"/>
  <c r="AG34" i="5"/>
  <c r="AU34" i="5" s="1"/>
  <c r="AF34" i="5"/>
  <c r="AE34" i="5"/>
  <c r="AS34" i="5" s="1"/>
  <c r="AD34" i="5"/>
  <c r="AC34" i="5"/>
  <c r="AB34" i="5"/>
  <c r="AP34" i="5" s="1"/>
  <c r="AA34" i="5"/>
  <c r="AO34" i="5" s="1"/>
  <c r="Z34" i="5"/>
  <c r="AN34" i="5" s="1"/>
  <c r="Y34" i="5"/>
  <c r="AM34" i="5" s="1"/>
  <c r="X34" i="5"/>
  <c r="W34" i="5"/>
  <c r="AK34" i="5" s="1"/>
  <c r="EG33" i="5"/>
  <c r="EF33" i="5"/>
  <c r="ED33" i="5"/>
  <c r="EC33" i="5"/>
  <c r="DA33" i="5"/>
  <c r="AH33" i="5"/>
  <c r="AG33" i="5"/>
  <c r="AU33" i="5" s="1"/>
  <c r="AF33" i="5"/>
  <c r="AT33" i="5" s="1"/>
  <c r="AE33" i="5"/>
  <c r="AS33" i="5" s="1"/>
  <c r="AD33" i="5"/>
  <c r="AR33" i="5" s="1"/>
  <c r="AC33" i="5"/>
  <c r="AB33" i="5"/>
  <c r="AA33" i="5"/>
  <c r="Z33" i="5"/>
  <c r="Y33" i="5"/>
  <c r="AM33" i="5" s="1"/>
  <c r="X33" i="5"/>
  <c r="W33" i="5"/>
  <c r="AK33" i="5" s="1"/>
  <c r="EG32" i="5"/>
  <c r="EF32" i="5"/>
  <c r="ED32" i="5"/>
  <c r="EC32" i="5"/>
  <c r="DA32" i="5"/>
  <c r="AH32" i="5"/>
  <c r="AV32" i="5" s="1"/>
  <c r="AG32" i="5"/>
  <c r="AU32" i="5" s="1"/>
  <c r="AF32" i="5"/>
  <c r="AT32" i="5" s="1"/>
  <c r="AE32" i="5"/>
  <c r="AD32" i="5"/>
  <c r="AC32" i="5"/>
  <c r="AB32" i="5"/>
  <c r="AA32" i="5"/>
  <c r="AO32" i="5" s="1"/>
  <c r="Z32" i="5"/>
  <c r="AN32" i="5" s="1"/>
  <c r="Y32" i="5"/>
  <c r="X32" i="5"/>
  <c r="W32" i="5"/>
  <c r="EG31" i="5"/>
  <c r="EF31" i="5"/>
  <c r="ED31" i="5"/>
  <c r="EC31" i="5"/>
  <c r="DA31" i="5"/>
  <c r="AH31" i="5"/>
  <c r="AG31" i="5"/>
  <c r="AF31" i="5"/>
  <c r="AT31" i="5" s="1"/>
  <c r="AE31" i="5"/>
  <c r="AS31" i="5" s="1"/>
  <c r="AD31" i="5"/>
  <c r="AC31" i="5"/>
  <c r="AQ31" i="5" s="1"/>
  <c r="AB31" i="5"/>
  <c r="AA31" i="5"/>
  <c r="AO31" i="5" s="1"/>
  <c r="Z31" i="5"/>
  <c r="Y31" i="5"/>
  <c r="X31" i="5"/>
  <c r="W31" i="5"/>
  <c r="AK31" i="5" s="1"/>
  <c r="EG30" i="5"/>
  <c r="EF30" i="5"/>
  <c r="ED30" i="5"/>
  <c r="EC30" i="5"/>
  <c r="FI30" i="5" s="1"/>
  <c r="DA30" i="5"/>
  <c r="AH30" i="5"/>
  <c r="AV30" i="5" s="1"/>
  <c r="AG30" i="5"/>
  <c r="AU30" i="5" s="1"/>
  <c r="AF30" i="5"/>
  <c r="AE30" i="5"/>
  <c r="AS30" i="5" s="1"/>
  <c r="AD30" i="5"/>
  <c r="AR30" i="5" s="1"/>
  <c r="AC30" i="5"/>
  <c r="AB30" i="5"/>
  <c r="AA30" i="5"/>
  <c r="AO30" i="5" s="1"/>
  <c r="Z30" i="5"/>
  <c r="AN30" i="5" s="1"/>
  <c r="Y30" i="5"/>
  <c r="AM30" i="5" s="1"/>
  <c r="X30" i="5"/>
  <c r="AL30" i="5" s="1"/>
  <c r="W30" i="5"/>
  <c r="AK30" i="5" s="1"/>
  <c r="EG29" i="5"/>
  <c r="EF29" i="5"/>
  <c r="ED29" i="5"/>
  <c r="EC29" i="5"/>
  <c r="DA29" i="5"/>
  <c r="AH29" i="5"/>
  <c r="AG29" i="5"/>
  <c r="AU29" i="5" s="1"/>
  <c r="AF29" i="5"/>
  <c r="AT29" i="5" s="1"/>
  <c r="AE29" i="5"/>
  <c r="AS29" i="5" s="1"/>
  <c r="AD29" i="5"/>
  <c r="AR29" i="5" s="1"/>
  <c r="AC29" i="5"/>
  <c r="AQ29" i="5" s="1"/>
  <c r="AB29" i="5"/>
  <c r="AA29" i="5"/>
  <c r="AO29" i="5" s="1"/>
  <c r="Z29" i="5"/>
  <c r="Y29" i="5"/>
  <c r="X29" i="5"/>
  <c r="AL29" i="5" s="1"/>
  <c r="W29" i="5"/>
  <c r="AK29" i="5" s="1"/>
  <c r="EG28" i="5"/>
  <c r="EF28" i="5"/>
  <c r="ED28" i="5"/>
  <c r="EC28" i="5"/>
  <c r="FI28" i="5" s="1"/>
  <c r="DA28" i="5"/>
  <c r="AH28" i="5"/>
  <c r="AV28" i="5" s="1"/>
  <c r="AG28" i="5"/>
  <c r="AU28" i="5" s="1"/>
  <c r="AF28" i="5"/>
  <c r="AE28" i="5"/>
  <c r="AS28" i="5" s="1"/>
  <c r="AD28" i="5"/>
  <c r="AC28" i="5"/>
  <c r="AB28" i="5"/>
  <c r="AP28" i="5" s="1"/>
  <c r="AA28" i="5"/>
  <c r="AO28" i="5" s="1"/>
  <c r="Z28" i="5"/>
  <c r="AN28" i="5" s="1"/>
  <c r="Y28" i="5"/>
  <c r="X28" i="5"/>
  <c r="AL28" i="5" s="1"/>
  <c r="W28" i="5"/>
  <c r="EG27" i="5"/>
  <c r="EF27" i="5"/>
  <c r="ED27" i="5"/>
  <c r="EC27" i="5"/>
  <c r="DA27" i="5"/>
  <c r="AH27" i="5"/>
  <c r="AG27" i="5"/>
  <c r="AF27" i="5"/>
  <c r="AE27" i="5"/>
  <c r="AS27" i="5" s="1"/>
  <c r="AD27" i="5"/>
  <c r="AC27" i="5"/>
  <c r="AQ27" i="5" s="1"/>
  <c r="AB27" i="5"/>
  <c r="AA27" i="5"/>
  <c r="Z27" i="5"/>
  <c r="Y27" i="5"/>
  <c r="AM27" i="5" s="1"/>
  <c r="X27" i="5"/>
  <c r="AL27" i="5" s="1"/>
  <c r="W27" i="5"/>
  <c r="AK27" i="5" s="1"/>
  <c r="EG26" i="5"/>
  <c r="EF26" i="5"/>
  <c r="ED26" i="5"/>
  <c r="EC26" i="5"/>
  <c r="FI26" i="5" s="1"/>
  <c r="DA26" i="5"/>
  <c r="AH26" i="5"/>
  <c r="AG26" i="5"/>
  <c r="AF26" i="5"/>
  <c r="AE26" i="5"/>
  <c r="AD26" i="5"/>
  <c r="AC26" i="5"/>
  <c r="AB26" i="5"/>
  <c r="AA26" i="5"/>
  <c r="AO26" i="5" s="1"/>
  <c r="Z26" i="5"/>
  <c r="AN26" i="5" s="1"/>
  <c r="Y26" i="5"/>
  <c r="X26" i="5"/>
  <c r="W26" i="5"/>
  <c r="EG25" i="5"/>
  <c r="EF25" i="5"/>
  <c r="ED25" i="5"/>
  <c r="EC25" i="5"/>
  <c r="FI25" i="5" s="1"/>
  <c r="DA25" i="5"/>
  <c r="AH25" i="5"/>
  <c r="AG25" i="5"/>
  <c r="AU25" i="5" s="1"/>
  <c r="AF25" i="5"/>
  <c r="AT25" i="5" s="1"/>
  <c r="AE25" i="5"/>
  <c r="AS25" i="5" s="1"/>
  <c r="AD25" i="5"/>
  <c r="AR25" i="5" s="1"/>
  <c r="AC25" i="5"/>
  <c r="AB25" i="5"/>
  <c r="AP25" i="5" s="1"/>
  <c r="AA25" i="5"/>
  <c r="AO25" i="5" s="1"/>
  <c r="Z25" i="5"/>
  <c r="Y25" i="5"/>
  <c r="X25" i="5"/>
  <c r="AL25" i="5" s="1"/>
  <c r="W25" i="5"/>
  <c r="AK25" i="5" s="1"/>
  <c r="EG24" i="5"/>
  <c r="EF24" i="5"/>
  <c r="ED24" i="5"/>
  <c r="EC24" i="5"/>
  <c r="FI24" i="5" s="1"/>
  <c r="DA24" i="5"/>
  <c r="AH24" i="5"/>
  <c r="AV24" i="5" s="1"/>
  <c r="AG24" i="5"/>
  <c r="AF24" i="5"/>
  <c r="AE24" i="5"/>
  <c r="AD24" i="5"/>
  <c r="AR24" i="5" s="1"/>
  <c r="AC24" i="5"/>
  <c r="AQ24" i="5" s="1"/>
  <c r="AB24" i="5"/>
  <c r="AA24" i="5"/>
  <c r="Z24" i="5"/>
  <c r="AN24" i="5" s="1"/>
  <c r="Y24" i="5"/>
  <c r="X24" i="5"/>
  <c r="W24" i="5"/>
  <c r="AK24" i="5" s="1"/>
  <c r="EG23" i="5"/>
  <c r="EF23" i="5"/>
  <c r="ED23" i="5"/>
  <c r="EC23" i="5"/>
  <c r="FI23" i="5" s="1"/>
  <c r="DA23" i="5"/>
  <c r="AH23" i="5"/>
  <c r="AV23" i="5" s="1"/>
  <c r="AG23" i="5"/>
  <c r="AF23" i="5"/>
  <c r="AE23" i="5"/>
  <c r="AS23" i="5" s="1"/>
  <c r="AD23" i="5"/>
  <c r="AR23" i="5" s="1"/>
  <c r="AC23" i="5"/>
  <c r="AB23" i="5"/>
  <c r="AP23" i="5" s="1"/>
  <c r="AA23" i="5"/>
  <c r="AO23" i="5" s="1"/>
  <c r="Z23" i="5"/>
  <c r="AN23" i="5" s="1"/>
  <c r="Y23" i="5"/>
  <c r="AM23" i="5" s="1"/>
  <c r="X23" i="5"/>
  <c r="AL23" i="5" s="1"/>
  <c r="W23" i="5"/>
  <c r="EG22" i="5"/>
  <c r="EF22" i="5"/>
  <c r="ED22" i="5"/>
  <c r="EC22" i="5"/>
  <c r="FI22" i="5" s="1"/>
  <c r="DA22" i="5"/>
  <c r="AH22" i="5"/>
  <c r="AV22" i="5" s="1"/>
  <c r="AG22" i="5"/>
  <c r="AU22" i="5" s="1"/>
  <c r="AF22" i="5"/>
  <c r="AT22" i="5" s="1"/>
  <c r="AE22" i="5"/>
  <c r="AD22" i="5"/>
  <c r="AC22" i="5"/>
  <c r="AQ22" i="5" s="1"/>
  <c r="AB22" i="5"/>
  <c r="AA22" i="5"/>
  <c r="AO22" i="5" s="1"/>
  <c r="Z22" i="5"/>
  <c r="AN22" i="5" s="1"/>
  <c r="Y22" i="5"/>
  <c r="AM22" i="5" s="1"/>
  <c r="X22" i="5"/>
  <c r="AL22" i="5" s="1"/>
  <c r="W22" i="5"/>
  <c r="AK22" i="5" s="1"/>
  <c r="EG21" i="5"/>
  <c r="EF21" i="5"/>
  <c r="ED21" i="5"/>
  <c r="EC21" i="5"/>
  <c r="DA21" i="5"/>
  <c r="AH21" i="5"/>
  <c r="AV21" i="5" s="1"/>
  <c r="AG21" i="5"/>
  <c r="AF21" i="5"/>
  <c r="AT21" i="5" s="1"/>
  <c r="AE21" i="5"/>
  <c r="AS21" i="5" s="1"/>
  <c r="AD21" i="5"/>
  <c r="AC21" i="5"/>
  <c r="AB21" i="5"/>
  <c r="AP21" i="5" s="1"/>
  <c r="AA21" i="5"/>
  <c r="Z21" i="5"/>
  <c r="AN21" i="5" s="1"/>
  <c r="Y21" i="5"/>
  <c r="AM21" i="5" s="1"/>
  <c r="X21" i="5"/>
  <c r="AL21" i="5" s="1"/>
  <c r="W21" i="5"/>
  <c r="AK21" i="5" s="1"/>
  <c r="EG20" i="5"/>
  <c r="EF20" i="5"/>
  <c r="ED20" i="5"/>
  <c r="EC20" i="5"/>
  <c r="FI20" i="5" s="1"/>
  <c r="DA20" i="5"/>
  <c r="AH20" i="5"/>
  <c r="AV20" i="5" s="1"/>
  <c r="AG20" i="5"/>
  <c r="AF20" i="5"/>
  <c r="AE20" i="5"/>
  <c r="AS20" i="5" s="1"/>
  <c r="AD20" i="5"/>
  <c r="AR20" i="5" s="1"/>
  <c r="AC20" i="5"/>
  <c r="AQ20" i="5" s="1"/>
  <c r="AB20" i="5"/>
  <c r="AP20" i="5" s="1"/>
  <c r="AA20" i="5"/>
  <c r="Z20" i="5"/>
  <c r="AN20" i="5" s="1"/>
  <c r="Y20" i="5"/>
  <c r="X20" i="5"/>
  <c r="W20" i="5"/>
  <c r="AK20" i="5" s="1"/>
  <c r="EG19" i="5"/>
  <c r="EF19" i="5"/>
  <c r="ED19" i="5"/>
  <c r="EC19" i="5"/>
  <c r="FI19" i="5" s="1"/>
  <c r="DA19" i="5"/>
  <c r="AH19" i="5"/>
  <c r="AV19" i="5" s="1"/>
  <c r="AG19" i="5"/>
  <c r="AF19" i="5"/>
  <c r="AT19" i="5" s="1"/>
  <c r="AE19" i="5"/>
  <c r="AS19" i="5" s="1"/>
  <c r="AD19" i="5"/>
  <c r="AC19" i="5"/>
  <c r="AB19" i="5"/>
  <c r="AP19" i="5" s="1"/>
  <c r="AA19" i="5"/>
  <c r="AO19" i="5" s="1"/>
  <c r="Z19" i="5"/>
  <c r="AN19" i="5" s="1"/>
  <c r="Y19" i="5"/>
  <c r="AM19" i="5" s="1"/>
  <c r="X19" i="5"/>
  <c r="AL19" i="5" s="1"/>
  <c r="W19" i="5"/>
  <c r="EG18" i="5"/>
  <c r="EF18" i="5"/>
  <c r="ED18" i="5"/>
  <c r="EC18" i="5"/>
  <c r="FI18" i="5" s="1"/>
  <c r="DA18" i="5"/>
  <c r="AH18" i="5"/>
  <c r="AV18" i="5" s="1"/>
  <c r="AG18" i="5"/>
  <c r="AU18" i="5" s="1"/>
  <c r="AF18" i="5"/>
  <c r="AE18" i="5"/>
  <c r="AD18" i="5"/>
  <c r="AR18" i="5" s="1"/>
  <c r="AC18" i="5"/>
  <c r="AB18" i="5"/>
  <c r="AA18" i="5"/>
  <c r="AO18" i="5" s="1"/>
  <c r="Z18" i="5"/>
  <c r="Y18" i="5"/>
  <c r="X18" i="5"/>
  <c r="AL18" i="5" s="1"/>
  <c r="W18" i="5"/>
  <c r="AK18" i="5" s="1"/>
  <c r="EG17" i="5"/>
  <c r="EF17" i="5"/>
  <c r="ED17" i="5"/>
  <c r="EC17" i="5"/>
  <c r="DA17" i="5"/>
  <c r="AH17" i="5"/>
  <c r="AG17" i="5"/>
  <c r="AF17" i="5"/>
  <c r="AT17" i="5" s="1"/>
  <c r="AE17" i="5"/>
  <c r="AS17" i="5" s="1"/>
  <c r="AD17" i="5"/>
  <c r="AC17" i="5"/>
  <c r="AB17" i="5"/>
  <c r="AA17" i="5"/>
  <c r="AO17" i="5" s="1"/>
  <c r="Z17" i="5"/>
  <c r="Y17" i="5"/>
  <c r="AM17" i="5" s="1"/>
  <c r="X17" i="5"/>
  <c r="AL17" i="5" s="1"/>
  <c r="W17" i="5"/>
  <c r="AK17" i="5" s="1"/>
  <c r="EG16" i="5"/>
  <c r="EF16" i="5"/>
  <c r="ED16" i="5"/>
  <c r="EC16" i="5"/>
  <c r="FI16" i="5" s="1"/>
  <c r="DA16" i="5"/>
  <c r="AH16" i="5"/>
  <c r="AG16" i="5"/>
  <c r="AF16" i="5"/>
  <c r="AE16" i="5"/>
  <c r="AD16" i="5"/>
  <c r="AR16" i="5" s="1"/>
  <c r="AC16" i="5"/>
  <c r="AQ16" i="5" s="1"/>
  <c r="AB16" i="5"/>
  <c r="AP16" i="5" s="1"/>
  <c r="AA16" i="5"/>
  <c r="Z16" i="5"/>
  <c r="Y16" i="5"/>
  <c r="X16" i="5"/>
  <c r="W16" i="5"/>
  <c r="AK16" i="5" s="1"/>
  <c r="EG15" i="5"/>
  <c r="EF15" i="5"/>
  <c r="ED15" i="5"/>
  <c r="EC15" i="5"/>
  <c r="FI15" i="5" s="1"/>
  <c r="DA15" i="5"/>
  <c r="AH15" i="5"/>
  <c r="AG15" i="5"/>
  <c r="AF15" i="5"/>
  <c r="AE15" i="5"/>
  <c r="AD15" i="5"/>
  <c r="AC15" i="5"/>
  <c r="AB15" i="5"/>
  <c r="AP15" i="5" s="1"/>
  <c r="AA15" i="5"/>
  <c r="AO15" i="5" s="1"/>
  <c r="Z15" i="5"/>
  <c r="AN15" i="5" s="1"/>
  <c r="Y15" i="5"/>
  <c r="AM15" i="5" s="1"/>
  <c r="X15" i="5"/>
  <c r="AL15" i="5" s="1"/>
  <c r="W15" i="5"/>
  <c r="EG14" i="5"/>
  <c r="EF14" i="5"/>
  <c r="ED14" i="5"/>
  <c r="EC14" i="5"/>
  <c r="FI14" i="5" s="1"/>
  <c r="DA14" i="5"/>
  <c r="AH14" i="5"/>
  <c r="AV14" i="5" s="1"/>
  <c r="AG14" i="5"/>
  <c r="AU14" i="5" s="1"/>
  <c r="AF14" i="5"/>
  <c r="AE14" i="5"/>
  <c r="AD14" i="5"/>
  <c r="AR14" i="5" s="1"/>
  <c r="AC14" i="5"/>
  <c r="AQ14" i="5" s="1"/>
  <c r="AB14" i="5"/>
  <c r="AA14" i="5"/>
  <c r="AO14" i="5" s="1"/>
  <c r="Z14" i="5"/>
  <c r="AN14" i="5" s="1"/>
  <c r="Y14" i="5"/>
  <c r="AM14" i="5" s="1"/>
  <c r="X14" i="5"/>
  <c r="AL14" i="5" s="1"/>
  <c r="W14" i="5"/>
  <c r="AK14" i="5" s="1"/>
  <c r="EG13" i="5"/>
  <c r="EF13" i="5"/>
  <c r="ED13" i="5"/>
  <c r="EC13" i="5"/>
  <c r="DA13" i="5"/>
  <c r="AH13" i="5"/>
  <c r="AG13" i="5"/>
  <c r="AU13" i="5" s="1"/>
  <c r="AF13" i="5"/>
  <c r="AT13" i="5" s="1"/>
  <c r="AE13" i="5"/>
  <c r="AS13" i="5" s="1"/>
  <c r="AD13" i="5"/>
  <c r="AC13" i="5"/>
  <c r="AB13" i="5"/>
  <c r="AA13" i="5"/>
  <c r="Z13" i="5"/>
  <c r="Y13" i="5"/>
  <c r="AM13" i="5" s="1"/>
  <c r="X13" i="5"/>
  <c r="AL13" i="5" s="1"/>
  <c r="W13" i="5"/>
  <c r="EG12" i="5"/>
  <c r="EF12" i="5"/>
  <c r="ED12" i="5"/>
  <c r="EC12" i="5"/>
  <c r="FI12" i="5" s="1"/>
  <c r="DA12" i="5"/>
  <c r="AH12" i="5"/>
  <c r="AV12" i="5" s="1"/>
  <c r="AG12" i="5"/>
  <c r="AF12" i="5"/>
  <c r="AE12" i="5"/>
  <c r="AD12" i="5"/>
  <c r="AR12" i="5" s="1"/>
  <c r="AC12" i="5"/>
  <c r="AQ12" i="5" s="1"/>
  <c r="AB12" i="5"/>
  <c r="AP12" i="5" s="1"/>
  <c r="AA12" i="5"/>
  <c r="Z12" i="5"/>
  <c r="Y12" i="5"/>
  <c r="X12" i="5"/>
  <c r="W12" i="5"/>
  <c r="AK12" i="5" s="1"/>
  <c r="EG11" i="5"/>
  <c r="EF11" i="5"/>
  <c r="ED11" i="5"/>
  <c r="EC11" i="5"/>
  <c r="FI11" i="5" s="1"/>
  <c r="DA11" i="5"/>
  <c r="AH11" i="5"/>
  <c r="AV11" i="5" s="1"/>
  <c r="AG11" i="5"/>
  <c r="AF11" i="5"/>
  <c r="AT11" i="5" s="1"/>
  <c r="AE11" i="5"/>
  <c r="AS11" i="5" s="1"/>
  <c r="AD11" i="5"/>
  <c r="AC11" i="5"/>
  <c r="AB11" i="5"/>
  <c r="AP11" i="5" s="1"/>
  <c r="AA11" i="5"/>
  <c r="AO11" i="5" s="1"/>
  <c r="Z11" i="5"/>
  <c r="AN11" i="5" s="1"/>
  <c r="Y11" i="5"/>
  <c r="AM11" i="5" s="1"/>
  <c r="X11" i="5"/>
  <c r="AL11" i="5" s="1"/>
  <c r="W11" i="5"/>
  <c r="EG10" i="5"/>
  <c r="EF10" i="5"/>
  <c r="ED10" i="5"/>
  <c r="EC10" i="5"/>
  <c r="FI10" i="5" s="1"/>
  <c r="DA10" i="5"/>
  <c r="AH10" i="5"/>
  <c r="AV10" i="5" s="1"/>
  <c r="AG10" i="5"/>
  <c r="AU10" i="5" s="1"/>
  <c r="AF10" i="5"/>
  <c r="AE10" i="5"/>
  <c r="AD10" i="5"/>
  <c r="AC10" i="5"/>
  <c r="AQ10" i="5" s="1"/>
  <c r="AB10" i="5"/>
  <c r="AA10" i="5"/>
  <c r="AO10" i="5" s="1"/>
  <c r="Z10" i="5"/>
  <c r="AN10" i="5" s="1"/>
  <c r="Y10" i="5"/>
  <c r="X10" i="5"/>
  <c r="W10" i="5"/>
  <c r="EG9" i="5"/>
  <c r="EC9" i="5"/>
  <c r="DA9" i="5"/>
  <c r="AH9" i="5"/>
  <c r="AG9" i="5"/>
  <c r="AF9" i="5"/>
  <c r="AT9" i="5" s="1"/>
  <c r="AE9" i="5"/>
  <c r="AS9" i="5" s="1"/>
  <c r="AD9" i="5"/>
  <c r="AR9" i="5" s="1"/>
  <c r="AC9" i="5"/>
  <c r="AB9" i="5"/>
  <c r="BX9" i="5" s="1"/>
  <c r="AA9" i="5"/>
  <c r="Z9" i="5"/>
  <c r="CZ9" i="5" s="1"/>
  <c r="Y9" i="5"/>
  <c r="X9" i="5"/>
  <c r="AL9" i="5" s="1"/>
  <c r="W9" i="5"/>
  <c r="BY9" i="5" l="1"/>
  <c r="AQ9" i="5"/>
  <c r="BQ9" i="5"/>
  <c r="AI9" i="5"/>
  <c r="AK9" i="5"/>
  <c r="DI9" i="5"/>
  <c r="AU9" i="5"/>
  <c r="DJ9" i="5"/>
  <c r="CD9" i="5"/>
  <c r="BU9" i="5"/>
  <c r="AO9" i="5"/>
  <c r="AK10" i="5"/>
  <c r="AI10" i="5"/>
  <c r="CZ13" i="5"/>
  <c r="AN13" i="5"/>
  <c r="DH15" i="5"/>
  <c r="AT15" i="5"/>
  <c r="DE18" i="5"/>
  <c r="AQ18" i="5"/>
  <c r="DD27" i="5"/>
  <c r="AP27" i="5"/>
  <c r="DJ37" i="5"/>
  <c r="AV37" i="5"/>
  <c r="BR39" i="5"/>
  <c r="AL39" i="5"/>
  <c r="BX43" i="5"/>
  <c r="AP43" i="5"/>
  <c r="BU44" i="5"/>
  <c r="AO44" i="5"/>
  <c r="CZ45" i="5"/>
  <c r="AN45" i="5"/>
  <c r="DJ45" i="5"/>
  <c r="AV45" i="5"/>
  <c r="CX47" i="5"/>
  <c r="AL47" i="5"/>
  <c r="DH47" i="5"/>
  <c r="AT47" i="5"/>
  <c r="BU73" i="5"/>
  <c r="AO73" i="5"/>
  <c r="BZ10" i="5"/>
  <c r="AR10" i="5"/>
  <c r="DE11" i="5"/>
  <c r="AQ11" i="5"/>
  <c r="BU13" i="5"/>
  <c r="AO13" i="5"/>
  <c r="CC15" i="5"/>
  <c r="AU15" i="5"/>
  <c r="CX16" i="5"/>
  <c r="AL16" i="5"/>
  <c r="DH16" i="5"/>
  <c r="AT16" i="5"/>
  <c r="DE19" i="5"/>
  <c r="AQ19" i="5"/>
  <c r="BU21" i="5"/>
  <c r="AO21" i="5"/>
  <c r="CC23" i="5"/>
  <c r="AU23" i="5"/>
  <c r="CX24" i="5"/>
  <c r="AL24" i="5"/>
  <c r="CB24" i="5"/>
  <c r="AT24" i="5"/>
  <c r="BZ26" i="5"/>
  <c r="AR26" i="5"/>
  <c r="BS31" i="5"/>
  <c r="AM31" i="5"/>
  <c r="DI31" i="5"/>
  <c r="AU31" i="5"/>
  <c r="CX32" i="5"/>
  <c r="AL32" i="5"/>
  <c r="BZ34" i="5"/>
  <c r="AR34" i="5"/>
  <c r="DD36" i="5"/>
  <c r="AP36" i="5"/>
  <c r="BU37" i="5"/>
  <c r="AO37" i="5"/>
  <c r="CX40" i="5"/>
  <c r="AL40" i="5"/>
  <c r="DH40" i="5"/>
  <c r="AT40" i="5"/>
  <c r="CW41" i="5"/>
  <c r="AK41" i="5"/>
  <c r="DF42" i="5"/>
  <c r="AR42" i="5"/>
  <c r="DE43" i="5"/>
  <c r="AQ43" i="5"/>
  <c r="BT46" i="5"/>
  <c r="AN46" i="5"/>
  <c r="DJ46" i="5"/>
  <c r="AV46" i="5"/>
  <c r="CC47" i="5"/>
  <c r="AU47" i="5"/>
  <c r="DH51" i="5"/>
  <c r="AT51" i="5"/>
  <c r="DF17" i="5"/>
  <c r="AR17" i="5"/>
  <c r="DG24" i="5"/>
  <c r="AS24" i="5"/>
  <c r="DJ29" i="5"/>
  <c r="AV29" i="5"/>
  <c r="CA32" i="5"/>
  <c r="AS32" i="5"/>
  <c r="CA10" i="5"/>
  <c r="AS10" i="5"/>
  <c r="DD13" i="5"/>
  <c r="AP13" i="5"/>
  <c r="DF19" i="5"/>
  <c r="AR19" i="5"/>
  <c r="BZ27" i="5"/>
  <c r="AR27" i="5"/>
  <c r="DI40" i="5"/>
  <c r="AU40" i="5"/>
  <c r="DG42" i="5"/>
  <c r="AS42" i="5"/>
  <c r="BT47" i="5"/>
  <c r="AN47" i="5"/>
  <c r="DF50" i="5"/>
  <c r="AR50" i="5"/>
  <c r="CX10" i="5"/>
  <c r="AL10" i="5"/>
  <c r="DH10" i="5"/>
  <c r="AT10" i="5"/>
  <c r="CW11" i="5"/>
  <c r="AK11" i="5"/>
  <c r="BY13" i="5"/>
  <c r="AQ13" i="5"/>
  <c r="DD14" i="5"/>
  <c r="AP14" i="5"/>
  <c r="BT16" i="5"/>
  <c r="AN16" i="5"/>
  <c r="DJ16" i="5"/>
  <c r="AV16" i="5"/>
  <c r="DI17" i="5"/>
  <c r="AU17" i="5"/>
  <c r="DH18" i="5"/>
  <c r="AT18" i="5"/>
  <c r="CW19" i="5"/>
  <c r="AK19" i="5"/>
  <c r="BY21" i="5"/>
  <c r="AQ21" i="5"/>
  <c r="BX22" i="5"/>
  <c r="AP22" i="5"/>
  <c r="BS25" i="5"/>
  <c r="AM25" i="5"/>
  <c r="CX26" i="5"/>
  <c r="AL26" i="5"/>
  <c r="CB26" i="5"/>
  <c r="AT26" i="5"/>
  <c r="DF28" i="5"/>
  <c r="AR28" i="5"/>
  <c r="BX30" i="5"/>
  <c r="AP30" i="5"/>
  <c r="BR34" i="5"/>
  <c r="AL34" i="5"/>
  <c r="CB34" i="5"/>
  <c r="AT34" i="5"/>
  <c r="CA35" i="5"/>
  <c r="AS35" i="5"/>
  <c r="DE37" i="5"/>
  <c r="AQ37" i="5"/>
  <c r="CD40" i="5"/>
  <c r="AV40" i="5"/>
  <c r="CX42" i="5"/>
  <c r="AL42" i="5"/>
  <c r="CA43" i="5"/>
  <c r="AS43" i="5"/>
  <c r="BZ44" i="5"/>
  <c r="AR44" i="5"/>
  <c r="BQ50" i="5"/>
  <c r="AK50" i="5"/>
  <c r="CZ52" i="5"/>
  <c r="AN52" i="5"/>
  <c r="DF59" i="5"/>
  <c r="AR59" i="5"/>
  <c r="CB23" i="5"/>
  <c r="AT23" i="5"/>
  <c r="BT37" i="5"/>
  <c r="AN37" i="5"/>
  <c r="DI24" i="5"/>
  <c r="AU24" i="5"/>
  <c r="BX29" i="5"/>
  <c r="AP29" i="5"/>
  <c r="CY10" i="5"/>
  <c r="AM10" i="5"/>
  <c r="DG12" i="5"/>
  <c r="AS12" i="5"/>
  <c r="DF13" i="5"/>
  <c r="AR13" i="5"/>
  <c r="BU16" i="5"/>
  <c r="AO16" i="5"/>
  <c r="CZ17" i="5"/>
  <c r="AN17" i="5"/>
  <c r="DJ17" i="5"/>
  <c r="AV17" i="5"/>
  <c r="CY18" i="5"/>
  <c r="AM18" i="5"/>
  <c r="DF21" i="5"/>
  <c r="AR21" i="5"/>
  <c r="BU24" i="5"/>
  <c r="AO24" i="5"/>
  <c r="CZ25" i="5"/>
  <c r="AN25" i="5"/>
  <c r="DJ25" i="5"/>
  <c r="AV25" i="5"/>
  <c r="CY26" i="5"/>
  <c r="AM26" i="5"/>
  <c r="CC26" i="5"/>
  <c r="AU26" i="5"/>
  <c r="CB27" i="5"/>
  <c r="AT27" i="5"/>
  <c r="BQ28" i="5"/>
  <c r="AK28" i="5"/>
  <c r="BY30" i="5"/>
  <c r="AQ30" i="5"/>
  <c r="DD31" i="5"/>
  <c r="AP31" i="5"/>
  <c r="BT33" i="5"/>
  <c r="AN33" i="5"/>
  <c r="DJ33" i="5"/>
  <c r="AV33" i="5"/>
  <c r="CX35" i="5"/>
  <c r="AL35" i="5"/>
  <c r="DF37" i="5"/>
  <c r="AR37" i="5"/>
  <c r="BY38" i="5"/>
  <c r="AQ38" i="5"/>
  <c r="BX39" i="5"/>
  <c r="AP39" i="5"/>
  <c r="CY42" i="5"/>
  <c r="AM42" i="5"/>
  <c r="CC42" i="5"/>
  <c r="AU42" i="5"/>
  <c r="CB43" i="5"/>
  <c r="AT43" i="5"/>
  <c r="DG44" i="5"/>
  <c r="AS44" i="5"/>
  <c r="DF45" i="5"/>
  <c r="AR45" i="5"/>
  <c r="BX47" i="5"/>
  <c r="AP47" i="5"/>
  <c r="DI81" i="5"/>
  <c r="AU81" i="5"/>
  <c r="DE28" i="5"/>
  <c r="AQ28" i="5"/>
  <c r="CD31" i="5"/>
  <c r="AV31" i="5"/>
  <c r="CD47" i="5"/>
  <c r="AV47" i="5"/>
  <c r="CC11" i="5"/>
  <c r="AU11" i="5"/>
  <c r="CX12" i="5"/>
  <c r="AL12" i="5"/>
  <c r="DH12" i="5"/>
  <c r="AT12" i="5"/>
  <c r="CW13" i="5"/>
  <c r="AK13" i="5"/>
  <c r="DE15" i="5"/>
  <c r="AQ15" i="5"/>
  <c r="CZ18" i="5"/>
  <c r="AN18" i="5"/>
  <c r="CC19" i="5"/>
  <c r="AU19" i="5"/>
  <c r="CX20" i="5"/>
  <c r="AL20" i="5"/>
  <c r="DH20" i="5"/>
  <c r="AT20" i="5"/>
  <c r="DF22" i="5"/>
  <c r="AR22" i="5"/>
  <c r="DE23" i="5"/>
  <c r="AQ23" i="5"/>
  <c r="DD24" i="5"/>
  <c r="AP24" i="5"/>
  <c r="DJ26" i="5"/>
  <c r="AV26" i="5"/>
  <c r="CC27" i="5"/>
  <c r="AU27" i="5"/>
  <c r="DH28" i="5"/>
  <c r="AT28" i="5"/>
  <c r="DD32" i="5"/>
  <c r="AP32" i="5"/>
  <c r="BU33" i="5"/>
  <c r="AO33" i="5"/>
  <c r="CY35" i="5"/>
  <c r="AM35" i="5"/>
  <c r="BR36" i="5"/>
  <c r="AL36" i="5"/>
  <c r="DH36" i="5"/>
  <c r="AT36" i="5"/>
  <c r="DE39" i="5"/>
  <c r="AQ39" i="5"/>
  <c r="CZ42" i="5"/>
  <c r="AN42" i="5"/>
  <c r="DI43" i="5"/>
  <c r="AU43" i="5"/>
  <c r="BR44" i="5"/>
  <c r="AL44" i="5"/>
  <c r="DH44" i="5"/>
  <c r="AT44" i="5"/>
  <c r="BQ45" i="5"/>
  <c r="AK45" i="5"/>
  <c r="BX52" i="5"/>
  <c r="AP52" i="5"/>
  <c r="CB53" i="5"/>
  <c r="AT53" i="5"/>
  <c r="CC53" i="5"/>
  <c r="AU53" i="5"/>
  <c r="DG59" i="5"/>
  <c r="AS59" i="5"/>
  <c r="BU20" i="5"/>
  <c r="AO20" i="5"/>
  <c r="BY26" i="5"/>
  <c r="AQ26" i="5"/>
  <c r="CX31" i="5"/>
  <c r="AL31" i="5"/>
  <c r="BY34" i="5"/>
  <c r="AQ34" i="5"/>
  <c r="CY16" i="5"/>
  <c r="AM16" i="5"/>
  <c r="CA18" i="5"/>
  <c r="AS18" i="5"/>
  <c r="CY24" i="5"/>
  <c r="AM24" i="5"/>
  <c r="CA26" i="5"/>
  <c r="AS26" i="5"/>
  <c r="CZ31" i="5"/>
  <c r="AN31" i="5"/>
  <c r="DE59" i="5"/>
  <c r="AQ59" i="5"/>
  <c r="CY12" i="5"/>
  <c r="AM12" i="5"/>
  <c r="CC12" i="5"/>
  <c r="AU12" i="5"/>
  <c r="CA14" i="5"/>
  <c r="AS14" i="5"/>
  <c r="BZ15" i="5"/>
  <c r="AR15" i="5"/>
  <c r="DD17" i="5"/>
  <c r="AP17" i="5"/>
  <c r="CY20" i="5"/>
  <c r="AM20" i="5"/>
  <c r="CC20" i="5"/>
  <c r="AU20" i="5"/>
  <c r="CA22" i="5"/>
  <c r="AS22" i="5"/>
  <c r="CZ27" i="5"/>
  <c r="AN27" i="5"/>
  <c r="DJ27" i="5"/>
  <c r="AV27" i="5"/>
  <c r="CY28" i="5"/>
  <c r="AM28" i="5"/>
  <c r="BZ31" i="5"/>
  <c r="AR31" i="5"/>
  <c r="BY32" i="5"/>
  <c r="AQ32" i="5"/>
  <c r="BX33" i="5"/>
  <c r="AP33" i="5"/>
  <c r="DJ35" i="5"/>
  <c r="AV35" i="5"/>
  <c r="DG38" i="5"/>
  <c r="AS38" i="5"/>
  <c r="BZ39" i="5"/>
  <c r="AR39" i="5"/>
  <c r="DD41" i="5"/>
  <c r="AP41" i="5"/>
  <c r="BU42" i="5"/>
  <c r="AO42" i="5"/>
  <c r="DJ43" i="5"/>
  <c r="AV43" i="5"/>
  <c r="CX45" i="5"/>
  <c r="AL45" i="5"/>
  <c r="CA46" i="5"/>
  <c r="AS46" i="5"/>
  <c r="DD51" i="5"/>
  <c r="AP51" i="5"/>
  <c r="DI52" i="5"/>
  <c r="AU52" i="5"/>
  <c r="DJ53" i="5"/>
  <c r="AV53" i="5"/>
  <c r="BT87" i="5"/>
  <c r="AN87" i="5"/>
  <c r="BU12" i="5"/>
  <c r="AO12" i="5"/>
  <c r="DJ13" i="5"/>
  <c r="AV13" i="5"/>
  <c r="DG16" i="5"/>
  <c r="AS16" i="5"/>
  <c r="BT29" i="5"/>
  <c r="AN29" i="5"/>
  <c r="CW32" i="5"/>
  <c r="AK32" i="5"/>
  <c r="BU36" i="5"/>
  <c r="AO36" i="5"/>
  <c r="DF11" i="5"/>
  <c r="AR11" i="5"/>
  <c r="DJ15" i="5"/>
  <c r="AV15" i="5"/>
  <c r="DI16" i="5"/>
  <c r="AU16" i="5"/>
  <c r="CW26" i="5"/>
  <c r="AK26" i="5"/>
  <c r="CY32" i="5"/>
  <c r="AM32" i="5"/>
  <c r="BR33" i="5"/>
  <c r="AL33" i="5"/>
  <c r="DE44" i="5"/>
  <c r="AQ44" i="5"/>
  <c r="CX51" i="5"/>
  <c r="AL51" i="5"/>
  <c r="DD10" i="5"/>
  <c r="AP10" i="5"/>
  <c r="CZ12" i="5"/>
  <c r="AN12" i="5"/>
  <c r="DH14" i="5"/>
  <c r="AT14" i="5"/>
  <c r="CW15" i="5"/>
  <c r="AK15" i="5"/>
  <c r="CA15" i="5"/>
  <c r="AS15" i="5"/>
  <c r="BY17" i="5"/>
  <c r="AQ17" i="5"/>
  <c r="DD18" i="5"/>
  <c r="AP18" i="5"/>
  <c r="DI21" i="5"/>
  <c r="AU21" i="5"/>
  <c r="CW23" i="5"/>
  <c r="AK23" i="5"/>
  <c r="BY25" i="5"/>
  <c r="AQ25" i="5"/>
  <c r="BX26" i="5"/>
  <c r="AP26" i="5"/>
  <c r="BU27" i="5"/>
  <c r="AO27" i="5"/>
  <c r="BS29" i="5"/>
  <c r="AM29" i="5"/>
  <c r="CB30" i="5"/>
  <c r="AT30" i="5"/>
  <c r="DF32" i="5"/>
  <c r="AR32" i="5"/>
  <c r="BY33" i="5"/>
  <c r="AQ33" i="5"/>
  <c r="CZ36" i="5"/>
  <c r="AN36" i="5"/>
  <c r="DJ36" i="5"/>
  <c r="AV36" i="5"/>
  <c r="DI37" i="5"/>
  <c r="AU37" i="5"/>
  <c r="BU43" i="5"/>
  <c r="AO43" i="5"/>
  <c r="DH46" i="5"/>
  <c r="AT46" i="5"/>
  <c r="DG47" i="5"/>
  <c r="AS47" i="5"/>
  <c r="DE51" i="5"/>
  <c r="AQ51" i="5"/>
  <c r="BU56" i="5"/>
  <c r="AO56" i="5"/>
  <c r="GG93" i="5"/>
  <c r="GD41" i="5"/>
  <c r="GG68" i="5"/>
  <c r="GG72" i="5"/>
  <c r="GD77" i="5"/>
  <c r="GG81" i="5"/>
  <c r="GG89" i="5"/>
  <c r="GD12" i="5"/>
  <c r="GD28" i="5"/>
  <c r="GD35" i="5"/>
  <c r="GG63" i="5"/>
  <c r="GG67" i="5"/>
  <c r="GG71" i="5"/>
  <c r="GG75" i="5"/>
  <c r="GD76" i="5"/>
  <c r="GD80" i="5"/>
  <c r="GG84" i="5"/>
  <c r="EI88" i="5"/>
  <c r="GF88" i="5" s="1"/>
  <c r="GG88" i="5"/>
  <c r="GG92" i="5"/>
  <c r="GD33" i="5"/>
  <c r="GG85" i="5"/>
  <c r="GD27" i="5"/>
  <c r="GD64" i="5"/>
  <c r="GG76" i="5"/>
  <c r="GG80" i="5"/>
  <c r="GD93" i="5"/>
  <c r="GD13" i="5"/>
  <c r="GD36" i="5"/>
  <c r="GD63" i="5"/>
  <c r="GD67" i="5"/>
  <c r="GD71" i="5"/>
  <c r="GD75" i="5"/>
  <c r="GG79" i="5"/>
  <c r="GD84" i="5"/>
  <c r="GD88" i="5"/>
  <c r="GD92" i="5"/>
  <c r="GD9" i="5"/>
  <c r="FE9" i="5"/>
  <c r="GP9" i="5" s="1"/>
  <c r="GG64" i="5"/>
  <c r="GD49" i="5"/>
  <c r="GD68" i="5"/>
  <c r="GD72" i="5"/>
  <c r="GD81" i="5"/>
  <c r="FE85" i="5"/>
  <c r="GP85" i="5" s="1"/>
  <c r="GD85" i="5"/>
  <c r="GD89" i="5"/>
  <c r="FE30" i="5"/>
  <c r="GP30" i="5" s="1"/>
  <c r="GD44" i="5"/>
  <c r="GG62" i="5"/>
  <c r="GG66" i="5"/>
  <c r="GG70" i="5"/>
  <c r="GG74" i="5"/>
  <c r="GD79" i="5"/>
  <c r="GG83" i="5"/>
  <c r="GG87" i="5"/>
  <c r="GG91" i="5"/>
  <c r="FE31" i="5"/>
  <c r="GP31" i="5" s="1"/>
  <c r="GD45" i="5"/>
  <c r="FE55" i="5"/>
  <c r="GP55" i="5" s="1"/>
  <c r="GD62" i="5"/>
  <c r="GD66" i="5"/>
  <c r="FE70" i="5"/>
  <c r="GP70" i="5" s="1"/>
  <c r="GD70" i="5"/>
  <c r="FE74" i="5"/>
  <c r="GP74" i="5" s="1"/>
  <c r="GD74" i="5"/>
  <c r="GG78" i="5"/>
  <c r="GD83" i="5"/>
  <c r="GD87" i="5"/>
  <c r="GD91" i="5"/>
  <c r="GG95" i="5"/>
  <c r="GD16" i="5"/>
  <c r="GD24" i="5"/>
  <c r="GD39" i="5"/>
  <c r="FE46" i="5"/>
  <c r="GP46" i="5" s="1"/>
  <c r="GG61" i="5"/>
  <c r="GG65" i="5"/>
  <c r="GG69" i="5"/>
  <c r="GG73" i="5"/>
  <c r="GD78" i="5"/>
  <c r="GG82" i="5"/>
  <c r="GG86" i="5"/>
  <c r="GG90" i="5"/>
  <c r="GG94" i="5"/>
  <c r="FE95" i="5"/>
  <c r="GP95" i="5" s="1"/>
  <c r="GD95" i="5"/>
  <c r="GD25" i="5"/>
  <c r="GD32" i="5"/>
  <c r="GD40" i="5"/>
  <c r="GD50" i="5"/>
  <c r="GD56" i="5"/>
  <c r="GD61" i="5"/>
  <c r="GD65" i="5"/>
  <c r="GD69" i="5"/>
  <c r="GD73" i="5"/>
  <c r="GG77" i="5"/>
  <c r="GD82" i="5"/>
  <c r="GD86" i="5"/>
  <c r="GD90" i="5"/>
  <c r="GD94" i="5"/>
  <c r="GG18" i="5"/>
  <c r="GG41" i="5"/>
  <c r="GG51" i="5"/>
  <c r="GG19" i="5"/>
  <c r="GG27" i="5"/>
  <c r="GG42" i="5"/>
  <c r="GG49" i="5"/>
  <c r="GG35" i="5"/>
  <c r="GG13" i="5"/>
  <c r="GG21" i="5"/>
  <c r="GG53" i="5"/>
  <c r="GG37" i="5"/>
  <c r="GG44" i="5"/>
  <c r="GG52" i="5"/>
  <c r="GG54" i="5"/>
  <c r="GG15" i="5"/>
  <c r="GG45" i="5"/>
  <c r="GG55" i="5"/>
  <c r="GG39" i="5"/>
  <c r="GG17" i="5"/>
  <c r="GG25" i="5"/>
  <c r="GG32" i="5"/>
  <c r="GG56" i="5"/>
  <c r="GG9" i="5"/>
  <c r="EI91" i="5"/>
  <c r="GF91" i="5" s="1"/>
  <c r="W95" i="5"/>
  <c r="CW95" i="5" s="1"/>
  <c r="Y95" i="5"/>
  <c r="BS95" i="5" s="1"/>
  <c r="AF95" i="5"/>
  <c r="AG95" i="5"/>
  <c r="DI95" i="5" s="1"/>
  <c r="FI29" i="5"/>
  <c r="FE90" i="5"/>
  <c r="GP90" i="5" s="1"/>
  <c r="EH87" i="5"/>
  <c r="GE87" i="5" s="1"/>
  <c r="X84" i="5"/>
  <c r="AL84" i="5" s="1"/>
  <c r="FE44" i="5"/>
  <c r="GP44" i="5" s="1"/>
  <c r="FI74" i="5"/>
  <c r="FI91" i="5"/>
  <c r="X67" i="5"/>
  <c r="AL67" i="5" s="1"/>
  <c r="EI84" i="5"/>
  <c r="GF84" i="5" s="1"/>
  <c r="W88" i="5"/>
  <c r="AK88" i="5" s="1"/>
  <c r="FI84" i="5"/>
  <c r="AG88" i="5"/>
  <c r="AU88" i="5" s="1"/>
  <c r="Y67" i="5"/>
  <c r="AM67" i="5" s="1"/>
  <c r="EH82" i="5"/>
  <c r="GE82" i="5" s="1"/>
  <c r="X88" i="5"/>
  <c r="FE69" i="5"/>
  <c r="GP69" i="5" s="1"/>
  <c r="FI70" i="5"/>
  <c r="FI94" i="5"/>
  <c r="AG67" i="5"/>
  <c r="AU67" i="5" s="1"/>
  <c r="AF88" i="5"/>
  <c r="AT88" i="5" s="1"/>
  <c r="BS35" i="5"/>
  <c r="FE65" i="5"/>
  <c r="GP65" i="5" s="1"/>
  <c r="FE66" i="5"/>
  <c r="GP66" i="5" s="1"/>
  <c r="AA85" i="5"/>
  <c r="Z85" i="5"/>
  <c r="Y85" i="5"/>
  <c r="AC85" i="5"/>
  <c r="AQ85" i="5" s="1"/>
  <c r="AH85" i="5"/>
  <c r="AG89" i="5"/>
  <c r="AU89" i="5" s="1"/>
  <c r="AD89" i="5"/>
  <c r="AC89" i="5"/>
  <c r="BY89" i="5" s="1"/>
  <c r="Z89" i="5"/>
  <c r="CZ89" i="5" s="1"/>
  <c r="X89" i="5"/>
  <c r="AL89" i="5" s="1"/>
  <c r="Y89" i="5"/>
  <c r="AB92" i="5"/>
  <c r="AP92" i="5" s="1"/>
  <c r="W92" i="5"/>
  <c r="AK92" i="5" s="1"/>
  <c r="AD92" i="5"/>
  <c r="DF92" i="5" s="1"/>
  <c r="AE92" i="5"/>
  <c r="CZ39" i="5"/>
  <c r="AC66" i="5"/>
  <c r="AQ66" i="5" s="1"/>
  <c r="AD66" i="5"/>
  <c r="W66" i="5"/>
  <c r="EH76" i="5"/>
  <c r="GE76" i="5" s="1"/>
  <c r="X85" i="5"/>
  <c r="AL85" i="5" s="1"/>
  <c r="AA89" i="5"/>
  <c r="W90" i="5"/>
  <c r="AC90" i="5"/>
  <c r="AC92" i="5"/>
  <c r="AQ92" i="5" s="1"/>
  <c r="AF66" i="5"/>
  <c r="AG71" i="5"/>
  <c r="Y71" i="5"/>
  <c r="X71" i="5"/>
  <c r="AL71" i="5" s="1"/>
  <c r="AD71" i="5"/>
  <c r="AC71" i="5"/>
  <c r="AQ71" i="5" s="1"/>
  <c r="AF76" i="5"/>
  <c r="AC76" i="5"/>
  <c r="DE76" i="5" s="1"/>
  <c r="AF77" i="5"/>
  <c r="AT77" i="5" s="1"/>
  <c r="AH77" i="5"/>
  <c r="AC77" i="5"/>
  <c r="AQ77" i="5" s="1"/>
  <c r="AH89" i="5"/>
  <c r="FE48" i="5"/>
  <c r="GP48" i="5" s="1"/>
  <c r="GD48" i="5"/>
  <c r="AE66" i="5"/>
  <c r="AC69" i="5"/>
  <c r="W69" i="5"/>
  <c r="BQ69" i="5" s="1"/>
  <c r="AH69" i="5"/>
  <c r="AV69" i="5" s="1"/>
  <c r="AH74" i="5"/>
  <c r="Y74" i="5"/>
  <c r="AM74" i="5" s="1"/>
  <c r="FE82" i="5"/>
  <c r="GP82" i="5" s="1"/>
  <c r="AB85" i="5"/>
  <c r="AP85" i="5" s="1"/>
  <c r="AB89" i="5"/>
  <c r="AG69" i="5"/>
  <c r="CC69" i="5" s="1"/>
  <c r="W71" i="5"/>
  <c r="AC75" i="5"/>
  <c r="AB75" i="5"/>
  <c r="AB76" i="5"/>
  <c r="BX76" i="5" s="1"/>
  <c r="AB77" i="5"/>
  <c r="AP77" i="5" s="1"/>
  <c r="AD83" i="5"/>
  <c r="Y83" i="5"/>
  <c r="BS83" i="5" s="1"/>
  <c r="X83" i="5"/>
  <c r="BR83" i="5" s="1"/>
  <c r="AG83" i="5"/>
  <c r="AU83" i="5" s="1"/>
  <c r="AA83" i="5"/>
  <c r="AO83" i="5" s="1"/>
  <c r="AB83" i="5"/>
  <c r="AP83" i="5" s="1"/>
  <c r="CA47" i="5"/>
  <c r="FE80" i="5"/>
  <c r="GP80" i="5" s="1"/>
  <c r="FE84" i="5"/>
  <c r="GP84" i="5" s="1"/>
  <c r="AB71" i="5"/>
  <c r="AP71" i="5" s="1"/>
  <c r="FI75" i="5"/>
  <c r="AH83" i="5"/>
  <c r="FE88" i="5"/>
  <c r="GP88" i="5" s="1"/>
  <c r="FE91" i="5"/>
  <c r="GP91" i="5" s="1"/>
  <c r="FE93" i="5"/>
  <c r="GP93" i="5" s="1"/>
  <c r="Y88" i="5"/>
  <c r="AM88" i="5" s="1"/>
  <c r="FE94" i="5"/>
  <c r="GP94" i="5" s="1"/>
  <c r="Z95" i="5"/>
  <c r="EI83" i="5"/>
  <c r="GF83" i="5" s="1"/>
  <c r="AE88" i="5"/>
  <c r="AS88" i="5" s="1"/>
  <c r="CX44" i="5"/>
  <c r="AE67" i="5"/>
  <c r="FI87" i="5"/>
  <c r="FE20" i="5"/>
  <c r="GP20" i="5" s="1"/>
  <c r="AF67" i="5"/>
  <c r="AT67" i="5" s="1"/>
  <c r="EI87" i="5"/>
  <c r="GF87" i="5" s="1"/>
  <c r="EI76" i="5"/>
  <c r="GF76" i="5" s="1"/>
  <c r="EH83" i="5"/>
  <c r="GE83" i="5" s="1"/>
  <c r="EI62" i="5"/>
  <c r="GF62" i="5" s="1"/>
  <c r="EH72" i="5"/>
  <c r="GE72" i="5" s="1"/>
  <c r="AG63" i="5"/>
  <c r="AU63" i="5" s="1"/>
  <c r="AD63" i="5"/>
  <c r="AR63" i="5" s="1"/>
  <c r="AB63" i="5"/>
  <c r="AP63" i="5" s="1"/>
  <c r="AC68" i="5"/>
  <c r="AQ68" i="5" s="1"/>
  <c r="Z68" i="5"/>
  <c r="Y68" i="5"/>
  <c r="X68" i="5"/>
  <c r="AL68" i="5" s="1"/>
  <c r="AH68" i="5"/>
  <c r="W68" i="5"/>
  <c r="BR74" i="5"/>
  <c r="GD17" i="5"/>
  <c r="FE56" i="5"/>
  <c r="GP56" i="5" s="1"/>
  <c r="W63" i="5"/>
  <c r="AK63" i="5" s="1"/>
  <c r="AE64" i="5"/>
  <c r="AS64" i="5" s="1"/>
  <c r="AD64" i="5"/>
  <c r="AC64" i="5"/>
  <c r="AQ64" i="5" s="1"/>
  <c r="AB64" i="5"/>
  <c r="AA68" i="5"/>
  <c r="AO68" i="5" s="1"/>
  <c r="AD75" i="5"/>
  <c r="AR75" i="5" s="1"/>
  <c r="Z75" i="5"/>
  <c r="AH75" i="5"/>
  <c r="Y75" i="5"/>
  <c r="AG75" i="5"/>
  <c r="X75" i="5"/>
  <c r="AF75" i="5"/>
  <c r="AT75" i="5" s="1"/>
  <c r="W75" i="5"/>
  <c r="AK75" i="5" s="1"/>
  <c r="FE78" i="5"/>
  <c r="GP78" i="5" s="1"/>
  <c r="AF81" i="5"/>
  <c r="AE81" i="5"/>
  <c r="AS81" i="5" s="1"/>
  <c r="AD81" i="5"/>
  <c r="Y81" i="5"/>
  <c r="AM81" i="5" s="1"/>
  <c r="GD37" i="5"/>
  <c r="GD57" i="5"/>
  <c r="GD58" i="5"/>
  <c r="Y63" i="5"/>
  <c r="W64" i="5"/>
  <c r="AK64" i="5" s="1"/>
  <c r="AE68" i="5"/>
  <c r="DG68" i="5" s="1"/>
  <c r="DF69" i="5"/>
  <c r="FI73" i="5"/>
  <c r="AA75" i="5"/>
  <c r="AO75" i="5" s="1"/>
  <c r="AD78" i="5"/>
  <c r="AR78" i="5" s="1"/>
  <c r="AC78" i="5"/>
  <c r="W81" i="5"/>
  <c r="AG84" i="5"/>
  <c r="DI84" i="5" s="1"/>
  <c r="AF84" i="5"/>
  <c r="AT84" i="5" s="1"/>
  <c r="AE84" i="5"/>
  <c r="Y84" i="5"/>
  <c r="AM84" i="5" s="1"/>
  <c r="FE24" i="5"/>
  <c r="GP24" i="5" s="1"/>
  <c r="AD62" i="5"/>
  <c r="AR62" i="5" s="1"/>
  <c r="BS26" i="5"/>
  <c r="FI54" i="5"/>
  <c r="AC63" i="5"/>
  <c r="AQ63" i="5" s="1"/>
  <c r="EI70" i="5"/>
  <c r="GF70" i="5" s="1"/>
  <c r="EH70" i="5"/>
  <c r="GE70" i="5" s="1"/>
  <c r="AE75" i="5"/>
  <c r="AS75" i="5" s="1"/>
  <c r="AE76" i="5"/>
  <c r="AA76" i="5"/>
  <c r="Z76" i="5"/>
  <c r="AN76" i="5" s="1"/>
  <c r="Y76" i="5"/>
  <c r="AM76" i="5" s="1"/>
  <c r="AH76" i="5"/>
  <c r="CD76" i="5" s="1"/>
  <c r="X76" i="5"/>
  <c r="AL76" i="5" s="1"/>
  <c r="AH84" i="5"/>
  <c r="AD88" i="5"/>
  <c r="AR88" i="5" s="1"/>
  <c r="AC88" i="5"/>
  <c r="AQ88" i="5" s="1"/>
  <c r="AB88" i="5"/>
  <c r="AP88" i="5" s="1"/>
  <c r="AA88" i="5"/>
  <c r="AO88" i="5" s="1"/>
  <c r="Z88" i="5"/>
  <c r="CZ88" i="5" s="1"/>
  <c r="EH89" i="5"/>
  <c r="GE89" i="5" s="1"/>
  <c r="Z63" i="5"/>
  <c r="AN63" i="5" s="1"/>
  <c r="AF68" i="5"/>
  <c r="AT68" i="5" s="1"/>
  <c r="FE72" i="5"/>
  <c r="GP72" i="5" s="1"/>
  <c r="AC82" i="5"/>
  <c r="AQ82" i="5" s="1"/>
  <c r="AF82" i="5"/>
  <c r="AT82" i="5" s="1"/>
  <c r="AE82" i="5"/>
  <c r="Z82" i="5"/>
  <c r="Y82" i="5"/>
  <c r="AM82" i="5" s="1"/>
  <c r="CZ87" i="5"/>
  <c r="FE87" i="5"/>
  <c r="GP87" i="5" s="1"/>
  <c r="FI89" i="5"/>
  <c r="AA63" i="5"/>
  <c r="AO63" i="5" s="1"/>
  <c r="EH73" i="5"/>
  <c r="GE73" i="5" s="1"/>
  <c r="AH63" i="5"/>
  <c r="AV63" i="5" s="1"/>
  <c r="AB73" i="5"/>
  <c r="AD73" i="5"/>
  <c r="AR73" i="5" s="1"/>
  <c r="AC73" i="5"/>
  <c r="AQ73" i="5" s="1"/>
  <c r="AG74" i="5"/>
  <c r="AU74" i="5" s="1"/>
  <c r="AD74" i="5"/>
  <c r="AR74" i="5" s="1"/>
  <c r="AA74" i="5"/>
  <c r="Z74" i="5"/>
  <c r="EI77" i="5"/>
  <c r="GF77" i="5" s="1"/>
  <c r="EH79" i="5"/>
  <c r="GE79" i="5" s="1"/>
  <c r="AG82" i="5"/>
  <c r="FE83" i="5"/>
  <c r="GP83" i="5" s="1"/>
  <c r="AE87" i="5"/>
  <c r="AS87" i="5" s="1"/>
  <c r="AD87" i="5"/>
  <c r="AR87" i="5" s="1"/>
  <c r="AB87" i="5"/>
  <c r="AA87" i="5"/>
  <c r="AO87" i="5" s="1"/>
  <c r="FE49" i="5"/>
  <c r="GP49" i="5" s="1"/>
  <c r="AG68" i="5"/>
  <c r="AU68" i="5" s="1"/>
  <c r="FE71" i="5"/>
  <c r="GP71" i="5" s="1"/>
  <c r="W82" i="5"/>
  <c r="AK82" i="5" s="1"/>
  <c r="BU31" i="5"/>
  <c r="DH53" i="5"/>
  <c r="GP61" i="5"/>
  <c r="AB69" i="5"/>
  <c r="AP69" i="5" s="1"/>
  <c r="AA69" i="5"/>
  <c r="Z69" i="5"/>
  <c r="Y69" i="5"/>
  <c r="Z73" i="5"/>
  <c r="W74" i="5"/>
  <c r="CX74" i="5"/>
  <c r="AH82" i="5"/>
  <c r="AV82" i="5" s="1"/>
  <c r="AF86" i="5"/>
  <c r="Y86" i="5"/>
  <c r="X86" i="5"/>
  <c r="W86" i="5"/>
  <c r="AK86" i="5" s="1"/>
  <c r="Y87" i="5"/>
  <c r="FE92" i="5"/>
  <c r="GP92" i="5" s="1"/>
  <c r="AF71" i="5"/>
  <c r="AT71" i="5" s="1"/>
  <c r="FE64" i="5"/>
  <c r="GP64" i="5" s="1"/>
  <c r="FI72" i="5"/>
  <c r="Y77" i="5"/>
  <c r="AM77" i="5" s="1"/>
  <c r="FE79" i="5"/>
  <c r="GP79" i="5" s="1"/>
  <c r="AC83" i="5"/>
  <c r="AQ83" i="5" s="1"/>
  <c r="AD85" i="5"/>
  <c r="FE86" i="5"/>
  <c r="GP86" i="5" s="1"/>
  <c r="AH95" i="5"/>
  <c r="AV95" i="5" s="1"/>
  <c r="FE63" i="5"/>
  <c r="GP63" i="5" s="1"/>
  <c r="Z77" i="5"/>
  <c r="CZ77" i="5" s="1"/>
  <c r="EH77" i="5"/>
  <c r="GE77" i="5" s="1"/>
  <c r="AE83" i="5"/>
  <c r="AS83" i="5" s="1"/>
  <c r="AF85" i="5"/>
  <c r="AT85" i="5" s="1"/>
  <c r="AA77" i="5"/>
  <c r="FE81" i="5"/>
  <c r="GP81" i="5" s="1"/>
  <c r="W83" i="5"/>
  <c r="AK83" i="5" s="1"/>
  <c r="AF83" i="5"/>
  <c r="AT83" i="5" s="1"/>
  <c r="W85" i="5"/>
  <c r="AG85" i="5"/>
  <c r="AU85" i="5" s="1"/>
  <c r="EH88" i="5"/>
  <c r="GE88" i="5" s="1"/>
  <c r="X95" i="5"/>
  <c r="AL95" i="5" s="1"/>
  <c r="EH46" i="5"/>
  <c r="GE46" i="5" s="1"/>
  <c r="EH54" i="5"/>
  <c r="GE54" i="5" s="1"/>
  <c r="EI33" i="5"/>
  <c r="GF33" i="5" s="1"/>
  <c r="FI43" i="5"/>
  <c r="FI21" i="5"/>
  <c r="EI22" i="5"/>
  <c r="GF22" i="5" s="1"/>
  <c r="FI27" i="5"/>
  <c r="FI33" i="5"/>
  <c r="EI34" i="5"/>
  <c r="GF34" i="5" s="1"/>
  <c r="EH23" i="5"/>
  <c r="GE23" i="5" s="1"/>
  <c r="EI11" i="5"/>
  <c r="GF11" i="5" s="1"/>
  <c r="EI38" i="5"/>
  <c r="GF38" i="5" s="1"/>
  <c r="GG22" i="5"/>
  <c r="FI57" i="5"/>
  <c r="EH31" i="5"/>
  <c r="GE31" i="5" s="1"/>
  <c r="FI31" i="5"/>
  <c r="FI37" i="5"/>
  <c r="FI39" i="5"/>
  <c r="FI9" i="5"/>
  <c r="DG18" i="5"/>
  <c r="DE45" i="5"/>
  <c r="CC16" i="5"/>
  <c r="DG26" i="5"/>
  <c r="DF44" i="5"/>
  <c r="BQ22" i="5"/>
  <c r="CD25" i="5"/>
  <c r="DD29" i="5"/>
  <c r="CD43" i="5"/>
  <c r="DI27" i="5"/>
  <c r="CD46" i="5"/>
  <c r="BR30" i="5"/>
  <c r="BY51" i="5"/>
  <c r="DI12" i="5"/>
  <c r="CD42" i="5"/>
  <c r="BS45" i="5"/>
  <c r="BS12" i="5"/>
  <c r="DG14" i="5"/>
  <c r="BZ22" i="5"/>
  <c r="DH26" i="5"/>
  <c r="DE29" i="5"/>
  <c r="DJ32" i="5"/>
  <c r="BT39" i="5"/>
  <c r="BT40" i="5"/>
  <c r="BZ41" i="5"/>
  <c r="BS42" i="5"/>
  <c r="DJ47" i="5"/>
  <c r="BT53" i="5"/>
  <c r="CW14" i="5"/>
  <c r="CW28" i="5"/>
  <c r="CY31" i="5"/>
  <c r="CB16" i="5"/>
  <c r="DF18" i="5"/>
  <c r="DG23" i="5"/>
  <c r="DI26" i="5"/>
  <c r="DG28" i="5"/>
  <c r="DG29" i="5"/>
  <c r="CD39" i="5"/>
  <c r="CZ40" i="5"/>
  <c r="BZ59" i="5"/>
  <c r="DF41" i="5"/>
  <c r="CX59" i="5"/>
  <c r="DI11" i="5"/>
  <c r="BX13" i="5"/>
  <c r="DI20" i="5"/>
  <c r="BT25" i="5"/>
  <c r="BR26" i="5"/>
  <c r="BR29" i="5"/>
  <c r="BU32" i="5"/>
  <c r="BT35" i="5"/>
  <c r="CD37" i="5"/>
  <c r="DF38" i="5"/>
  <c r="CZ43" i="5"/>
  <c r="BT45" i="5"/>
  <c r="BR46" i="5"/>
  <c r="BX51" i="5"/>
  <c r="DI53" i="5"/>
  <c r="CA27" i="5"/>
  <c r="BY29" i="5"/>
  <c r="CB35" i="5"/>
  <c r="DF39" i="5"/>
  <c r="DJ40" i="5"/>
  <c r="DH42" i="5"/>
  <c r="CD45" i="5"/>
  <c r="CX15" i="5"/>
  <c r="CY27" i="5"/>
  <c r="CA28" i="5"/>
  <c r="BZ29" i="5"/>
  <c r="CX30" i="5"/>
  <c r="CD33" i="5"/>
  <c r="CC35" i="5"/>
  <c r="CB36" i="5"/>
  <c r="DJ39" i="5"/>
  <c r="DI42" i="5"/>
  <c r="DD43" i="5"/>
  <c r="CX46" i="5"/>
  <c r="CZ47" i="5"/>
  <c r="BQ23" i="5"/>
  <c r="DG32" i="5"/>
  <c r="DE33" i="5"/>
  <c r="DH35" i="5"/>
  <c r="BS53" i="5"/>
  <c r="EH15" i="5"/>
  <c r="GE15" i="5" s="1"/>
  <c r="EI46" i="5"/>
  <c r="GF46" i="5" s="1"/>
  <c r="EI19" i="5"/>
  <c r="GF19" i="5" s="1"/>
  <c r="EH38" i="5"/>
  <c r="GE38" i="5" s="1"/>
  <c r="EI54" i="5"/>
  <c r="GF54" i="5" s="1"/>
  <c r="EH33" i="5"/>
  <c r="GE33" i="5" s="1"/>
  <c r="EH41" i="5"/>
  <c r="GE41" i="5" s="1"/>
  <c r="EI23" i="5"/>
  <c r="GF23" i="5" s="1"/>
  <c r="EI29" i="5"/>
  <c r="GF29" i="5" s="1"/>
  <c r="EI41" i="5"/>
  <c r="GF41" i="5" s="1"/>
  <c r="GG46" i="5"/>
  <c r="EI52" i="5"/>
  <c r="GF52" i="5" s="1"/>
  <c r="DG11" i="5"/>
  <c r="BY27" i="5"/>
  <c r="DE27" i="5"/>
  <c r="BU28" i="5"/>
  <c r="BU29" i="5"/>
  <c r="BS30" i="5"/>
  <c r="CY30" i="5"/>
  <c r="CC30" i="5"/>
  <c r="DI30" i="5"/>
  <c r="BQ38" i="5"/>
  <c r="CW38" i="5"/>
  <c r="BS40" i="5"/>
  <c r="DF51" i="5"/>
  <c r="CA51" i="5"/>
  <c r="DG51" i="5"/>
  <c r="DG53" i="5"/>
  <c r="CX11" i="5"/>
  <c r="BR11" i="5"/>
  <c r="BY22" i="5"/>
  <c r="DI25" i="5"/>
  <c r="CZ26" i="5"/>
  <c r="CY36" i="5"/>
  <c r="BS36" i="5"/>
  <c r="DI36" i="5"/>
  <c r="BU39" i="5"/>
  <c r="CA41" i="5"/>
  <c r="CY43" i="5"/>
  <c r="CW51" i="5"/>
  <c r="BQ51" i="5"/>
  <c r="BS52" i="5"/>
  <c r="BY10" i="5"/>
  <c r="CZ21" i="5"/>
  <c r="BT21" i="5"/>
  <c r="DE38" i="5"/>
  <c r="DG41" i="5"/>
  <c r="BZ46" i="5"/>
  <c r="DF46" i="5"/>
  <c r="CW53" i="5"/>
  <c r="BQ53" i="5"/>
  <c r="BX18" i="5"/>
  <c r="DI19" i="5"/>
  <c r="DG20" i="5"/>
  <c r="CA20" i="5"/>
  <c r="DI32" i="5"/>
  <c r="CW34" i="5"/>
  <c r="BQ34" i="5"/>
  <c r="CA34" i="5"/>
  <c r="DE34" i="5"/>
  <c r="CW35" i="5"/>
  <c r="BQ35" i="5"/>
  <c r="BX37" i="5"/>
  <c r="DD37" i="5"/>
  <c r="CW42" i="5"/>
  <c r="BQ42" i="5"/>
  <c r="CW46" i="5"/>
  <c r="DJ24" i="5"/>
  <c r="DD25" i="5"/>
  <c r="BX25" i="5"/>
  <c r="BQ30" i="5"/>
  <c r="CY33" i="5"/>
  <c r="BS33" i="5"/>
  <c r="DI33" i="5"/>
  <c r="CC33" i="5"/>
  <c r="DG34" i="5"/>
  <c r="BY37" i="5"/>
  <c r="BR47" i="5"/>
  <c r="DD52" i="5"/>
  <c r="CB11" i="5"/>
  <c r="CX14" i="5"/>
  <c r="DJ21" i="5"/>
  <c r="BU25" i="5"/>
  <c r="BR28" i="5"/>
  <c r="CX28" i="5"/>
  <c r="DF30" i="5"/>
  <c r="DD38" i="5"/>
  <c r="BX38" i="5"/>
  <c r="BR40" i="5"/>
  <c r="BS43" i="5"/>
  <c r="BX44" i="5"/>
  <c r="DD44" i="5"/>
  <c r="BX45" i="5"/>
  <c r="DD45" i="5"/>
  <c r="BS46" i="5"/>
  <c r="CA53" i="5"/>
  <c r="DE14" i="5"/>
  <c r="BY14" i="5"/>
  <c r="DG19" i="5"/>
  <c r="CA19" i="5"/>
  <c r="BT20" i="5"/>
  <c r="CD20" i="5"/>
  <c r="DJ20" i="5"/>
  <c r="CC25" i="5"/>
  <c r="CC28" i="5"/>
  <c r="DI28" i="5"/>
  <c r="DG30" i="5"/>
  <c r="CA30" i="5"/>
  <c r="CW30" i="5"/>
  <c r="CB47" i="5"/>
  <c r="DI49" i="5"/>
  <c r="CD59" i="5"/>
  <c r="DJ59" i="5"/>
  <c r="DH11" i="5"/>
  <c r="DF14" i="5"/>
  <c r="BX17" i="5"/>
  <c r="CC32" i="5"/>
  <c r="DG35" i="5"/>
  <c r="DG36" i="5"/>
  <c r="CA36" i="5"/>
  <c r="CC36" i="5"/>
  <c r="CA38" i="5"/>
  <c r="CB40" i="5"/>
  <c r="BY41" i="5"/>
  <c r="DE41" i="5"/>
  <c r="BZ45" i="5"/>
  <c r="CC49" i="5"/>
  <c r="DJ50" i="5"/>
  <c r="CD50" i="5"/>
  <c r="DE53" i="5"/>
  <c r="BY53" i="5"/>
  <c r="BS11" i="5"/>
  <c r="CD12" i="5"/>
  <c r="BU17" i="5"/>
  <c r="DH19" i="5"/>
  <c r="DF23" i="5"/>
  <c r="DE25" i="5"/>
  <c r="BQ26" i="5"/>
  <c r="DG27" i="5"/>
  <c r="BT31" i="5"/>
  <c r="DJ31" i="5"/>
  <c r="DE32" i="5"/>
  <c r="CX34" i="5"/>
  <c r="BR35" i="5"/>
  <c r="BZ38" i="5"/>
  <c r="BR42" i="5"/>
  <c r="CB44" i="5"/>
  <c r="BR45" i="5"/>
  <c r="CB46" i="5"/>
  <c r="CW50" i="5"/>
  <c r="DJ12" i="5"/>
  <c r="CB15" i="5"/>
  <c r="DF29" i="5"/>
  <c r="CC31" i="5"/>
  <c r="CD32" i="5"/>
  <c r="DD33" i="5"/>
  <c r="DF34" i="5"/>
  <c r="DI35" i="5"/>
  <c r="CD36" i="5"/>
  <c r="BQ40" i="5"/>
  <c r="DD40" i="5"/>
  <c r="DH41" i="5"/>
  <c r="CB42" i="5"/>
  <c r="DG45" i="5"/>
  <c r="CZ46" i="5"/>
  <c r="DD47" i="5"/>
  <c r="BR59" i="5"/>
  <c r="BT12" i="5"/>
  <c r="BY18" i="5"/>
  <c r="CW22" i="5"/>
  <c r="BZ23" i="5"/>
  <c r="BT27" i="5"/>
  <c r="CA29" i="5"/>
  <c r="DH30" i="5"/>
  <c r="BT36" i="5"/>
  <c r="BX40" i="5"/>
  <c r="CZ53" i="5"/>
  <c r="BS27" i="5"/>
  <c r="DH34" i="5"/>
  <c r="BT43" i="5"/>
  <c r="CW45" i="5"/>
  <c r="CY53" i="5"/>
  <c r="BX14" i="5"/>
  <c r="BZ18" i="5"/>
  <c r="CD29" i="5"/>
  <c r="CZ35" i="5"/>
  <c r="DD39" i="5"/>
  <c r="EH51" i="5"/>
  <c r="GE51" i="5" s="1"/>
  <c r="EH56" i="5"/>
  <c r="GE56" i="5" s="1"/>
  <c r="EH52" i="5"/>
  <c r="GE52" i="5" s="1"/>
  <c r="EI56" i="5"/>
  <c r="GF56" i="5" s="1"/>
  <c r="EH47" i="5"/>
  <c r="GE47" i="5" s="1"/>
  <c r="EH50" i="5"/>
  <c r="GE50" i="5" s="1"/>
  <c r="FI56" i="5"/>
  <c r="EH58" i="5"/>
  <c r="GE58" i="5" s="1"/>
  <c r="FE47" i="5"/>
  <c r="GP47" i="5" s="1"/>
  <c r="EI51" i="5"/>
  <c r="GF51" i="5" s="1"/>
  <c r="FE58" i="5"/>
  <c r="GP58" i="5" s="1"/>
  <c r="EH29" i="5"/>
  <c r="GE29" i="5" s="1"/>
  <c r="EH35" i="5"/>
  <c r="GE35" i="5" s="1"/>
  <c r="GG50" i="5"/>
  <c r="EH53" i="5"/>
  <c r="GE53" i="5" s="1"/>
  <c r="GG11" i="5"/>
  <c r="GD20" i="5"/>
  <c r="EH27" i="5"/>
  <c r="GE27" i="5" s="1"/>
  <c r="FE29" i="5"/>
  <c r="GP29" i="5" s="1"/>
  <c r="EI35" i="5"/>
  <c r="GF35" i="5" s="1"/>
  <c r="FE36" i="5"/>
  <c r="GP36" i="5" s="1"/>
  <c r="EI39" i="5"/>
  <c r="GF39" i="5" s="1"/>
  <c r="FE41" i="5"/>
  <c r="GP41" i="5" s="1"/>
  <c r="GD47" i="5"/>
  <c r="EI53" i="5"/>
  <c r="GF53" i="5" s="1"/>
  <c r="FE17" i="5"/>
  <c r="GP17" i="5" s="1"/>
  <c r="GG23" i="5"/>
  <c r="EI27" i="5"/>
  <c r="GF27" i="5" s="1"/>
  <c r="GG34" i="5"/>
  <c r="FE35" i="5"/>
  <c r="GP35" i="5" s="1"/>
  <c r="FE39" i="5"/>
  <c r="GP39" i="5" s="1"/>
  <c r="FE42" i="5"/>
  <c r="GP42" i="5" s="1"/>
  <c r="GG47" i="5"/>
  <c r="FE27" i="5"/>
  <c r="GP27" i="5" s="1"/>
  <c r="GG29" i="5"/>
  <c r="GD31" i="5"/>
  <c r="FE50" i="5"/>
  <c r="GP50" i="5" s="1"/>
  <c r="EI15" i="5"/>
  <c r="GF15" i="5" s="1"/>
  <c r="FE16" i="5"/>
  <c r="GP16" i="5" s="1"/>
  <c r="EH19" i="5"/>
  <c r="GE19" i="5" s="1"/>
  <c r="FE32" i="5"/>
  <c r="GP32" i="5" s="1"/>
  <c r="BZ19" i="5"/>
  <c r="CX23" i="5"/>
  <c r="CC24" i="5"/>
  <c r="CD13" i="5"/>
  <c r="CY23" i="5"/>
  <c r="CD24" i="5"/>
  <c r="BY11" i="5"/>
  <c r="BZ14" i="5"/>
  <c r="CY15" i="5"/>
  <c r="CD16" i="5"/>
  <c r="CD17" i="5"/>
  <c r="CB19" i="5"/>
  <c r="CB20" i="5"/>
  <c r="BX21" i="5"/>
  <c r="BR23" i="5"/>
  <c r="BR24" i="5"/>
  <c r="CZ24" i="5"/>
  <c r="BQ10" i="5"/>
  <c r="DE10" i="5"/>
  <c r="BZ11" i="5"/>
  <c r="CB12" i="5"/>
  <c r="BQ15" i="5"/>
  <c r="CZ16" i="5"/>
  <c r="CW18" i="5"/>
  <c r="CX19" i="5"/>
  <c r="CD21" i="5"/>
  <c r="DD22" i="5"/>
  <c r="BS23" i="5"/>
  <c r="BS24" i="5"/>
  <c r="BX10" i="5"/>
  <c r="DF10" i="5"/>
  <c r="CA11" i="5"/>
  <c r="BR15" i="5"/>
  <c r="DF15" i="5"/>
  <c r="BR16" i="5"/>
  <c r="BQ19" i="5"/>
  <c r="CY19" i="5"/>
  <c r="DE22" i="5"/>
  <c r="BY23" i="5"/>
  <c r="BT24" i="5"/>
  <c r="DG10" i="5"/>
  <c r="DE13" i="5"/>
  <c r="BS15" i="5"/>
  <c r="DG15" i="5"/>
  <c r="BS16" i="5"/>
  <c r="DE17" i="5"/>
  <c r="BR19" i="5"/>
  <c r="BR20" i="5"/>
  <c r="CZ20" i="5"/>
  <c r="DD21" i="5"/>
  <c r="DH23" i="5"/>
  <c r="DH24" i="5"/>
  <c r="BT13" i="5"/>
  <c r="BQ14" i="5"/>
  <c r="BS19" i="5"/>
  <c r="BS20" i="5"/>
  <c r="DE21" i="5"/>
  <c r="DG22" i="5"/>
  <c r="CA23" i="5"/>
  <c r="DI23" i="5"/>
  <c r="CA24" i="5"/>
  <c r="CW10" i="5"/>
  <c r="BQ11" i="5"/>
  <c r="CY11" i="5"/>
  <c r="BR12" i="5"/>
  <c r="BR14" i="5"/>
  <c r="DI15" i="5"/>
  <c r="BT17" i="5"/>
  <c r="BQ18" i="5"/>
  <c r="BY19" i="5"/>
  <c r="AN9" i="5"/>
  <c r="CC9" i="5"/>
  <c r="AP9" i="5"/>
  <c r="DD9" i="5"/>
  <c r="DE9" i="5"/>
  <c r="AV9" i="5"/>
  <c r="EH22" i="5"/>
  <c r="GE22" i="5" s="1"/>
  <c r="EI25" i="5"/>
  <c r="GF25" i="5" s="1"/>
  <c r="FE28" i="5"/>
  <c r="GP28" i="5" s="1"/>
  <c r="GD21" i="5"/>
  <c r="FE25" i="5"/>
  <c r="GP25" i="5" s="1"/>
  <c r="EH11" i="5"/>
  <c r="GE11" i="5" s="1"/>
  <c r="FE12" i="5"/>
  <c r="GP12" i="5" s="1"/>
  <c r="GG33" i="5"/>
  <c r="FE13" i="5"/>
  <c r="GP13" i="5" s="1"/>
  <c r="GG10" i="5"/>
  <c r="BY12" i="5"/>
  <c r="DE12" i="5"/>
  <c r="BR13" i="5"/>
  <c r="DH13" i="5"/>
  <c r="CB13" i="5"/>
  <c r="CX13" i="5"/>
  <c r="EI16" i="5"/>
  <c r="GF16" i="5" s="1"/>
  <c r="CX18" i="5"/>
  <c r="BR21" i="5"/>
  <c r="CX21" i="5"/>
  <c r="DH21" i="5"/>
  <c r="CB21" i="5"/>
  <c r="BS13" i="5"/>
  <c r="CY13" i="5"/>
  <c r="DI13" i="5"/>
  <c r="CC13" i="5"/>
  <c r="CB18" i="5"/>
  <c r="BS21" i="5"/>
  <c r="CY21" i="5"/>
  <c r="CC21" i="5"/>
  <c r="BR22" i="5"/>
  <c r="AI22" i="5"/>
  <c r="CB22" i="5"/>
  <c r="FI13" i="5"/>
  <c r="BX16" i="5"/>
  <c r="DD16" i="5"/>
  <c r="BS18" i="5"/>
  <c r="CC18" i="5"/>
  <c r="DI18" i="5"/>
  <c r="BS22" i="5"/>
  <c r="CC22" i="5"/>
  <c r="DI22" i="5"/>
  <c r="BZ25" i="5"/>
  <c r="BT11" i="5"/>
  <c r="CZ11" i="5"/>
  <c r="AI11" i="5"/>
  <c r="CD11" i="5"/>
  <c r="EI14" i="5"/>
  <c r="GF14" i="5" s="1"/>
  <c r="EH14" i="5"/>
  <c r="GE14" i="5" s="1"/>
  <c r="BY16" i="5"/>
  <c r="DE16" i="5"/>
  <c r="AI17" i="5"/>
  <c r="BQ17" i="5"/>
  <c r="CA17" i="5"/>
  <c r="DG17" i="5"/>
  <c r="CW17" i="5"/>
  <c r="BT18" i="5"/>
  <c r="DJ18" i="5"/>
  <c r="CD18" i="5"/>
  <c r="BT19" i="5"/>
  <c r="CZ19" i="5"/>
  <c r="AI19" i="5"/>
  <c r="CD19" i="5"/>
  <c r="DJ19" i="5"/>
  <c r="BT22" i="5"/>
  <c r="CZ22" i="5"/>
  <c r="DJ22" i="5"/>
  <c r="CD22" i="5"/>
  <c r="AI25" i="5"/>
  <c r="BQ25" i="5"/>
  <c r="CW25" i="5"/>
  <c r="CA25" i="5"/>
  <c r="DG25" i="5"/>
  <c r="DF25" i="5"/>
  <c r="CA9" i="5"/>
  <c r="DG9" i="5"/>
  <c r="BR9" i="5"/>
  <c r="CX9" i="5"/>
  <c r="BR10" i="5"/>
  <c r="CB10" i="5"/>
  <c r="BS14" i="5"/>
  <c r="CC14" i="5"/>
  <c r="DI14" i="5"/>
  <c r="CY14" i="5"/>
  <c r="BS17" i="5"/>
  <c r="CY17" i="5"/>
  <c r="CC17" i="5"/>
  <c r="FI17" i="5"/>
  <c r="BX20" i="5"/>
  <c r="DD20" i="5"/>
  <c r="DH22" i="5"/>
  <c r="CW9" i="5"/>
  <c r="BS10" i="5"/>
  <c r="CC10" i="5"/>
  <c r="DI10" i="5"/>
  <c r="EH12" i="5"/>
  <c r="GE12" i="5" s="1"/>
  <c r="BT14" i="5"/>
  <c r="DJ14" i="5"/>
  <c r="CD14" i="5"/>
  <c r="CZ14" i="5"/>
  <c r="BT15" i="5"/>
  <c r="CZ15" i="5"/>
  <c r="CD15" i="5"/>
  <c r="BZ21" i="5"/>
  <c r="CX22" i="5"/>
  <c r="BZ9" i="5"/>
  <c r="DH9" i="5"/>
  <c r="CB9" i="5"/>
  <c r="EI12" i="5"/>
  <c r="GF12" i="5" s="1"/>
  <c r="BR17" i="5"/>
  <c r="CX17" i="5"/>
  <c r="DH17" i="5"/>
  <c r="CB17" i="5"/>
  <c r="BU18" i="5"/>
  <c r="AI18" i="5"/>
  <c r="EI20" i="5"/>
  <c r="GF20" i="5" s="1"/>
  <c r="DF9" i="5"/>
  <c r="BT10" i="5"/>
  <c r="CZ10" i="5"/>
  <c r="DJ10" i="5"/>
  <c r="CD10" i="5"/>
  <c r="DJ11" i="5"/>
  <c r="BX12" i="5"/>
  <c r="DD12" i="5"/>
  <c r="BU14" i="5"/>
  <c r="AI14" i="5"/>
  <c r="GG14" i="5"/>
  <c r="BU15" i="5"/>
  <c r="AI15" i="5"/>
  <c r="BR18" i="5"/>
  <c r="AI21" i="5"/>
  <c r="BQ21" i="5"/>
  <c r="CW21" i="5"/>
  <c r="CA21" i="5"/>
  <c r="DG21" i="5"/>
  <c r="CY22" i="5"/>
  <c r="EI10" i="5"/>
  <c r="GF10" i="5" s="1"/>
  <c r="AI13" i="5"/>
  <c r="BQ13" i="5"/>
  <c r="CA13" i="5"/>
  <c r="DG13" i="5"/>
  <c r="CB14" i="5"/>
  <c r="BZ17" i="5"/>
  <c r="EI18" i="5"/>
  <c r="GF18" i="5" s="1"/>
  <c r="BT23" i="5"/>
  <c r="BQ24" i="5"/>
  <c r="CW24" i="5"/>
  <c r="AI24" i="5"/>
  <c r="DF26" i="5"/>
  <c r="CZ28" i="5"/>
  <c r="BT28" i="5"/>
  <c r="CY29" i="5"/>
  <c r="DI29" i="5"/>
  <c r="CZ32" i="5"/>
  <c r="FE33" i="5"/>
  <c r="GP33" i="5" s="1"/>
  <c r="DF35" i="5"/>
  <c r="BR38" i="5"/>
  <c r="CX38" i="5"/>
  <c r="AI38" i="5"/>
  <c r="CB38" i="5"/>
  <c r="DH38" i="5"/>
  <c r="CX39" i="5"/>
  <c r="DH39" i="5"/>
  <c r="CB39" i="5"/>
  <c r="DE40" i="5"/>
  <c r="BY40" i="5"/>
  <c r="GG40" i="5"/>
  <c r="EI40" i="5"/>
  <c r="GF40" i="5" s="1"/>
  <c r="EH40" i="5"/>
  <c r="GE40" i="5" s="1"/>
  <c r="BS38" i="5"/>
  <c r="CY38" i="5"/>
  <c r="CC38" i="5"/>
  <c r="DI38" i="5"/>
  <c r="CY39" i="5"/>
  <c r="DI39" i="5"/>
  <c r="CC39" i="5"/>
  <c r="DF40" i="5"/>
  <c r="BZ40" i="5"/>
  <c r="FE40" i="5"/>
  <c r="GP40" i="5" s="1"/>
  <c r="DD28" i="5"/>
  <c r="GG31" i="5"/>
  <c r="FI32" i="5"/>
  <c r="BT38" i="5"/>
  <c r="CZ38" i="5"/>
  <c r="CD38" i="5"/>
  <c r="DJ38" i="5"/>
  <c r="FE38" i="5"/>
  <c r="GP38" i="5" s="1"/>
  <c r="BY31" i="5"/>
  <c r="CY34" i="5"/>
  <c r="BS34" i="5"/>
  <c r="CC34" i="5"/>
  <c r="BX28" i="5"/>
  <c r="BT30" i="5"/>
  <c r="CD30" i="5"/>
  <c r="DJ30" i="5"/>
  <c r="DF31" i="5"/>
  <c r="AI33" i="5"/>
  <c r="DG33" i="5"/>
  <c r="BZ33" i="5"/>
  <c r="DF33" i="5"/>
  <c r="CZ34" i="5"/>
  <c r="CD34" i="5"/>
  <c r="DJ34" i="5"/>
  <c r="BT34" i="5"/>
  <c r="BZ37" i="5"/>
  <c r="CY41" i="5"/>
  <c r="BS41" i="5"/>
  <c r="CC41" i="5"/>
  <c r="DI41" i="5"/>
  <c r="DD42" i="5"/>
  <c r="BX42" i="5"/>
  <c r="BR25" i="5"/>
  <c r="CB25" i="5"/>
  <c r="DF27" i="5"/>
  <c r="BS9" i="5"/>
  <c r="CY9" i="5"/>
  <c r="BU10" i="5"/>
  <c r="BU11" i="5"/>
  <c r="DF12" i="5"/>
  <c r="BZ12" i="5"/>
  <c r="EI13" i="5"/>
  <c r="GF13" i="5" s="1"/>
  <c r="EH13" i="5"/>
  <c r="GE13" i="5" s="1"/>
  <c r="GD14" i="5"/>
  <c r="FE14" i="5"/>
  <c r="GP14" i="5" s="1"/>
  <c r="DD15" i="5"/>
  <c r="BX15" i="5"/>
  <c r="DF16" i="5"/>
  <c r="BZ16" i="5"/>
  <c r="EH16" i="5"/>
  <c r="GE16" i="5" s="1"/>
  <c r="BU19" i="5"/>
  <c r="BY20" i="5"/>
  <c r="DE20" i="5"/>
  <c r="BU22" i="5"/>
  <c r="CD23" i="5"/>
  <c r="BX24" i="5"/>
  <c r="EI24" i="5"/>
  <c r="GF24" i="5" s="1"/>
  <c r="DH25" i="5"/>
  <c r="EH25" i="5"/>
  <c r="GE25" i="5" s="1"/>
  <c r="BU26" i="5"/>
  <c r="AI26" i="5"/>
  <c r="AI27" i="5"/>
  <c r="AI30" i="5"/>
  <c r="EI30" i="5"/>
  <c r="GF30" i="5" s="1"/>
  <c r="EH30" i="5"/>
  <c r="GE30" i="5" s="1"/>
  <c r="GG30" i="5"/>
  <c r="AI31" i="5"/>
  <c r="CW31" i="5"/>
  <c r="DG31" i="5"/>
  <c r="CA31" i="5"/>
  <c r="DE31" i="5"/>
  <c r="EI31" i="5"/>
  <c r="GF31" i="5" s="1"/>
  <c r="CX33" i="5"/>
  <c r="CB33" i="5"/>
  <c r="DH33" i="5"/>
  <c r="CA33" i="5"/>
  <c r="AI34" i="5"/>
  <c r="BU34" i="5"/>
  <c r="AI37" i="5"/>
  <c r="BQ37" i="5"/>
  <c r="CW37" i="5"/>
  <c r="CA37" i="5"/>
  <c r="DG37" i="5"/>
  <c r="GD38" i="5"/>
  <c r="BS39" i="5"/>
  <c r="CZ41" i="5"/>
  <c r="DJ41" i="5"/>
  <c r="CD41" i="5"/>
  <c r="BT41" i="5"/>
  <c r="DE42" i="5"/>
  <c r="BY42" i="5"/>
  <c r="BQ43" i="5"/>
  <c r="AI43" i="5"/>
  <c r="CW43" i="5"/>
  <c r="DG43" i="5"/>
  <c r="GD10" i="5"/>
  <c r="FE10" i="5"/>
  <c r="GP10" i="5" s="1"/>
  <c r="DD11" i="5"/>
  <c r="BX11" i="5"/>
  <c r="BQ12" i="5"/>
  <c r="CW12" i="5"/>
  <c r="AI12" i="5"/>
  <c r="BQ16" i="5"/>
  <c r="CW16" i="5"/>
  <c r="AI16" i="5"/>
  <c r="EI17" i="5"/>
  <c r="GF17" i="5" s="1"/>
  <c r="EH17" i="5"/>
  <c r="GE17" i="5" s="1"/>
  <c r="GD18" i="5"/>
  <c r="FE18" i="5"/>
  <c r="GP18" i="5" s="1"/>
  <c r="DD19" i="5"/>
  <c r="BX19" i="5"/>
  <c r="DF20" i="5"/>
  <c r="BZ20" i="5"/>
  <c r="EH20" i="5"/>
  <c r="GE20" i="5" s="1"/>
  <c r="FE21" i="5"/>
  <c r="GP21" i="5" s="1"/>
  <c r="BU23" i="5"/>
  <c r="AI23" i="5"/>
  <c r="DJ23" i="5"/>
  <c r="BY24" i="5"/>
  <c r="DE24" i="5"/>
  <c r="CX25" i="5"/>
  <c r="DD26" i="5"/>
  <c r="GG26" i="5"/>
  <c r="EI26" i="5"/>
  <c r="GF26" i="5" s="1"/>
  <c r="EH26" i="5"/>
  <c r="GE26" i="5" s="1"/>
  <c r="CX27" i="5"/>
  <c r="DH27" i="5"/>
  <c r="BQ27" i="5"/>
  <c r="CW27" i="5"/>
  <c r="CD28" i="5"/>
  <c r="DJ28" i="5"/>
  <c r="AI29" i="5"/>
  <c r="CC29" i="5"/>
  <c r="CW29" i="5"/>
  <c r="DD30" i="5"/>
  <c r="BU30" i="5"/>
  <c r="CZ30" i="5"/>
  <c r="DH31" i="5"/>
  <c r="BQ31" i="5"/>
  <c r="CB31" i="5"/>
  <c r="BR32" i="5"/>
  <c r="DH32" i="5"/>
  <c r="CB32" i="5"/>
  <c r="DD34" i="5"/>
  <c r="DI34" i="5"/>
  <c r="FE34" i="5"/>
  <c r="GP34" i="5" s="1"/>
  <c r="GD34" i="5"/>
  <c r="BX35" i="5"/>
  <c r="DD35" i="5"/>
  <c r="BZ35" i="5"/>
  <c r="AI36" i="5"/>
  <c r="BQ36" i="5"/>
  <c r="CW36" i="5"/>
  <c r="FI36" i="5"/>
  <c r="BR37" i="5"/>
  <c r="CX37" i="5"/>
  <c r="CB37" i="5"/>
  <c r="DH37" i="5"/>
  <c r="BU40" i="5"/>
  <c r="AI40" i="5"/>
  <c r="CX43" i="5"/>
  <c r="BR43" i="5"/>
  <c r="DH43" i="5"/>
  <c r="AM9" i="5"/>
  <c r="EI9" i="5"/>
  <c r="GF9" i="5" s="1"/>
  <c r="EH9" i="5"/>
  <c r="GE9" i="5" s="1"/>
  <c r="EH10" i="5"/>
  <c r="GE10" i="5" s="1"/>
  <c r="CA12" i="5"/>
  <c r="BZ13" i="5"/>
  <c r="BY15" i="5"/>
  <c r="CA16" i="5"/>
  <c r="EH18" i="5"/>
  <c r="GE18" i="5" s="1"/>
  <c r="BQ20" i="5"/>
  <c r="CW20" i="5"/>
  <c r="AI20" i="5"/>
  <c r="EI21" i="5"/>
  <c r="GF21" i="5" s="1"/>
  <c r="EH21" i="5"/>
  <c r="GE21" i="5" s="1"/>
  <c r="GD22" i="5"/>
  <c r="FE22" i="5"/>
  <c r="GP22" i="5" s="1"/>
  <c r="DD23" i="5"/>
  <c r="BX23" i="5"/>
  <c r="CZ23" i="5"/>
  <c r="DF24" i="5"/>
  <c r="BZ24" i="5"/>
  <c r="EH24" i="5"/>
  <c r="GE24" i="5" s="1"/>
  <c r="CY25" i="5"/>
  <c r="DE26" i="5"/>
  <c r="FE26" i="5"/>
  <c r="GP26" i="5" s="1"/>
  <c r="GD26" i="5"/>
  <c r="BR27" i="5"/>
  <c r="BS28" i="5"/>
  <c r="EI28" i="5"/>
  <c r="GF28" i="5" s="1"/>
  <c r="EH28" i="5"/>
  <c r="GE28" i="5" s="1"/>
  <c r="GG28" i="5"/>
  <c r="CB29" i="5"/>
  <c r="DH29" i="5"/>
  <c r="BQ29" i="5"/>
  <c r="CX29" i="5"/>
  <c r="DE30" i="5"/>
  <c r="BR31" i="5"/>
  <c r="BS32" i="5"/>
  <c r="BT32" i="5"/>
  <c r="BQ33" i="5"/>
  <c r="CW33" i="5"/>
  <c r="BX34" i="5"/>
  <c r="EH34" i="5"/>
  <c r="GE34" i="5" s="1"/>
  <c r="DE35" i="5"/>
  <c r="BY35" i="5"/>
  <c r="BS37" i="5"/>
  <c r="CY37" i="5"/>
  <c r="CC37" i="5"/>
  <c r="AI44" i="5"/>
  <c r="BU46" i="5"/>
  <c r="AI46" i="5"/>
  <c r="BT9" i="5"/>
  <c r="CD26" i="5"/>
  <c r="GD29" i="5"/>
  <c r="BX31" i="5"/>
  <c r="AI32" i="5"/>
  <c r="AI35" i="5"/>
  <c r="BZ36" i="5"/>
  <c r="DF36" i="5"/>
  <c r="GG38" i="5"/>
  <c r="BQ39" i="5"/>
  <c r="AI39" i="5"/>
  <c r="DG39" i="5"/>
  <c r="AI42" i="5"/>
  <c r="DF43" i="5"/>
  <c r="BZ43" i="5"/>
  <c r="BT44" i="5"/>
  <c r="CZ44" i="5"/>
  <c r="DH45" i="5"/>
  <c r="CB45" i="5"/>
  <c r="BS49" i="5"/>
  <c r="CY49" i="5"/>
  <c r="BS50" i="5"/>
  <c r="CY50" i="5"/>
  <c r="CD52" i="5"/>
  <c r="DJ52" i="5"/>
  <c r="CY52" i="5"/>
  <c r="BU53" i="5"/>
  <c r="DE56" i="5"/>
  <c r="BY56" i="5"/>
  <c r="BZ49" i="5"/>
  <c r="BT50" i="5"/>
  <c r="CZ50" i="5"/>
  <c r="BX53" i="5"/>
  <c r="DD53" i="5"/>
  <c r="DE54" i="5"/>
  <c r="BY54" i="5"/>
  <c r="DE55" i="5"/>
  <c r="DF56" i="5"/>
  <c r="BZ56" i="5"/>
  <c r="DH57" i="5"/>
  <c r="DG65" i="5"/>
  <c r="CA65" i="5"/>
  <c r="BX46" i="5"/>
  <c r="CA49" i="5"/>
  <c r="DG49" i="5"/>
  <c r="CA50" i="5"/>
  <c r="CB52" i="5"/>
  <c r="DH52" i="5"/>
  <c r="BZ54" i="5"/>
  <c r="CA55" i="5"/>
  <c r="DG55" i="5"/>
  <c r="CC57" i="5"/>
  <c r="DI57" i="5"/>
  <c r="BS59" i="5"/>
  <c r="CY59" i="5"/>
  <c r="AA72" i="5"/>
  <c r="AO72" i="5" s="1"/>
  <c r="AB72" i="5"/>
  <c r="AP72" i="5" s="1"/>
  <c r="Z72" i="5"/>
  <c r="AN72" i="5" s="1"/>
  <c r="AH72" i="5"/>
  <c r="AV72" i="5" s="1"/>
  <c r="Y72" i="5"/>
  <c r="AM72" i="5" s="1"/>
  <c r="AC72" i="5"/>
  <c r="AQ72" i="5" s="1"/>
  <c r="AG72" i="5"/>
  <c r="AU72" i="5" s="1"/>
  <c r="AF72" i="5"/>
  <c r="AT72" i="5" s="1"/>
  <c r="AE72" i="5"/>
  <c r="AS72" i="5" s="1"/>
  <c r="AD72" i="5"/>
  <c r="AR72" i="5" s="1"/>
  <c r="X72" i="5"/>
  <c r="AL72" i="5" s="1"/>
  <c r="DE46" i="5"/>
  <c r="BY46" i="5"/>
  <c r="CB49" i="5"/>
  <c r="DH49" i="5"/>
  <c r="CA54" i="5"/>
  <c r="DG54" i="5"/>
  <c r="CC55" i="5"/>
  <c r="DI55" i="5"/>
  <c r="BY55" i="5"/>
  <c r="CB57" i="5"/>
  <c r="BT59" i="5"/>
  <c r="CZ59" i="5"/>
  <c r="W72" i="5"/>
  <c r="AK72" i="5" s="1"/>
  <c r="BQ47" i="5"/>
  <c r="CW47" i="5"/>
  <c r="AI47" i="5"/>
  <c r="BZ48" i="5"/>
  <c r="DF48" i="5"/>
  <c r="FI49" i="5"/>
  <c r="DG50" i="5"/>
  <c r="FE52" i="5"/>
  <c r="GP52" i="5" s="1"/>
  <c r="GD52" i="5"/>
  <c r="DI54" i="5"/>
  <c r="CC54" i="5"/>
  <c r="DF54" i="5"/>
  <c r="GD54" i="5"/>
  <c r="FE54" i="5"/>
  <c r="GP54" i="5" s="1"/>
  <c r="CD55" i="5"/>
  <c r="DJ55" i="5"/>
  <c r="BU59" i="5"/>
  <c r="GD11" i="5"/>
  <c r="GD15" i="5"/>
  <c r="GD19" i="5"/>
  <c r="GD23" i="5"/>
  <c r="CD27" i="5"/>
  <c r="BY28" i="5"/>
  <c r="BZ30" i="5"/>
  <c r="BX32" i="5"/>
  <c r="EI32" i="5"/>
  <c r="GF32" i="5" s="1"/>
  <c r="BU38" i="5"/>
  <c r="CA39" i="5"/>
  <c r="CB41" i="5"/>
  <c r="EH43" i="5"/>
  <c r="GE43" i="5" s="1"/>
  <c r="GG43" i="5"/>
  <c r="FI44" i="5"/>
  <c r="BY45" i="5"/>
  <c r="GD46" i="5"/>
  <c r="CA48" i="5"/>
  <c r="DG48" i="5"/>
  <c r="FI48" i="5"/>
  <c r="BZ51" i="5"/>
  <c r="EI59" i="5"/>
  <c r="GF59" i="5" s="1"/>
  <c r="EH59" i="5"/>
  <c r="GE59" i="5" s="1"/>
  <c r="GG59" i="5"/>
  <c r="FE11" i="5"/>
  <c r="GP11" i="5" s="1"/>
  <c r="GG12" i="5"/>
  <c r="FE15" i="5"/>
  <c r="GP15" i="5" s="1"/>
  <c r="GG16" i="5"/>
  <c r="FE19" i="5"/>
  <c r="GP19" i="5" s="1"/>
  <c r="GG20" i="5"/>
  <c r="FE23" i="5"/>
  <c r="GP23" i="5" s="1"/>
  <c r="GG24" i="5"/>
  <c r="BZ28" i="5"/>
  <c r="CZ29" i="5"/>
  <c r="GD30" i="5"/>
  <c r="BX36" i="5"/>
  <c r="EI36" i="5"/>
  <c r="GF36" i="5" s="1"/>
  <c r="FE37" i="5"/>
  <c r="GP37" i="5" s="1"/>
  <c r="CX41" i="5"/>
  <c r="FI42" i="5"/>
  <c r="EI42" i="5"/>
  <c r="GF42" i="5" s="1"/>
  <c r="EH42" i="5"/>
  <c r="GE42" i="5" s="1"/>
  <c r="FE43" i="5"/>
  <c r="GP43" i="5" s="1"/>
  <c r="GD43" i="5"/>
  <c r="CD44" i="5"/>
  <c r="DJ44" i="5"/>
  <c r="CY47" i="5"/>
  <c r="BS47" i="5"/>
  <c r="DI47" i="5"/>
  <c r="DH48" i="5"/>
  <c r="CB48" i="5"/>
  <c r="CB51" i="5"/>
  <c r="DH58" i="5"/>
  <c r="CB58" i="5"/>
  <c r="BZ67" i="5"/>
  <c r="DF67" i="5"/>
  <c r="BT26" i="5"/>
  <c r="BX27" i="5"/>
  <c r="AI28" i="5"/>
  <c r="CB28" i="5"/>
  <c r="BZ32" i="5"/>
  <c r="BQ32" i="5"/>
  <c r="EH32" i="5"/>
  <c r="GE32" i="5" s="1"/>
  <c r="CZ33" i="5"/>
  <c r="CD35" i="5"/>
  <c r="BU35" i="5"/>
  <c r="BY36" i="5"/>
  <c r="DE36" i="5"/>
  <c r="EI37" i="5"/>
  <c r="GF37" i="5" s="1"/>
  <c r="EH37" i="5"/>
  <c r="GE37" i="5" s="1"/>
  <c r="CW39" i="5"/>
  <c r="BQ41" i="5"/>
  <c r="AI41" i="5"/>
  <c r="BR41" i="5"/>
  <c r="BT42" i="5"/>
  <c r="DJ42" i="5"/>
  <c r="BY43" i="5"/>
  <c r="EI43" i="5"/>
  <c r="GF43" i="5" s="1"/>
  <c r="BS44" i="5"/>
  <c r="DI44" i="5"/>
  <c r="CC44" i="5"/>
  <c r="CY44" i="5"/>
  <c r="AI45" i="5"/>
  <c r="CA45" i="5"/>
  <c r="DD46" i="5"/>
  <c r="EI48" i="5"/>
  <c r="GF48" i="5" s="1"/>
  <c r="EH48" i="5"/>
  <c r="GE48" i="5" s="1"/>
  <c r="GG48" i="5"/>
  <c r="DF49" i="5"/>
  <c r="BR50" i="5"/>
  <c r="CX50" i="5"/>
  <c r="BR51" i="5"/>
  <c r="AI51" i="5"/>
  <c r="CC51" i="5"/>
  <c r="DI51" i="5"/>
  <c r="BX56" i="5"/>
  <c r="DD56" i="5"/>
  <c r="GF61" i="5"/>
  <c r="GE61" i="5"/>
  <c r="FE76" i="5"/>
  <c r="GP76" i="5" s="1"/>
  <c r="FI35" i="5"/>
  <c r="CA40" i="5"/>
  <c r="BU41" i="5"/>
  <c r="BZ42" i="5"/>
  <c r="CC43" i="5"/>
  <c r="BY44" i="5"/>
  <c r="CC45" i="5"/>
  <c r="DI45" i="5"/>
  <c r="CY45" i="5"/>
  <c r="AB48" i="5"/>
  <c r="AP48" i="5" s="1"/>
  <c r="AA48" i="5"/>
  <c r="AO48" i="5" s="1"/>
  <c r="AH48" i="5"/>
  <c r="AV48" i="5" s="1"/>
  <c r="Z48" i="5"/>
  <c r="AN48" i="5" s="1"/>
  <c r="AG48" i="5"/>
  <c r="AU48" i="5" s="1"/>
  <c r="Y48" i="5"/>
  <c r="AM48" i="5" s="1"/>
  <c r="EI49" i="5"/>
  <c r="GF49" i="5" s="1"/>
  <c r="EH49" i="5"/>
  <c r="GE49" i="5" s="1"/>
  <c r="CB50" i="5"/>
  <c r="DH50" i="5"/>
  <c r="BS51" i="5"/>
  <c r="CD51" i="5"/>
  <c r="DJ51" i="5"/>
  <c r="CY51" i="5"/>
  <c r="BT52" i="5"/>
  <c r="AH57" i="5"/>
  <c r="AV57" i="5" s="1"/>
  <c r="Z57" i="5"/>
  <c r="AN57" i="5" s="1"/>
  <c r="AD57" i="5"/>
  <c r="AR57" i="5" s="1"/>
  <c r="AC57" i="5"/>
  <c r="AQ57" i="5" s="1"/>
  <c r="AB57" i="5"/>
  <c r="AP57" i="5" s="1"/>
  <c r="AA57" i="5"/>
  <c r="AO57" i="5" s="1"/>
  <c r="Y57" i="5"/>
  <c r="AM57" i="5" s="1"/>
  <c r="AA58" i="5"/>
  <c r="AO58" i="5" s="1"/>
  <c r="Z58" i="5"/>
  <c r="AN58" i="5" s="1"/>
  <c r="AB58" i="5"/>
  <c r="AP58" i="5" s="1"/>
  <c r="Y58" i="5"/>
  <c r="AM58" i="5" s="1"/>
  <c r="AH58" i="5"/>
  <c r="AV58" i="5" s="1"/>
  <c r="X58" i="5"/>
  <c r="AL58" i="5" s="1"/>
  <c r="AG58" i="5"/>
  <c r="AU58" i="5" s="1"/>
  <c r="W58" i="5"/>
  <c r="AK58" i="5" s="1"/>
  <c r="GD59" i="5"/>
  <c r="FE59" i="5"/>
  <c r="GP59" i="5" s="1"/>
  <c r="DF70" i="5"/>
  <c r="BZ70" i="5"/>
  <c r="BR75" i="5"/>
  <c r="CC76" i="5"/>
  <c r="DI76" i="5"/>
  <c r="EH78" i="5"/>
  <c r="GE78" i="5" s="1"/>
  <c r="EI78" i="5"/>
  <c r="GF78" i="5" s="1"/>
  <c r="FI78" i="5"/>
  <c r="CX36" i="5"/>
  <c r="GG36" i="5"/>
  <c r="CZ37" i="5"/>
  <c r="CC40" i="5"/>
  <c r="CW40" i="5"/>
  <c r="BX41" i="5"/>
  <c r="CA42" i="5"/>
  <c r="GD42" i="5"/>
  <c r="BQ44" i="5"/>
  <c r="DG46" i="5"/>
  <c r="W48" i="5"/>
  <c r="AK48" i="5" s="1"/>
  <c r="AC49" i="5"/>
  <c r="AQ49" i="5" s="1"/>
  <c r="AB49" i="5"/>
  <c r="AP49" i="5" s="1"/>
  <c r="AA49" i="5"/>
  <c r="AO49" i="5" s="1"/>
  <c r="AH49" i="5"/>
  <c r="AV49" i="5" s="1"/>
  <c r="Z49" i="5"/>
  <c r="AN49" i="5" s="1"/>
  <c r="CC50" i="5"/>
  <c r="DI50" i="5"/>
  <c r="BT51" i="5"/>
  <c r="CZ51" i="5"/>
  <c r="BU52" i="5"/>
  <c r="W57" i="5"/>
  <c r="AK57" i="5" s="1"/>
  <c r="AC58" i="5"/>
  <c r="AQ58" i="5" s="1"/>
  <c r="EH36" i="5"/>
  <c r="GE36" i="5" s="1"/>
  <c r="BY39" i="5"/>
  <c r="EH39" i="5"/>
  <c r="GE39" i="5" s="1"/>
  <c r="CA44" i="5"/>
  <c r="EH44" i="5"/>
  <c r="GE44" i="5" s="1"/>
  <c r="BU45" i="5"/>
  <c r="EH45" i="5"/>
  <c r="GE45" i="5" s="1"/>
  <c r="CC46" i="5"/>
  <c r="BY47" i="5"/>
  <c r="DE47" i="5"/>
  <c r="EI47" i="5"/>
  <c r="GF47" i="5" s="1"/>
  <c r="X48" i="5"/>
  <c r="AL48" i="5" s="1"/>
  <c r="W49" i="5"/>
  <c r="AK49" i="5" s="1"/>
  <c r="BZ50" i="5"/>
  <c r="EI50" i="5"/>
  <c r="GF50" i="5" s="1"/>
  <c r="BU51" i="5"/>
  <c r="AF54" i="5"/>
  <c r="AT54" i="5" s="1"/>
  <c r="X54" i="5"/>
  <c r="AL54" i="5" s="1"/>
  <c r="AB54" i="5"/>
  <c r="AP54" i="5" s="1"/>
  <c r="AA54" i="5"/>
  <c r="AO54" i="5" s="1"/>
  <c r="Z54" i="5"/>
  <c r="AN54" i="5" s="1"/>
  <c r="AH54" i="5"/>
  <c r="AV54" i="5" s="1"/>
  <c r="Y54" i="5"/>
  <c r="AM54" i="5" s="1"/>
  <c r="AF55" i="5"/>
  <c r="AT55" i="5" s="1"/>
  <c r="X55" i="5"/>
  <c r="AL55" i="5" s="1"/>
  <c r="AD55" i="5"/>
  <c r="AR55" i="5" s="1"/>
  <c r="AB55" i="5"/>
  <c r="AP55" i="5" s="1"/>
  <c r="AA55" i="5"/>
  <c r="AO55" i="5" s="1"/>
  <c r="Z55" i="5"/>
  <c r="AN55" i="5" s="1"/>
  <c r="Y55" i="5"/>
  <c r="AM55" i="5" s="1"/>
  <c r="X57" i="5"/>
  <c r="AL57" i="5" s="1"/>
  <c r="AD58" i="5"/>
  <c r="AR58" i="5" s="1"/>
  <c r="CA59" i="5"/>
  <c r="DH62" i="5"/>
  <c r="CB62" i="5"/>
  <c r="FE73" i="5"/>
  <c r="GP73" i="5" s="1"/>
  <c r="CY40" i="5"/>
  <c r="DG40" i="5"/>
  <c r="CW44" i="5"/>
  <c r="EI44" i="5"/>
  <c r="GF44" i="5" s="1"/>
  <c r="EI45" i="5"/>
  <c r="GF45" i="5" s="1"/>
  <c r="FE45" i="5"/>
  <c r="GP45" i="5" s="1"/>
  <c r="BQ46" i="5"/>
  <c r="CY46" i="5"/>
  <c r="DI46" i="5"/>
  <c r="BZ47" i="5"/>
  <c r="DF47" i="5"/>
  <c r="BU47" i="5"/>
  <c r="AC48" i="5"/>
  <c r="AQ48" i="5" s="1"/>
  <c r="X49" i="5"/>
  <c r="AL49" i="5" s="1"/>
  <c r="FE51" i="5"/>
  <c r="GP51" i="5" s="1"/>
  <c r="GD51" i="5"/>
  <c r="CC52" i="5"/>
  <c r="CD53" i="5"/>
  <c r="W54" i="5"/>
  <c r="AK54" i="5" s="1"/>
  <c r="W55" i="5"/>
  <c r="AK55" i="5" s="1"/>
  <c r="EH55" i="5"/>
  <c r="GE55" i="5" s="1"/>
  <c r="EI55" i="5"/>
  <c r="GF55" i="5" s="1"/>
  <c r="FI55" i="5"/>
  <c r="CA56" i="5"/>
  <c r="DG56" i="5"/>
  <c r="AE57" i="5"/>
  <c r="AS57" i="5" s="1"/>
  <c r="EH57" i="5"/>
  <c r="GE57" i="5" s="1"/>
  <c r="EI57" i="5"/>
  <c r="GF57" i="5" s="1"/>
  <c r="GG57" i="5"/>
  <c r="AE58" i="5"/>
  <c r="AS58" i="5" s="1"/>
  <c r="EI63" i="5"/>
  <c r="GF63" i="5" s="1"/>
  <c r="FI63" i="5"/>
  <c r="EH63" i="5"/>
  <c r="GE63" i="5" s="1"/>
  <c r="AH65" i="5"/>
  <c r="AV65" i="5" s="1"/>
  <c r="Z65" i="5"/>
  <c r="AN65" i="5" s="1"/>
  <c r="AG65" i="5"/>
  <c r="AU65" i="5" s="1"/>
  <c r="Y65" i="5"/>
  <c r="AM65" i="5" s="1"/>
  <c r="AF65" i="5"/>
  <c r="AT65" i="5" s="1"/>
  <c r="X65" i="5"/>
  <c r="AL65" i="5" s="1"/>
  <c r="AA65" i="5"/>
  <c r="AO65" i="5" s="1"/>
  <c r="AD65" i="5"/>
  <c r="AR65" i="5" s="1"/>
  <c r="AC65" i="5"/>
  <c r="AQ65" i="5" s="1"/>
  <c r="AB65" i="5"/>
  <c r="AP65" i="5" s="1"/>
  <c r="W65" i="5"/>
  <c r="AK65" i="5" s="1"/>
  <c r="CY67" i="5"/>
  <c r="EI68" i="5"/>
  <c r="GF68" i="5" s="1"/>
  <c r="EH68" i="5"/>
  <c r="GE68" i="5" s="1"/>
  <c r="AA50" i="5"/>
  <c r="AO50" i="5" s="1"/>
  <c r="AC52" i="5"/>
  <c r="AQ52" i="5" s="1"/>
  <c r="AD53" i="5"/>
  <c r="AR53" i="5" s="1"/>
  <c r="FI53" i="5"/>
  <c r="GD53" i="5"/>
  <c r="FI66" i="5"/>
  <c r="FE68" i="5"/>
  <c r="GP68" i="5" s="1"/>
  <c r="FI81" i="5"/>
  <c r="AB50" i="5"/>
  <c r="AP50" i="5" s="1"/>
  <c r="AD52" i="5"/>
  <c r="AR52" i="5" s="1"/>
  <c r="FE53" i="5"/>
  <c r="GP53" i="5" s="1"/>
  <c r="GD55" i="5"/>
  <c r="AG56" i="5"/>
  <c r="AU56" i="5" s="1"/>
  <c r="Y56" i="5"/>
  <c r="AM56" i="5" s="1"/>
  <c r="Z56" i="5"/>
  <c r="AN56" i="5" s="1"/>
  <c r="AF56" i="5"/>
  <c r="AT56" i="5" s="1"/>
  <c r="AE62" i="5"/>
  <c r="AS62" i="5" s="1"/>
  <c r="W62" i="5"/>
  <c r="AK62" i="5" s="1"/>
  <c r="AA62" i="5"/>
  <c r="AO62" i="5" s="1"/>
  <c r="Z62" i="5"/>
  <c r="AN62" i="5" s="1"/>
  <c r="AH62" i="5"/>
  <c r="AV62" i="5" s="1"/>
  <c r="Y62" i="5"/>
  <c r="AM62" i="5" s="1"/>
  <c r="AG62" i="5"/>
  <c r="AU62" i="5" s="1"/>
  <c r="X62" i="5"/>
  <c r="AL62" i="5" s="1"/>
  <c r="BU64" i="5"/>
  <c r="EI64" i="5"/>
  <c r="GF64" i="5" s="1"/>
  <c r="FI64" i="5"/>
  <c r="EH65" i="5"/>
  <c r="GE65" i="5" s="1"/>
  <c r="AG70" i="5"/>
  <c r="AU70" i="5" s="1"/>
  <c r="Y70" i="5"/>
  <c r="AM70" i="5" s="1"/>
  <c r="AA70" i="5"/>
  <c r="AO70" i="5" s="1"/>
  <c r="Z70" i="5"/>
  <c r="AN70" i="5" s="1"/>
  <c r="AH70" i="5"/>
  <c r="AV70" i="5" s="1"/>
  <c r="X70" i="5"/>
  <c r="AL70" i="5" s="1"/>
  <c r="AB70" i="5"/>
  <c r="AP70" i="5" s="1"/>
  <c r="AF70" i="5"/>
  <c r="AT70" i="5" s="1"/>
  <c r="AE70" i="5"/>
  <c r="AS70" i="5" s="1"/>
  <c r="EI74" i="5"/>
  <c r="GF74" i="5" s="1"/>
  <c r="FE75" i="5"/>
  <c r="GP75" i="5" s="1"/>
  <c r="AC50" i="5"/>
  <c r="AQ50" i="5" s="1"/>
  <c r="W52" i="5"/>
  <c r="AK52" i="5" s="1"/>
  <c r="AE52" i="5"/>
  <c r="AS52" i="5" s="1"/>
  <c r="X53" i="5"/>
  <c r="AL53" i="5" s="1"/>
  <c r="W56" i="5"/>
  <c r="AK56" i="5" s="1"/>
  <c r="AH56" i="5"/>
  <c r="AV56" i="5" s="1"/>
  <c r="FE57" i="5"/>
  <c r="GP57" i="5" s="1"/>
  <c r="EI58" i="5"/>
  <c r="GF58" i="5" s="1"/>
  <c r="GG58" i="5"/>
  <c r="AB62" i="5"/>
  <c r="AP62" i="5" s="1"/>
  <c r="FE62" i="5"/>
  <c r="GP62" i="5" s="1"/>
  <c r="FI67" i="5"/>
  <c r="W70" i="5"/>
  <c r="AK70" i="5" s="1"/>
  <c r="BU71" i="5"/>
  <c r="EH71" i="5"/>
  <c r="GE71" i="5" s="1"/>
  <c r="EI71" i="5"/>
  <c r="GF71" i="5" s="1"/>
  <c r="X52" i="5"/>
  <c r="AL52" i="5" s="1"/>
  <c r="X56" i="5"/>
  <c r="AL56" i="5" s="1"/>
  <c r="FI58" i="5"/>
  <c r="AB59" i="5"/>
  <c r="AP59" i="5" s="1"/>
  <c r="AF59" i="5"/>
  <c r="AT59" i="5" s="1"/>
  <c r="W59" i="5"/>
  <c r="AK59" i="5" s="1"/>
  <c r="AG59" i="5"/>
  <c r="AU59" i="5" s="1"/>
  <c r="BY59" i="5"/>
  <c r="AC62" i="5"/>
  <c r="AQ62" i="5" s="1"/>
  <c r="EH62" i="5"/>
  <c r="GE62" i="5" s="1"/>
  <c r="AC70" i="5"/>
  <c r="AQ70" i="5" s="1"/>
  <c r="EH74" i="5"/>
  <c r="GE74" i="5" s="1"/>
  <c r="FI62" i="5"/>
  <c r="EI66" i="5"/>
  <c r="GF66" i="5" s="1"/>
  <c r="EH66" i="5"/>
  <c r="GE66" i="5" s="1"/>
  <c r="FE67" i="5"/>
  <c r="GP67" i="5" s="1"/>
  <c r="AA80" i="5"/>
  <c r="AO80" i="5" s="1"/>
  <c r="AH80" i="5"/>
  <c r="AV80" i="5" s="1"/>
  <c r="Z80" i="5"/>
  <c r="AN80" i="5" s="1"/>
  <c r="AG80" i="5"/>
  <c r="AU80" i="5" s="1"/>
  <c r="Y80" i="5"/>
  <c r="AM80" i="5" s="1"/>
  <c r="AB80" i="5"/>
  <c r="AP80" i="5" s="1"/>
  <c r="AC80" i="5"/>
  <c r="AQ80" i="5" s="1"/>
  <c r="X80" i="5"/>
  <c r="AL80" i="5" s="1"/>
  <c r="W80" i="5"/>
  <c r="AK80" i="5" s="1"/>
  <c r="AD80" i="5"/>
  <c r="AR80" i="5" s="1"/>
  <c r="AG64" i="5"/>
  <c r="AU64" i="5" s="1"/>
  <c r="Y64" i="5"/>
  <c r="AM64" i="5" s="1"/>
  <c r="AH64" i="5"/>
  <c r="AV64" i="5" s="1"/>
  <c r="Z64" i="5"/>
  <c r="AN64" i="5" s="1"/>
  <c r="AF64" i="5"/>
  <c r="AT64" i="5" s="1"/>
  <c r="AA66" i="5"/>
  <c r="AO66" i="5" s="1"/>
  <c r="AH66" i="5"/>
  <c r="AV66" i="5" s="1"/>
  <c r="Z66" i="5"/>
  <c r="AN66" i="5" s="1"/>
  <c r="AG66" i="5"/>
  <c r="AU66" i="5" s="1"/>
  <c r="Y66" i="5"/>
  <c r="AM66" i="5" s="1"/>
  <c r="AB66" i="5"/>
  <c r="AP66" i="5" s="1"/>
  <c r="EI67" i="5"/>
  <c r="GF67" i="5" s="1"/>
  <c r="EH67" i="5"/>
  <c r="GE67" i="5" s="1"/>
  <c r="EI69" i="5"/>
  <c r="GF69" i="5" s="1"/>
  <c r="EH69" i="5"/>
  <c r="GE69" i="5" s="1"/>
  <c r="FI69" i="5"/>
  <c r="AH79" i="5"/>
  <c r="AV79" i="5" s="1"/>
  <c r="Z79" i="5"/>
  <c r="AN79" i="5" s="1"/>
  <c r="AG79" i="5"/>
  <c r="AU79" i="5" s="1"/>
  <c r="Y79" i="5"/>
  <c r="AM79" i="5" s="1"/>
  <c r="AF79" i="5"/>
  <c r="AT79" i="5" s="1"/>
  <c r="X79" i="5"/>
  <c r="AL79" i="5" s="1"/>
  <c r="AA79" i="5"/>
  <c r="AO79" i="5" s="1"/>
  <c r="AE79" i="5"/>
  <c r="AS79" i="5" s="1"/>
  <c r="AD79" i="5"/>
  <c r="AR79" i="5" s="1"/>
  <c r="AC79" i="5"/>
  <c r="AQ79" i="5" s="1"/>
  <c r="AE80" i="5"/>
  <c r="AS80" i="5" s="1"/>
  <c r="FI80" i="5"/>
  <c r="CC81" i="5"/>
  <c r="EI81" i="5"/>
  <c r="GF81" i="5" s="1"/>
  <c r="EH81" i="5"/>
  <c r="GE81" i="5" s="1"/>
  <c r="EI85" i="5"/>
  <c r="GF85" i="5" s="1"/>
  <c r="EH85" i="5"/>
  <c r="GE85" i="5" s="1"/>
  <c r="BQ66" i="5"/>
  <c r="AB67" i="5"/>
  <c r="AP67" i="5" s="1"/>
  <c r="AA67" i="5"/>
  <c r="AO67" i="5" s="1"/>
  <c r="AH67" i="5"/>
  <c r="AV67" i="5" s="1"/>
  <c r="Z67" i="5"/>
  <c r="AN67" i="5" s="1"/>
  <c r="AC67" i="5"/>
  <c r="AQ67" i="5" s="1"/>
  <c r="W79" i="5"/>
  <c r="AK79" i="5" s="1"/>
  <c r="AF80" i="5"/>
  <c r="AT80" i="5" s="1"/>
  <c r="CY88" i="5"/>
  <c r="DJ88" i="5"/>
  <c r="CD88" i="5"/>
  <c r="AF63" i="5"/>
  <c r="AT63" i="5" s="1"/>
  <c r="X63" i="5"/>
  <c r="AL63" i="5" s="1"/>
  <c r="AE63" i="5"/>
  <c r="AS63" i="5" s="1"/>
  <c r="X64" i="5"/>
  <c r="AL64" i="5" s="1"/>
  <c r="X66" i="5"/>
  <c r="AL66" i="5" s="1"/>
  <c r="W67" i="5"/>
  <c r="AK67" i="5" s="1"/>
  <c r="DI71" i="5"/>
  <c r="FI71" i="5"/>
  <c r="EI73" i="5"/>
  <c r="GF73" i="5" s="1"/>
  <c r="EI75" i="5"/>
  <c r="GF75" i="5" s="1"/>
  <c r="EH75" i="5"/>
  <c r="GE75" i="5" s="1"/>
  <c r="AB79" i="5"/>
  <c r="AP79" i="5" s="1"/>
  <c r="EI80" i="5"/>
  <c r="GF80" i="5" s="1"/>
  <c r="EH80" i="5"/>
  <c r="GE80" i="5" s="1"/>
  <c r="FI86" i="5"/>
  <c r="EI86" i="5"/>
  <c r="GF86" i="5" s="1"/>
  <c r="EH64" i="5"/>
  <c r="GE64" i="5" s="1"/>
  <c r="EI65" i="5"/>
  <c r="GF65" i="5" s="1"/>
  <c r="AD68" i="5"/>
  <c r="AR68" i="5" s="1"/>
  <c r="Y73" i="5"/>
  <c r="AM73" i="5" s="1"/>
  <c r="AH73" i="5"/>
  <c r="AV73" i="5" s="1"/>
  <c r="AC74" i="5"/>
  <c r="AQ74" i="5" s="1"/>
  <c r="AB74" i="5"/>
  <c r="AP74" i="5" s="1"/>
  <c r="AF74" i="5"/>
  <c r="AT74" i="5" s="1"/>
  <c r="BX78" i="5"/>
  <c r="DD78" i="5"/>
  <c r="BS81" i="5"/>
  <c r="CY81" i="5"/>
  <c r="BR82" i="5"/>
  <c r="BQ84" i="5"/>
  <c r="CW84" i="5"/>
  <c r="AB86" i="5"/>
  <c r="AP86" i="5" s="1"/>
  <c r="AA86" i="5"/>
  <c r="AO86" i="5" s="1"/>
  <c r="AD86" i="5"/>
  <c r="AR86" i="5" s="1"/>
  <c r="AC86" i="5"/>
  <c r="AQ86" i="5" s="1"/>
  <c r="Z86" i="5"/>
  <c r="AN86" i="5" s="1"/>
  <c r="AE86" i="5"/>
  <c r="AS86" i="5" s="1"/>
  <c r="CC88" i="5"/>
  <c r="FE89" i="5"/>
  <c r="GP89" i="5" s="1"/>
  <c r="EI90" i="5"/>
  <c r="GF90" i="5" s="1"/>
  <c r="FI90" i="5"/>
  <c r="EH90" i="5"/>
  <c r="GE90" i="5" s="1"/>
  <c r="AA93" i="5"/>
  <c r="AO93" i="5" s="1"/>
  <c r="AH93" i="5"/>
  <c r="AV93" i="5" s="1"/>
  <c r="Z93" i="5"/>
  <c r="AN93" i="5" s="1"/>
  <c r="AG93" i="5"/>
  <c r="AU93" i="5" s="1"/>
  <c r="Y93" i="5"/>
  <c r="AM93" i="5" s="1"/>
  <c r="AB93" i="5"/>
  <c r="AP93" i="5" s="1"/>
  <c r="AF93" i="5"/>
  <c r="AT93" i="5" s="1"/>
  <c r="AE93" i="5"/>
  <c r="AS93" i="5" s="1"/>
  <c r="AD93" i="5"/>
  <c r="AR93" i="5" s="1"/>
  <c r="AC93" i="5"/>
  <c r="AQ93" i="5" s="1"/>
  <c r="BS89" i="5"/>
  <c r="BQ93" i="5"/>
  <c r="CW93" i="5"/>
  <c r="BZ69" i="5"/>
  <c r="AE73" i="5"/>
  <c r="AS73" i="5" s="1"/>
  <c r="AB81" i="5"/>
  <c r="AP81" i="5" s="1"/>
  <c r="AA81" i="5"/>
  <c r="AO81" i="5" s="1"/>
  <c r="AH81" i="5"/>
  <c r="AV81" i="5" s="1"/>
  <c r="Z81" i="5"/>
  <c r="AN81" i="5" s="1"/>
  <c r="AC81" i="5"/>
  <c r="AQ81" i="5" s="1"/>
  <c r="CX82" i="5"/>
  <c r="BT83" i="5"/>
  <c r="CZ83" i="5"/>
  <c r="AG86" i="5"/>
  <c r="AU86" i="5" s="1"/>
  <c r="X93" i="5"/>
  <c r="AL93" i="5" s="1"/>
  <c r="AB68" i="5"/>
  <c r="AP68" i="5" s="1"/>
  <c r="W73" i="5"/>
  <c r="AK73" i="5" s="1"/>
  <c r="AF73" i="5"/>
  <c r="AT73" i="5" s="1"/>
  <c r="CD77" i="5"/>
  <c r="AG78" i="5"/>
  <c r="AU78" i="5" s="1"/>
  <c r="Y78" i="5"/>
  <c r="AM78" i="5" s="1"/>
  <c r="AF78" i="5"/>
  <c r="AT78" i="5" s="1"/>
  <c r="X78" i="5"/>
  <c r="AL78" i="5" s="1"/>
  <c r="AE78" i="5"/>
  <c r="AS78" i="5" s="1"/>
  <c r="W78" i="5"/>
  <c r="AK78" i="5" s="1"/>
  <c r="AH78" i="5"/>
  <c r="AV78" i="5" s="1"/>
  <c r="Z78" i="5"/>
  <c r="AN78" i="5" s="1"/>
  <c r="EI82" i="5"/>
  <c r="GF82" i="5" s="1"/>
  <c r="BU83" i="5"/>
  <c r="AH86" i="5"/>
  <c r="AV86" i="5" s="1"/>
  <c r="AB94" i="5"/>
  <c r="AP94" i="5" s="1"/>
  <c r="AA94" i="5"/>
  <c r="AO94" i="5" s="1"/>
  <c r="AH94" i="5"/>
  <c r="AV94" i="5" s="1"/>
  <c r="Z94" i="5"/>
  <c r="AN94" i="5" s="1"/>
  <c r="AC94" i="5"/>
  <c r="AQ94" i="5" s="1"/>
  <c r="AE94" i="5"/>
  <c r="AS94" i="5" s="1"/>
  <c r="AD94" i="5"/>
  <c r="AR94" i="5" s="1"/>
  <c r="Y94" i="5"/>
  <c r="AM94" i="5" s="1"/>
  <c r="X94" i="5"/>
  <c r="AL94" i="5" s="1"/>
  <c r="AG94" i="5"/>
  <c r="AU94" i="5" s="1"/>
  <c r="AF94" i="5"/>
  <c r="AT94" i="5" s="1"/>
  <c r="W94" i="5"/>
  <c r="AK94" i="5" s="1"/>
  <c r="CA95" i="5"/>
  <c r="DG95" i="5"/>
  <c r="AF69" i="5"/>
  <c r="AT69" i="5" s="1"/>
  <c r="X69" i="5"/>
  <c r="AL69" i="5" s="1"/>
  <c r="AE69" i="5"/>
  <c r="AS69" i="5" s="1"/>
  <c r="AH71" i="5"/>
  <c r="AV71" i="5" s="1"/>
  <c r="Z71" i="5"/>
  <c r="AN71" i="5" s="1"/>
  <c r="AE71" i="5"/>
  <c r="AS71" i="5" s="1"/>
  <c r="EI72" i="5"/>
  <c r="GF72" i="5" s="1"/>
  <c r="X73" i="5"/>
  <c r="AL73" i="5" s="1"/>
  <c r="AG73" i="5"/>
  <c r="AU73" i="5" s="1"/>
  <c r="AE74" i="5"/>
  <c r="AS74" i="5" s="1"/>
  <c r="AA78" i="5"/>
  <c r="AO78" i="5" s="1"/>
  <c r="X81" i="5"/>
  <c r="AL81" i="5" s="1"/>
  <c r="AB84" i="5"/>
  <c r="AP84" i="5" s="1"/>
  <c r="AC84" i="5"/>
  <c r="AQ84" i="5" s="1"/>
  <c r="AA84" i="5"/>
  <c r="AO84" i="5" s="1"/>
  <c r="Z84" i="5"/>
  <c r="AN84" i="5" s="1"/>
  <c r="AD84" i="5"/>
  <c r="AR84" i="5" s="1"/>
  <c r="BQ88" i="5"/>
  <c r="AF90" i="5"/>
  <c r="AT90" i="5" s="1"/>
  <c r="X90" i="5"/>
  <c r="AL90" i="5" s="1"/>
  <c r="AG90" i="5"/>
  <c r="AU90" i="5" s="1"/>
  <c r="Y90" i="5"/>
  <c r="AM90" i="5" s="1"/>
  <c r="AB90" i="5"/>
  <c r="AP90" i="5" s="1"/>
  <c r="AA90" i="5"/>
  <c r="AO90" i="5" s="1"/>
  <c r="Z90" i="5"/>
  <c r="AN90" i="5" s="1"/>
  <c r="AH90" i="5"/>
  <c r="AV90" i="5" s="1"/>
  <c r="AE90" i="5"/>
  <c r="AS90" i="5" s="1"/>
  <c r="AD90" i="5"/>
  <c r="AR90" i="5" s="1"/>
  <c r="AG77" i="5"/>
  <c r="AU77" i="5" s="1"/>
  <c r="EI79" i="5"/>
  <c r="GF79" i="5" s="1"/>
  <c r="AD82" i="5"/>
  <c r="AR82" i="5" s="1"/>
  <c r="EI94" i="5"/>
  <c r="GF94" i="5" s="1"/>
  <c r="EH94" i="5"/>
  <c r="GE94" i="5" s="1"/>
  <c r="AD77" i="5"/>
  <c r="AR77" i="5" s="1"/>
  <c r="AA82" i="5"/>
  <c r="AO82" i="5" s="1"/>
  <c r="BQ92" i="5"/>
  <c r="AD76" i="5"/>
  <c r="AR76" i="5" s="1"/>
  <c r="W77" i="5"/>
  <c r="AK77" i="5" s="1"/>
  <c r="AE77" i="5"/>
  <c r="AS77" i="5" s="1"/>
  <c r="FE77" i="5"/>
  <c r="GP77" i="5" s="1"/>
  <c r="AB82" i="5"/>
  <c r="AP82" i="5" s="1"/>
  <c r="EH84" i="5"/>
  <c r="GE84" i="5" s="1"/>
  <c r="AC87" i="5"/>
  <c r="AQ87" i="5" s="1"/>
  <c r="AF87" i="5"/>
  <c r="AT87" i="5" s="1"/>
  <c r="W87" i="5"/>
  <c r="AK87" i="5" s="1"/>
  <c r="AG87" i="5"/>
  <c r="AU87" i="5" s="1"/>
  <c r="EI89" i="5"/>
  <c r="GF89" i="5" s="1"/>
  <c r="AG91" i="5"/>
  <c r="AU91" i="5" s="1"/>
  <c r="Y91" i="5"/>
  <c r="AM91" i="5" s="1"/>
  <c r="AF91" i="5"/>
  <c r="AT91" i="5" s="1"/>
  <c r="X91" i="5"/>
  <c r="AL91" i="5" s="1"/>
  <c r="AE91" i="5"/>
  <c r="AS91" i="5" s="1"/>
  <c r="W91" i="5"/>
  <c r="AK91" i="5" s="1"/>
  <c r="AH91" i="5"/>
  <c r="AV91" i="5" s="1"/>
  <c r="Z91" i="5"/>
  <c r="AN91" i="5" s="1"/>
  <c r="AD91" i="5"/>
  <c r="AR91" i="5" s="1"/>
  <c r="AC91" i="5"/>
  <c r="AQ91" i="5" s="1"/>
  <c r="AB91" i="5"/>
  <c r="AP91" i="5" s="1"/>
  <c r="BX92" i="5"/>
  <c r="EI93" i="5"/>
  <c r="GF93" i="5" s="1"/>
  <c r="EH93" i="5"/>
  <c r="GE93" i="5" s="1"/>
  <c r="DE95" i="5"/>
  <c r="BY95" i="5"/>
  <c r="W76" i="5"/>
  <c r="AK76" i="5" s="1"/>
  <c r="X77" i="5"/>
  <c r="AL77" i="5" s="1"/>
  <c r="EH86" i="5"/>
  <c r="GE86" i="5" s="1"/>
  <c r="X87" i="5"/>
  <c r="AL87" i="5" s="1"/>
  <c r="AH87" i="5"/>
  <c r="AV87" i="5" s="1"/>
  <c r="AA91" i="5"/>
  <c r="AO91" i="5" s="1"/>
  <c r="EH92" i="5"/>
  <c r="GE92" i="5" s="1"/>
  <c r="AE85" i="5"/>
  <c r="AS85" i="5" s="1"/>
  <c r="AE89" i="5"/>
  <c r="AS89" i="5" s="1"/>
  <c r="W89" i="5"/>
  <c r="AK89" i="5" s="1"/>
  <c r="AF89" i="5"/>
  <c r="AT89" i="5" s="1"/>
  <c r="AH92" i="5"/>
  <c r="AV92" i="5" s="1"/>
  <c r="Z92" i="5"/>
  <c r="AN92" i="5" s="1"/>
  <c r="AG92" i="5"/>
  <c r="AU92" i="5" s="1"/>
  <c r="Y92" i="5"/>
  <c r="AM92" i="5" s="1"/>
  <c r="AF92" i="5"/>
  <c r="AT92" i="5" s="1"/>
  <c r="X92" i="5"/>
  <c r="AL92" i="5" s="1"/>
  <c r="AA92" i="5"/>
  <c r="AO92" i="5" s="1"/>
  <c r="EI95" i="5"/>
  <c r="GF95" i="5" s="1"/>
  <c r="EH95" i="5"/>
  <c r="GE95" i="5" s="1"/>
  <c r="EH91" i="5"/>
  <c r="GE91" i="5" s="1"/>
  <c r="EI92" i="5"/>
  <c r="GF92" i="5" s="1"/>
  <c r="AD95" i="5"/>
  <c r="AR95" i="5" s="1"/>
  <c r="AA95" i="5"/>
  <c r="AO95" i="5" s="1"/>
  <c r="AB95" i="5"/>
  <c r="AP95" i="5" s="1"/>
  <c r="BY64" i="5" l="1"/>
  <c r="BS88" i="5"/>
  <c r="DD92" i="5"/>
  <c r="DH75" i="5"/>
  <c r="DE64" i="5"/>
  <c r="BU63" i="5"/>
  <c r="BN46" i="5"/>
  <c r="BA23" i="5"/>
  <c r="BD34" i="5"/>
  <c r="BI19" i="5"/>
  <c r="BS67" i="5"/>
  <c r="CW92" i="5"/>
  <c r="DI88" i="5"/>
  <c r="DF78" i="5"/>
  <c r="BH30" i="5"/>
  <c r="BD14" i="5"/>
  <c r="CW88" i="5"/>
  <c r="BA9" i="5"/>
  <c r="BH28" i="5"/>
  <c r="BH35" i="5"/>
  <c r="BA12" i="5"/>
  <c r="BN41" i="5"/>
  <c r="BN40" i="5"/>
  <c r="CA87" i="5"/>
  <c r="BK32" i="5"/>
  <c r="BD11" i="5"/>
  <c r="BQ86" i="5"/>
  <c r="CB84" i="5"/>
  <c r="BZ73" i="5"/>
  <c r="DH84" i="5"/>
  <c r="DE66" i="5"/>
  <c r="BY66" i="5"/>
  <c r="BY92" i="5"/>
  <c r="DD71" i="5"/>
  <c r="DE92" i="5"/>
  <c r="DE71" i="5"/>
  <c r="BY71" i="5"/>
  <c r="DK9" i="5"/>
  <c r="BA39" i="5"/>
  <c r="CE9" i="5"/>
  <c r="CG9" i="5" s="1"/>
  <c r="DD85" i="5"/>
  <c r="BS76" i="5"/>
  <c r="CB67" i="5"/>
  <c r="BX85" i="5"/>
  <c r="DH67" i="5"/>
  <c r="BN51" i="5"/>
  <c r="BA44" i="5"/>
  <c r="BB20" i="5"/>
  <c r="BM22" i="5"/>
  <c r="BR86" i="5"/>
  <c r="AL86" i="5"/>
  <c r="CY69" i="5"/>
  <c r="AM69" i="5"/>
  <c r="CD84" i="5"/>
  <c r="AV84" i="5"/>
  <c r="CY68" i="5"/>
  <c r="AM68" i="5"/>
  <c r="DJ83" i="5"/>
  <c r="AV83" i="5"/>
  <c r="BQ71" i="5"/>
  <c r="AK71" i="5"/>
  <c r="CW69" i="5"/>
  <c r="AK69" i="5"/>
  <c r="DH66" i="5"/>
  <c r="AT66" i="5"/>
  <c r="BZ66" i="5"/>
  <c r="AR66" i="5"/>
  <c r="BT85" i="5"/>
  <c r="AN85" i="5"/>
  <c r="BS86" i="5"/>
  <c r="AM86" i="5"/>
  <c r="CZ69" i="5"/>
  <c r="AN69" i="5"/>
  <c r="DI82" i="5"/>
  <c r="AU82" i="5"/>
  <c r="CA68" i="5"/>
  <c r="AS68" i="5"/>
  <c r="DJ75" i="5"/>
  <c r="AV75" i="5"/>
  <c r="BT68" i="5"/>
  <c r="AN68" i="5"/>
  <c r="CX83" i="5"/>
  <c r="AL83" i="5"/>
  <c r="DI69" i="5"/>
  <c r="AU69" i="5"/>
  <c r="DE69" i="5"/>
  <c r="AQ69" i="5"/>
  <c r="BY76" i="5"/>
  <c r="AQ76" i="5"/>
  <c r="BT89" i="5"/>
  <c r="AN89" i="5"/>
  <c r="BU85" i="5"/>
  <c r="AO85" i="5"/>
  <c r="CC95" i="5"/>
  <c r="AU95" i="5"/>
  <c r="BU69" i="5"/>
  <c r="AO69" i="5"/>
  <c r="BX89" i="5"/>
  <c r="AP89" i="5"/>
  <c r="CB76" i="5"/>
  <c r="AT76" i="5"/>
  <c r="DG82" i="5"/>
  <c r="AS82" i="5"/>
  <c r="BT88" i="5"/>
  <c r="AN88" i="5"/>
  <c r="CW81" i="5"/>
  <c r="AK81" i="5"/>
  <c r="CY63" i="5"/>
  <c r="AM63" i="5"/>
  <c r="DF83" i="5"/>
  <c r="AR83" i="5"/>
  <c r="CW90" i="5"/>
  <c r="AK90" i="5"/>
  <c r="DG92" i="5"/>
  <c r="AS92" i="5"/>
  <c r="BZ89" i="5"/>
  <c r="AR89" i="5"/>
  <c r="CY95" i="5"/>
  <c r="AM95" i="5"/>
  <c r="BJ24" i="5"/>
  <c r="CA84" i="5"/>
  <c r="AS84" i="5"/>
  <c r="DH86" i="5"/>
  <c r="AT86" i="5"/>
  <c r="DE89" i="5"/>
  <c r="AQ89" i="5"/>
  <c r="BQ64" i="5"/>
  <c r="CC83" i="5"/>
  <c r="CZ74" i="5"/>
  <c r="AN74" i="5"/>
  <c r="BY78" i="5"/>
  <c r="AQ78" i="5"/>
  <c r="DF71" i="5"/>
  <c r="AR71" i="5"/>
  <c r="BU89" i="5"/>
  <c r="AO89" i="5"/>
  <c r="BZ92" i="5"/>
  <c r="AR92" i="5"/>
  <c r="BQ95" i="5"/>
  <c r="AK95" i="5"/>
  <c r="CW85" i="5"/>
  <c r="AK85" i="5"/>
  <c r="BT82" i="5"/>
  <c r="AN82" i="5"/>
  <c r="CZ95" i="5"/>
  <c r="AN95" i="5"/>
  <c r="BY73" i="5"/>
  <c r="CW64" i="5"/>
  <c r="DD87" i="5"/>
  <c r="AP87" i="5"/>
  <c r="BU74" i="5"/>
  <c r="AO74" i="5"/>
  <c r="BU76" i="5"/>
  <c r="AO76" i="5"/>
  <c r="BX64" i="5"/>
  <c r="AP64" i="5"/>
  <c r="BQ68" i="5"/>
  <c r="AK68" i="5"/>
  <c r="DD76" i="5"/>
  <c r="AP76" i="5"/>
  <c r="DJ89" i="5"/>
  <c r="AV89" i="5"/>
  <c r="CD85" i="5"/>
  <c r="AV85" i="5"/>
  <c r="DF81" i="5"/>
  <c r="AR81" i="5"/>
  <c r="CB66" i="5"/>
  <c r="DF66" i="5"/>
  <c r="BX73" i="5"/>
  <c r="AP73" i="5"/>
  <c r="CC84" i="5"/>
  <c r="AU84" i="5"/>
  <c r="BT75" i="5"/>
  <c r="AN75" i="5"/>
  <c r="DG66" i="5"/>
  <c r="AS66" i="5"/>
  <c r="CX88" i="5"/>
  <c r="AL88" i="5"/>
  <c r="CX89" i="5"/>
  <c r="DE73" i="5"/>
  <c r="BU77" i="5"/>
  <c r="AO77" i="5"/>
  <c r="BZ85" i="5"/>
  <c r="AR85" i="5"/>
  <c r="CY87" i="5"/>
  <c r="AM87" i="5"/>
  <c r="BQ74" i="5"/>
  <c r="AK74" i="5"/>
  <c r="DG76" i="5"/>
  <c r="AS76" i="5"/>
  <c r="CX75" i="5"/>
  <c r="AL75" i="5"/>
  <c r="CD68" i="5"/>
  <c r="AV68" i="5"/>
  <c r="CA67" i="5"/>
  <c r="AS67" i="5"/>
  <c r="DD75" i="5"/>
  <c r="AP75" i="5"/>
  <c r="DJ74" i="5"/>
  <c r="AV74" i="5"/>
  <c r="CY71" i="5"/>
  <c r="AM71" i="5"/>
  <c r="CY75" i="5"/>
  <c r="AM75" i="5"/>
  <c r="BT77" i="5"/>
  <c r="AN77" i="5"/>
  <c r="DJ76" i="5"/>
  <c r="AV76" i="5"/>
  <c r="DH81" i="5"/>
  <c r="AT81" i="5"/>
  <c r="CY83" i="5"/>
  <c r="AM83" i="5"/>
  <c r="DE90" i="5"/>
  <c r="AQ90" i="5"/>
  <c r="CB95" i="5"/>
  <c r="AT95" i="5"/>
  <c r="BY90" i="5"/>
  <c r="BT73" i="5"/>
  <c r="AN73" i="5"/>
  <c r="CC75" i="5"/>
  <c r="AU75" i="5"/>
  <c r="DF64" i="5"/>
  <c r="AR64" i="5"/>
  <c r="BY75" i="5"/>
  <c r="AQ75" i="5"/>
  <c r="DJ77" i="5"/>
  <c r="AV77" i="5"/>
  <c r="CC71" i="5"/>
  <c r="AU71" i="5"/>
  <c r="CW66" i="5"/>
  <c r="AK66" i="5"/>
  <c r="CY89" i="5"/>
  <c r="AM89" i="5"/>
  <c r="BS85" i="5"/>
  <c r="AM85" i="5"/>
  <c r="BI16" i="5"/>
  <c r="BS82" i="5"/>
  <c r="DF73" i="5"/>
  <c r="CB85" i="5"/>
  <c r="CC82" i="5"/>
  <c r="DH85" i="5"/>
  <c r="CY82" i="5"/>
  <c r="DH68" i="5"/>
  <c r="CB68" i="5"/>
  <c r="BX69" i="5"/>
  <c r="CB81" i="5"/>
  <c r="BZ78" i="5"/>
  <c r="CX67" i="5"/>
  <c r="DH76" i="5"/>
  <c r="BR67" i="5"/>
  <c r="DD89" i="5"/>
  <c r="BQ90" i="5"/>
  <c r="BT76" i="5"/>
  <c r="CA81" i="5"/>
  <c r="CZ63" i="5"/>
  <c r="CA66" i="5"/>
  <c r="DH95" i="5"/>
  <c r="BU75" i="5"/>
  <c r="CZ76" i="5"/>
  <c r="BT63" i="5"/>
  <c r="BU88" i="5"/>
  <c r="DF85" i="5"/>
  <c r="DF87" i="5"/>
  <c r="BZ81" i="5"/>
  <c r="BS84" i="5"/>
  <c r="CD95" i="5"/>
  <c r="BX87" i="5"/>
  <c r="BR89" i="5"/>
  <c r="CC68" i="5"/>
  <c r="CY84" i="5"/>
  <c r="DI83" i="5"/>
  <c r="CX86" i="5"/>
  <c r="DJ63" i="5"/>
  <c r="CC74" i="5"/>
  <c r="CW71" i="5"/>
  <c r="CZ82" i="5"/>
  <c r="DI68" i="5"/>
  <c r="BS63" i="5"/>
  <c r="BY69" i="5"/>
  <c r="BZ87" i="5"/>
  <c r="CD63" i="5"/>
  <c r="DG64" i="5"/>
  <c r="CX85" i="5"/>
  <c r="DJ68" i="5"/>
  <c r="BR95" i="5"/>
  <c r="CA92" i="5"/>
  <c r="CB75" i="5"/>
  <c r="CW68" i="5"/>
  <c r="DD64" i="5"/>
  <c r="DI74" i="5"/>
  <c r="BT74" i="5"/>
  <c r="DG67" i="5"/>
  <c r="CX95" i="5"/>
  <c r="BU68" i="5"/>
  <c r="BR85" i="5"/>
  <c r="CW86" i="5"/>
  <c r="DE78" i="5"/>
  <c r="BM18" i="5"/>
  <c r="CA82" i="5"/>
  <c r="BQ81" i="5"/>
  <c r="BT69" i="5"/>
  <c r="CC63" i="5"/>
  <c r="BZ64" i="5"/>
  <c r="DD69" i="5"/>
  <c r="BM15" i="5"/>
  <c r="CB88" i="5"/>
  <c r="BN38" i="5"/>
  <c r="BY77" i="5"/>
  <c r="CC89" i="5"/>
  <c r="DH88" i="5"/>
  <c r="BX75" i="5"/>
  <c r="CC67" i="5"/>
  <c r="BU87" i="5"/>
  <c r="DG87" i="5"/>
  <c r="CD83" i="5"/>
  <c r="CD74" i="5"/>
  <c r="CY86" i="5"/>
  <c r="CB82" i="5"/>
  <c r="CD75" i="5"/>
  <c r="DI75" i="5"/>
  <c r="DE77" i="5"/>
  <c r="DI89" i="5"/>
  <c r="DI67" i="5"/>
  <c r="DJ84" i="5"/>
  <c r="DJ69" i="5"/>
  <c r="CW74" i="5"/>
  <c r="BX71" i="5"/>
  <c r="DG81" i="5"/>
  <c r="BS71" i="5"/>
  <c r="BS68" i="5"/>
  <c r="CA64" i="5"/>
  <c r="CZ68" i="5"/>
  <c r="BJ42" i="5"/>
  <c r="DJ85" i="5"/>
  <c r="DH82" i="5"/>
  <c r="AI85" i="5"/>
  <c r="DJ95" i="5"/>
  <c r="BZ83" i="5"/>
  <c r="BS75" i="5"/>
  <c r="CZ75" i="5"/>
  <c r="BR88" i="5"/>
  <c r="CY85" i="5"/>
  <c r="DD73" i="5"/>
  <c r="CY76" i="5"/>
  <c r="AI75" i="5"/>
  <c r="BS69" i="5"/>
  <c r="AI88" i="5"/>
  <c r="CD89" i="5"/>
  <c r="BR84" i="5"/>
  <c r="CX84" i="5"/>
  <c r="CB86" i="5"/>
  <c r="DE75" i="5"/>
  <c r="CX68" i="5"/>
  <c r="BR68" i="5"/>
  <c r="DG84" i="5"/>
  <c r="CZ85" i="5"/>
  <c r="BX77" i="5"/>
  <c r="CB83" i="5"/>
  <c r="CD69" i="5"/>
  <c r="AI83" i="5"/>
  <c r="DH83" i="5"/>
  <c r="DD77" i="5"/>
  <c r="DI63" i="5"/>
  <c r="CA76" i="5"/>
  <c r="BT95" i="5"/>
  <c r="CE42" i="5"/>
  <c r="CQ42" i="5" s="1"/>
  <c r="AI82" i="5"/>
  <c r="BX83" i="5"/>
  <c r="DD83" i="5"/>
  <c r="CB77" i="5"/>
  <c r="DH77" i="5"/>
  <c r="DF89" i="5"/>
  <c r="BS74" i="5"/>
  <c r="CY74" i="5"/>
  <c r="DE85" i="5"/>
  <c r="BY85" i="5"/>
  <c r="AI66" i="5"/>
  <c r="BZ71" i="5"/>
  <c r="AI64" i="5"/>
  <c r="DG88" i="5"/>
  <c r="CA88" i="5"/>
  <c r="BR71" i="5"/>
  <c r="CX71" i="5"/>
  <c r="BS87" i="5"/>
  <c r="DG75" i="5"/>
  <c r="CA75" i="5"/>
  <c r="DE63" i="5"/>
  <c r="BY63" i="5"/>
  <c r="CC85" i="5"/>
  <c r="DI85" i="5"/>
  <c r="BR76" i="5"/>
  <c r="CX76" i="5"/>
  <c r="BY68" i="5"/>
  <c r="DE68" i="5"/>
  <c r="BQ85" i="5"/>
  <c r="AI71" i="5"/>
  <c r="BZ62" i="5"/>
  <c r="DF62" i="5"/>
  <c r="CW83" i="5"/>
  <c r="BQ83" i="5"/>
  <c r="CA83" i="5"/>
  <c r="DG83" i="5"/>
  <c r="BY83" i="5"/>
  <c r="DE83" i="5"/>
  <c r="CW82" i="5"/>
  <c r="BQ82" i="5"/>
  <c r="DF74" i="5"/>
  <c r="BZ74" i="5"/>
  <c r="BY82" i="5"/>
  <c r="DE82" i="5"/>
  <c r="CW63" i="5"/>
  <c r="BQ63" i="5"/>
  <c r="BX63" i="5"/>
  <c r="DD63" i="5"/>
  <c r="DJ82" i="5"/>
  <c r="CD82" i="5"/>
  <c r="BX88" i="5"/>
  <c r="DD88" i="5"/>
  <c r="DF75" i="5"/>
  <c r="BZ75" i="5"/>
  <c r="DF63" i="5"/>
  <c r="BZ63" i="5"/>
  <c r="AI90" i="5"/>
  <c r="AI74" i="5"/>
  <c r="CB71" i="5"/>
  <c r="DH71" i="5"/>
  <c r="CZ73" i="5"/>
  <c r="BY88" i="5"/>
  <c r="DE88" i="5"/>
  <c r="CW75" i="5"/>
  <c r="BQ75" i="5"/>
  <c r="CY77" i="5"/>
  <c r="BS77" i="5"/>
  <c r="BZ88" i="5"/>
  <c r="DF88" i="5"/>
  <c r="DK45" i="5"/>
  <c r="DT45" i="5" s="1"/>
  <c r="DK32" i="5"/>
  <c r="DU32" i="5" s="1"/>
  <c r="DK38" i="5"/>
  <c r="DM38" i="5" s="1"/>
  <c r="AI50" i="5"/>
  <c r="CE26" i="5"/>
  <c r="CI26" i="5" s="1"/>
  <c r="CE45" i="5"/>
  <c r="CQ45" i="5" s="1"/>
  <c r="CE40" i="5"/>
  <c r="CJ40" i="5" s="1"/>
  <c r="DK41" i="5"/>
  <c r="DQ41" i="5" s="1"/>
  <c r="DK27" i="5"/>
  <c r="DM27" i="5" s="1"/>
  <c r="DK34" i="5"/>
  <c r="DU34" i="5" s="1"/>
  <c r="CE35" i="5"/>
  <c r="CH35" i="5" s="1"/>
  <c r="DK44" i="5"/>
  <c r="DZ44" i="5" s="1"/>
  <c r="DK39" i="5"/>
  <c r="DM39" i="5" s="1"/>
  <c r="CE33" i="5"/>
  <c r="CS33" i="5" s="1"/>
  <c r="CE29" i="5"/>
  <c r="CO29" i="5" s="1"/>
  <c r="DK30" i="5"/>
  <c r="DW30" i="5" s="1"/>
  <c r="CE27" i="5"/>
  <c r="CR27" i="5" s="1"/>
  <c r="CE34" i="5"/>
  <c r="CS34" i="5" s="1"/>
  <c r="DK46" i="5"/>
  <c r="DX46" i="5" s="1"/>
  <c r="DK40" i="5"/>
  <c r="DW40" i="5" s="1"/>
  <c r="DK26" i="5"/>
  <c r="DM26" i="5" s="1"/>
  <c r="DK18" i="5"/>
  <c r="DQ18" i="5" s="1"/>
  <c r="CE46" i="5"/>
  <c r="CT46" i="5" s="1"/>
  <c r="DK35" i="5"/>
  <c r="DM35" i="5" s="1"/>
  <c r="DK28" i="5"/>
  <c r="DO28" i="5" s="1"/>
  <c r="DK42" i="5"/>
  <c r="DX42" i="5" s="1"/>
  <c r="DK51" i="5"/>
  <c r="EA51" i="5" s="1"/>
  <c r="CE32" i="5"/>
  <c r="CJ32" i="5" s="1"/>
  <c r="CE30" i="5"/>
  <c r="CT30" i="5" s="1"/>
  <c r="CE13" i="5"/>
  <c r="CP13" i="5" s="1"/>
  <c r="DK14" i="5"/>
  <c r="DM14" i="5" s="1"/>
  <c r="DK15" i="5"/>
  <c r="DQ15" i="5" s="1"/>
  <c r="DK23" i="5"/>
  <c r="DV23" i="5" s="1"/>
  <c r="CE10" i="5"/>
  <c r="CK10" i="5" s="1"/>
  <c r="DK11" i="5"/>
  <c r="DM11" i="5" s="1"/>
  <c r="DK10" i="5"/>
  <c r="DV10" i="5" s="1"/>
  <c r="CE15" i="5"/>
  <c r="CN15" i="5" s="1"/>
  <c r="DK19" i="5"/>
  <c r="DT19" i="5" s="1"/>
  <c r="CE11" i="5"/>
  <c r="CP11" i="5" s="1"/>
  <c r="CE23" i="5"/>
  <c r="CI23" i="5" s="1"/>
  <c r="DK22" i="5"/>
  <c r="DM22" i="5" s="1"/>
  <c r="CE14" i="5"/>
  <c r="CP14" i="5" s="1"/>
  <c r="CE19" i="5"/>
  <c r="CO19" i="5" s="1"/>
  <c r="DK16" i="5"/>
  <c r="DY16" i="5" s="1"/>
  <c r="CE18" i="5"/>
  <c r="CK18" i="5" s="1"/>
  <c r="BD18" i="5"/>
  <c r="BK18" i="5"/>
  <c r="BJ18" i="5"/>
  <c r="BB18" i="5"/>
  <c r="BI18" i="5"/>
  <c r="BA18" i="5"/>
  <c r="DF91" i="5"/>
  <c r="BZ91" i="5"/>
  <c r="BX90" i="5"/>
  <c r="DD90" i="5"/>
  <c r="DI73" i="5"/>
  <c r="CC73" i="5"/>
  <c r="BY94" i="5"/>
  <c r="DE94" i="5"/>
  <c r="BR93" i="5"/>
  <c r="CX93" i="5"/>
  <c r="AI80" i="5"/>
  <c r="BQ80" i="5"/>
  <c r="CW80" i="5"/>
  <c r="BZ58" i="5"/>
  <c r="DF58" i="5"/>
  <c r="BR81" i="5"/>
  <c r="CX81" i="5"/>
  <c r="CZ94" i="5"/>
  <c r="BT94" i="5"/>
  <c r="BU78" i="5"/>
  <c r="DH94" i="5"/>
  <c r="CB94" i="5"/>
  <c r="BY80" i="5"/>
  <c r="DE80" i="5"/>
  <c r="DJ70" i="5"/>
  <c r="CD70" i="5"/>
  <c r="BU62" i="5"/>
  <c r="DJ54" i="5"/>
  <c r="CD54" i="5"/>
  <c r="BX58" i="5"/>
  <c r="DD58" i="5"/>
  <c r="DH72" i="5"/>
  <c r="CB72" i="5"/>
  <c r="CE31" i="5"/>
  <c r="BU92" i="5"/>
  <c r="CX87" i="5"/>
  <c r="BR87" i="5"/>
  <c r="BY84" i="5"/>
  <c r="DE84" i="5"/>
  <c r="BU94" i="5"/>
  <c r="CY64" i="5"/>
  <c r="BS64" i="5"/>
  <c r="BX80" i="5"/>
  <c r="DD80" i="5"/>
  <c r="CW59" i="5"/>
  <c r="AI59" i="5"/>
  <c r="BQ59" i="5"/>
  <c r="CZ54" i="5"/>
  <c r="BT54" i="5"/>
  <c r="DE58" i="5"/>
  <c r="BY58" i="5"/>
  <c r="CD57" i="5"/>
  <c r="DJ57" i="5"/>
  <c r="BU95" i="5"/>
  <c r="CC92" i="5"/>
  <c r="DI92" i="5"/>
  <c r="DE91" i="5"/>
  <c r="BY91" i="5"/>
  <c r="CY91" i="5"/>
  <c r="BS91" i="5"/>
  <c r="CB87" i="5"/>
  <c r="DH87" i="5"/>
  <c r="BU90" i="5"/>
  <c r="CA74" i="5"/>
  <c r="DG74" i="5"/>
  <c r="CA69" i="5"/>
  <c r="DG69" i="5"/>
  <c r="CA94" i="5"/>
  <c r="DG94" i="5"/>
  <c r="DH78" i="5"/>
  <c r="CB78" i="5"/>
  <c r="CW73" i="5"/>
  <c r="BQ73" i="5"/>
  <c r="AI73" i="5"/>
  <c r="BY81" i="5"/>
  <c r="DE81" i="5"/>
  <c r="BY93" i="5"/>
  <c r="DE93" i="5"/>
  <c r="CD93" i="5"/>
  <c r="DJ93" i="5"/>
  <c r="BY86" i="5"/>
  <c r="DE86" i="5"/>
  <c r="BQ79" i="5"/>
  <c r="CW79" i="5"/>
  <c r="AI79" i="5"/>
  <c r="DD67" i="5"/>
  <c r="BX67" i="5"/>
  <c r="CY79" i="5"/>
  <c r="BS79" i="5"/>
  <c r="BU66" i="5"/>
  <c r="BZ80" i="5"/>
  <c r="DF80" i="5"/>
  <c r="DJ80" i="5"/>
  <c r="CD80" i="5"/>
  <c r="CX53" i="5"/>
  <c r="AI53" i="5"/>
  <c r="BR53" i="5"/>
  <c r="DH70" i="5"/>
  <c r="CB70" i="5"/>
  <c r="CY62" i="5"/>
  <c r="BS62" i="5"/>
  <c r="CY56" i="5"/>
  <c r="BS56" i="5"/>
  <c r="DF53" i="5"/>
  <c r="BZ53" i="5"/>
  <c r="BY65" i="5"/>
  <c r="DE65" i="5"/>
  <c r="DJ65" i="5"/>
  <c r="CD65" i="5"/>
  <c r="DG58" i="5"/>
  <c r="CA58" i="5"/>
  <c r="BR55" i="5"/>
  <c r="CX55" i="5"/>
  <c r="DH54" i="5"/>
  <c r="CB54" i="5"/>
  <c r="DD49" i="5"/>
  <c r="BX49" i="5"/>
  <c r="BR58" i="5"/>
  <c r="CX58" i="5"/>
  <c r="DD57" i="5"/>
  <c r="BX57" i="5"/>
  <c r="BU48" i="5"/>
  <c r="BR72" i="5"/>
  <c r="CX72" i="5"/>
  <c r="CZ72" i="5"/>
  <c r="BT72" i="5"/>
  <c r="DK33" i="5"/>
  <c r="CE20" i="5"/>
  <c r="CE12" i="5"/>
  <c r="CE37" i="5"/>
  <c r="CE38" i="5"/>
  <c r="BZ72" i="5"/>
  <c r="DF72" i="5"/>
  <c r="BX72" i="5"/>
  <c r="DD72" i="5"/>
  <c r="BN26" i="5"/>
  <c r="DK25" i="5"/>
  <c r="DK17" i="5"/>
  <c r="AI94" i="5"/>
  <c r="BQ94" i="5"/>
  <c r="CW94" i="5"/>
  <c r="AI93" i="5"/>
  <c r="BU86" i="5"/>
  <c r="BX74" i="5"/>
  <c r="DD74" i="5"/>
  <c r="BY79" i="5"/>
  <c r="DE79" i="5"/>
  <c r="CZ79" i="5"/>
  <c r="BT79" i="5"/>
  <c r="BT64" i="5"/>
  <c r="CZ64" i="5"/>
  <c r="BR80" i="5"/>
  <c r="CX80" i="5"/>
  <c r="CX52" i="5"/>
  <c r="BR52" i="5"/>
  <c r="CW52" i="5"/>
  <c r="AI52" i="5"/>
  <c r="BQ52" i="5"/>
  <c r="CX70" i="5"/>
  <c r="BR70" i="5"/>
  <c r="CZ62" i="5"/>
  <c r="BT62" i="5"/>
  <c r="BU65" i="5"/>
  <c r="BR57" i="5"/>
  <c r="CX57" i="5"/>
  <c r="CY54" i="5"/>
  <c r="BS54" i="5"/>
  <c r="AI48" i="5"/>
  <c r="BQ48" i="5"/>
  <c r="CW48" i="5"/>
  <c r="CY58" i="5"/>
  <c r="BS58" i="5"/>
  <c r="DF57" i="5"/>
  <c r="BZ57" i="5"/>
  <c r="CE51" i="5"/>
  <c r="DG72" i="5"/>
  <c r="CA72" i="5"/>
  <c r="BU72" i="5"/>
  <c r="CE25" i="5"/>
  <c r="DK13" i="5"/>
  <c r="CW55" i="5"/>
  <c r="BQ55" i="5"/>
  <c r="AI55" i="5"/>
  <c r="DI72" i="5"/>
  <c r="CC72" i="5"/>
  <c r="DK29" i="5"/>
  <c r="CE16" i="5"/>
  <c r="DK43" i="5"/>
  <c r="BN18" i="5"/>
  <c r="CE22" i="5"/>
  <c r="BY87" i="5"/>
  <c r="DE87" i="5"/>
  <c r="BR69" i="5"/>
  <c r="CX69" i="5"/>
  <c r="AI69" i="5"/>
  <c r="BZ93" i="5"/>
  <c r="DF93" i="5"/>
  <c r="DG80" i="5"/>
  <c r="CA80" i="5"/>
  <c r="CD62" i="5"/>
  <c r="DJ62" i="5"/>
  <c r="DF65" i="5"/>
  <c r="BZ65" i="5"/>
  <c r="BY57" i="5"/>
  <c r="DE57" i="5"/>
  <c r="BX48" i="5"/>
  <c r="DD48" i="5"/>
  <c r="CE41" i="5"/>
  <c r="DJ81" i="5"/>
  <c r="CD81" i="5"/>
  <c r="DD95" i="5"/>
  <c r="BX95" i="5"/>
  <c r="DJ94" i="5"/>
  <c r="CD94" i="5"/>
  <c r="BX68" i="5"/>
  <c r="DD68" i="5"/>
  <c r="BU81" i="5"/>
  <c r="DH93" i="5"/>
  <c r="CB93" i="5"/>
  <c r="DE74" i="5"/>
  <c r="BY74" i="5"/>
  <c r="CD79" i="5"/>
  <c r="DJ79" i="5"/>
  <c r="CD64" i="5"/>
  <c r="DJ64" i="5"/>
  <c r="DI59" i="5"/>
  <c r="CC59" i="5"/>
  <c r="DE50" i="5"/>
  <c r="BY50" i="5"/>
  <c r="BU50" i="5"/>
  <c r="BS55" i="5"/>
  <c r="CY55" i="5"/>
  <c r="BT57" i="5"/>
  <c r="CZ57" i="5"/>
  <c r="CE39" i="5"/>
  <c r="DG85" i="5"/>
  <c r="CA85" i="5"/>
  <c r="BZ76" i="5"/>
  <c r="DF76" i="5"/>
  <c r="BU82" i="5"/>
  <c r="DD81" i="5"/>
  <c r="BX81" i="5"/>
  <c r="BX93" i="5"/>
  <c r="DD93" i="5"/>
  <c r="CX63" i="5"/>
  <c r="BR63" i="5"/>
  <c r="AI63" i="5"/>
  <c r="DG79" i="5"/>
  <c r="CA79" i="5"/>
  <c r="DE62" i="5"/>
  <c r="BY62" i="5"/>
  <c r="CZ58" i="5"/>
  <c r="BT58" i="5"/>
  <c r="DK47" i="5"/>
  <c r="CX92" i="5"/>
  <c r="BR92" i="5"/>
  <c r="CB89" i="5"/>
  <c r="DH89" i="5"/>
  <c r="AI95" i="5"/>
  <c r="CW76" i="5"/>
  <c r="BQ76" i="5"/>
  <c r="AI76" i="5"/>
  <c r="DG91" i="5"/>
  <c r="CA91" i="5"/>
  <c r="CC77" i="5"/>
  <c r="DI77" i="5"/>
  <c r="CA90" i="5"/>
  <c r="DG90" i="5"/>
  <c r="CB90" i="5"/>
  <c r="DH90" i="5"/>
  <c r="BX84" i="5"/>
  <c r="DD84" i="5"/>
  <c r="DG71" i="5"/>
  <c r="CA71" i="5"/>
  <c r="BR94" i="5"/>
  <c r="CX94" i="5"/>
  <c r="BX94" i="5"/>
  <c r="DD94" i="5"/>
  <c r="DJ86" i="5"/>
  <c r="CD86" i="5"/>
  <c r="CW78" i="5"/>
  <c r="BQ78" i="5"/>
  <c r="AI78" i="5"/>
  <c r="DI86" i="5"/>
  <c r="CC86" i="5"/>
  <c r="CA73" i="5"/>
  <c r="DG73" i="5"/>
  <c r="CY93" i="5"/>
  <c r="BS93" i="5"/>
  <c r="BS73" i="5"/>
  <c r="CY73" i="5"/>
  <c r="BZ68" i="5"/>
  <c r="DF68" i="5"/>
  <c r="BX79" i="5"/>
  <c r="DD79" i="5"/>
  <c r="BR66" i="5"/>
  <c r="CX66" i="5"/>
  <c r="CB63" i="5"/>
  <c r="DH63" i="5"/>
  <c r="CZ67" i="5"/>
  <c r="BT67" i="5"/>
  <c r="BU79" i="5"/>
  <c r="DI66" i="5"/>
  <c r="CC66" i="5"/>
  <c r="DI64" i="5"/>
  <c r="CC64" i="5"/>
  <c r="CY80" i="5"/>
  <c r="BS80" i="5"/>
  <c r="CB59" i="5"/>
  <c r="DH59" i="5"/>
  <c r="DJ56" i="5"/>
  <c r="CD56" i="5"/>
  <c r="BU70" i="5"/>
  <c r="DG62" i="5"/>
  <c r="CA62" i="5"/>
  <c r="BZ52" i="5"/>
  <c r="DF52" i="5"/>
  <c r="CY65" i="5"/>
  <c r="BS65" i="5"/>
  <c r="DG57" i="5"/>
  <c r="CA57" i="5"/>
  <c r="CW54" i="5"/>
  <c r="AI54" i="5"/>
  <c r="BQ54" i="5"/>
  <c r="BU55" i="5"/>
  <c r="BU54" i="5"/>
  <c r="BT49" i="5"/>
  <c r="CZ49" i="5"/>
  <c r="CE44" i="5"/>
  <c r="BU58" i="5"/>
  <c r="DI48" i="5"/>
  <c r="CC48" i="5"/>
  <c r="CE47" i="5"/>
  <c r="BY72" i="5"/>
  <c r="DE72" i="5"/>
  <c r="CE28" i="5"/>
  <c r="DK31" i="5"/>
  <c r="DK24" i="5"/>
  <c r="CE17" i="5"/>
  <c r="CZ92" i="5"/>
  <c r="BT92" i="5"/>
  <c r="BZ84" i="5"/>
  <c r="DF84" i="5"/>
  <c r="BU93" i="5"/>
  <c r="CC79" i="5"/>
  <c r="DI79" i="5"/>
  <c r="CB64" i="5"/>
  <c r="DH64" i="5"/>
  <c r="CX56" i="5"/>
  <c r="BR56" i="5"/>
  <c r="BX70" i="5"/>
  <c r="DD70" i="5"/>
  <c r="DI56" i="5"/>
  <c r="CC56" i="5"/>
  <c r="DE52" i="5"/>
  <c r="BY52" i="5"/>
  <c r="DJ58" i="5"/>
  <c r="CD58" i="5"/>
  <c r="CZ91" i="5"/>
  <c r="BT91" i="5"/>
  <c r="DG77" i="5"/>
  <c r="CA77" i="5"/>
  <c r="BZ82" i="5"/>
  <c r="DF82" i="5"/>
  <c r="CZ84" i="5"/>
  <c r="BT84" i="5"/>
  <c r="CB69" i="5"/>
  <c r="DH69" i="5"/>
  <c r="DJ87" i="5"/>
  <c r="CD87" i="5"/>
  <c r="CW77" i="5"/>
  <c r="AI77" i="5"/>
  <c r="BQ77" i="5"/>
  <c r="CC90" i="5"/>
  <c r="DI90" i="5"/>
  <c r="BU84" i="5"/>
  <c r="BT78" i="5"/>
  <c r="CZ78" i="5"/>
  <c r="CA63" i="5"/>
  <c r="DG63" i="5"/>
  <c r="DF79" i="5"/>
  <c r="BZ79" i="5"/>
  <c r="BX66" i="5"/>
  <c r="DD66" i="5"/>
  <c r="CX65" i="5"/>
  <c r="BR65" i="5"/>
  <c r="BR49" i="5"/>
  <c r="CX49" i="5"/>
  <c r="CX77" i="5"/>
  <c r="BR77" i="5"/>
  <c r="AI92" i="5"/>
  <c r="CX90" i="5"/>
  <c r="BR90" i="5"/>
  <c r="CD78" i="5"/>
  <c r="DJ78" i="5"/>
  <c r="DJ73" i="5"/>
  <c r="CD73" i="5"/>
  <c r="BY67" i="5"/>
  <c r="DE67" i="5"/>
  <c r="DF95" i="5"/>
  <c r="BZ95" i="5"/>
  <c r="DH92" i="5"/>
  <c r="CB92" i="5"/>
  <c r="CW89" i="5"/>
  <c r="AI89" i="5"/>
  <c r="BQ89" i="5"/>
  <c r="BU91" i="5"/>
  <c r="CX91" i="5"/>
  <c r="BR91" i="5"/>
  <c r="CC87" i="5"/>
  <c r="DI87" i="5"/>
  <c r="DF77" i="5"/>
  <c r="BZ77" i="5"/>
  <c r="CD90" i="5"/>
  <c r="DJ90" i="5"/>
  <c r="BT71" i="5"/>
  <c r="CZ71" i="5"/>
  <c r="BS94" i="5"/>
  <c r="CY94" i="5"/>
  <c r="DG78" i="5"/>
  <c r="CA78" i="5"/>
  <c r="DI93" i="5"/>
  <c r="CC93" i="5"/>
  <c r="CA86" i="5"/>
  <c r="DG86" i="5"/>
  <c r="AI84" i="5"/>
  <c r="DJ67" i="5"/>
  <c r="CD67" i="5"/>
  <c r="CX79" i="5"/>
  <c r="BR79" i="5"/>
  <c r="CZ66" i="5"/>
  <c r="BT66" i="5"/>
  <c r="DI80" i="5"/>
  <c r="CC80" i="5"/>
  <c r="DD59" i="5"/>
  <c r="BX59" i="5"/>
  <c r="DD62" i="5"/>
  <c r="BX62" i="5"/>
  <c r="AI56" i="5"/>
  <c r="CW56" i="5"/>
  <c r="BQ56" i="5"/>
  <c r="CY70" i="5"/>
  <c r="BS70" i="5"/>
  <c r="CX62" i="5"/>
  <c r="BR62" i="5"/>
  <c r="CB56" i="5"/>
  <c r="DH56" i="5"/>
  <c r="DD50" i="5"/>
  <c r="BX50" i="5"/>
  <c r="BQ65" i="5"/>
  <c r="CW65" i="5"/>
  <c r="AI65" i="5"/>
  <c r="CC65" i="5"/>
  <c r="DI65" i="5"/>
  <c r="DD55" i="5"/>
  <c r="BX55" i="5"/>
  <c r="BX54" i="5"/>
  <c r="DD54" i="5"/>
  <c r="AI49" i="5"/>
  <c r="BQ49" i="5"/>
  <c r="CW49" i="5"/>
  <c r="BQ57" i="5"/>
  <c r="CW57" i="5"/>
  <c r="AI57" i="5"/>
  <c r="DJ49" i="5"/>
  <c r="CD49" i="5"/>
  <c r="AI58" i="5"/>
  <c r="BQ58" i="5"/>
  <c r="CW58" i="5"/>
  <c r="CY57" i="5"/>
  <c r="BS57" i="5"/>
  <c r="CZ48" i="5"/>
  <c r="BT48" i="5"/>
  <c r="AI72" i="5"/>
  <c r="BQ72" i="5"/>
  <c r="CW72" i="5"/>
  <c r="CY72" i="5"/>
  <c r="BS72" i="5"/>
  <c r="DK36" i="5"/>
  <c r="CE24" i="5"/>
  <c r="DK21" i="5"/>
  <c r="CC91" i="5"/>
  <c r="DI91" i="5"/>
  <c r="CY78" i="5"/>
  <c r="BS78" i="5"/>
  <c r="CZ81" i="5"/>
  <c r="BT81" i="5"/>
  <c r="BZ86" i="5"/>
  <c r="DF86" i="5"/>
  <c r="CB74" i="5"/>
  <c r="DH74" i="5"/>
  <c r="CX64" i="5"/>
  <c r="BR64" i="5"/>
  <c r="BU80" i="5"/>
  <c r="AI70" i="5"/>
  <c r="BQ70" i="5"/>
  <c r="CW70" i="5"/>
  <c r="CA52" i="5"/>
  <c r="DG52" i="5"/>
  <c r="CB55" i="5"/>
  <c r="DH55" i="5"/>
  <c r="BY49" i="5"/>
  <c r="DE49" i="5"/>
  <c r="CD92" i="5"/>
  <c r="DJ92" i="5"/>
  <c r="BS90" i="5"/>
  <c r="CY90" i="5"/>
  <c r="BR73" i="5"/>
  <c r="CX73" i="5"/>
  <c r="DI78" i="5"/>
  <c r="CC78" i="5"/>
  <c r="DG93" i="5"/>
  <c r="CA93" i="5"/>
  <c r="CD91" i="5"/>
  <c r="DJ91" i="5"/>
  <c r="BX86" i="5"/>
  <c r="DD86" i="5"/>
  <c r="BY70" i="5"/>
  <c r="DE70" i="5"/>
  <c r="CW91" i="5"/>
  <c r="BQ91" i="5"/>
  <c r="AI91" i="5"/>
  <c r="DF90" i="5"/>
  <c r="BZ90" i="5"/>
  <c r="DI94" i="5"/>
  <c r="CC94" i="5"/>
  <c r="AI67" i="5"/>
  <c r="BQ67" i="5"/>
  <c r="CW67" i="5"/>
  <c r="CY66" i="5"/>
  <c r="BS66" i="5"/>
  <c r="AI86" i="5"/>
  <c r="AI68" i="5"/>
  <c r="CZ70" i="5"/>
  <c r="BT70" i="5"/>
  <c r="AI62" i="5"/>
  <c r="BQ62" i="5"/>
  <c r="CW62" i="5"/>
  <c r="DH65" i="5"/>
  <c r="CB65" i="5"/>
  <c r="BY48" i="5"/>
  <c r="DE48" i="5"/>
  <c r="BT55" i="5"/>
  <c r="CZ55" i="5"/>
  <c r="BS48" i="5"/>
  <c r="CY48" i="5"/>
  <c r="CY92" i="5"/>
  <c r="BS92" i="5"/>
  <c r="CA89" i="5"/>
  <c r="DG89" i="5"/>
  <c r="BX91" i="5"/>
  <c r="DD91" i="5"/>
  <c r="CB91" i="5"/>
  <c r="DH91" i="5"/>
  <c r="CW87" i="5"/>
  <c r="BQ87" i="5"/>
  <c r="AI87" i="5"/>
  <c r="DD82" i="5"/>
  <c r="BX82" i="5"/>
  <c r="BT90" i="5"/>
  <c r="CZ90" i="5"/>
  <c r="CD71" i="5"/>
  <c r="DJ71" i="5"/>
  <c r="BZ94" i="5"/>
  <c r="DF94" i="5"/>
  <c r="AI81" i="5"/>
  <c r="CX78" i="5"/>
  <c r="BR78" i="5"/>
  <c r="DH73" i="5"/>
  <c r="CB73" i="5"/>
  <c r="CZ93" i="5"/>
  <c r="BT93" i="5"/>
  <c r="CZ86" i="5"/>
  <c r="BT86" i="5"/>
  <c r="DH80" i="5"/>
  <c r="CB80" i="5"/>
  <c r="BU67" i="5"/>
  <c r="DH79" i="5"/>
  <c r="CB79" i="5"/>
  <c r="DJ66" i="5"/>
  <c r="CD66" i="5"/>
  <c r="CZ80" i="5"/>
  <c r="BT80" i="5"/>
  <c r="CA70" i="5"/>
  <c r="DG70" i="5"/>
  <c r="DI70" i="5"/>
  <c r="CC70" i="5"/>
  <c r="DI62" i="5"/>
  <c r="CC62" i="5"/>
  <c r="CZ56" i="5"/>
  <c r="BT56" i="5"/>
  <c r="BX65" i="5"/>
  <c r="DD65" i="5"/>
  <c r="CZ65" i="5"/>
  <c r="BT65" i="5"/>
  <c r="DF55" i="5"/>
  <c r="BZ55" i="5"/>
  <c r="CX54" i="5"/>
  <c r="BR54" i="5"/>
  <c r="BR48" i="5"/>
  <c r="CX48" i="5"/>
  <c r="BU49" i="5"/>
  <c r="DI58" i="5"/>
  <c r="CC58" i="5"/>
  <c r="BU57" i="5"/>
  <c r="CD48" i="5"/>
  <c r="DJ48" i="5"/>
  <c r="DJ72" i="5"/>
  <c r="CD72" i="5"/>
  <c r="DK20" i="5"/>
  <c r="CE36" i="5"/>
  <c r="DK12" i="5"/>
  <c r="CE43" i="5"/>
  <c r="DK37" i="5"/>
  <c r="CE21" i="5"/>
  <c r="BD92" i="5" l="1"/>
  <c r="BE84" i="5"/>
  <c r="BH90" i="5"/>
  <c r="BB23" i="5"/>
  <c r="BN9" i="5"/>
  <c r="BE69" i="5"/>
  <c r="BL68" i="5"/>
  <c r="BA85" i="5"/>
  <c r="CN13" i="5"/>
  <c r="BK74" i="5"/>
  <c r="BK95" i="5"/>
  <c r="BH81" i="5"/>
  <c r="BN30" i="5"/>
  <c r="CG42" i="5"/>
  <c r="BK40" i="5"/>
  <c r="DO38" i="5"/>
  <c r="EA38" i="5"/>
  <c r="BD40" i="5"/>
  <c r="BM40" i="5"/>
  <c r="BC40" i="5"/>
  <c r="BB40" i="5"/>
  <c r="BJ40" i="5"/>
  <c r="BH32" i="5"/>
  <c r="DU11" i="5"/>
  <c r="CN32" i="5"/>
  <c r="CG32" i="5"/>
  <c r="CQ32" i="5"/>
  <c r="DZ22" i="5"/>
  <c r="DW44" i="5"/>
  <c r="DU40" i="5"/>
  <c r="DO44" i="5"/>
  <c r="BD39" i="5"/>
  <c r="BC19" i="5"/>
  <c r="CO32" i="5"/>
  <c r="BA46" i="5"/>
  <c r="DO40" i="5"/>
  <c r="BK46" i="5"/>
  <c r="BJ14" i="5"/>
  <c r="CN27" i="5"/>
  <c r="BA14" i="5"/>
  <c r="BN14" i="5"/>
  <c r="BI14" i="5"/>
  <c r="BN83" i="5"/>
  <c r="BM88" i="5"/>
  <c r="CG26" i="5"/>
  <c r="DY28" i="5"/>
  <c r="BD77" i="5"/>
  <c r="DO46" i="5"/>
  <c r="BC16" i="5"/>
  <c r="DW39" i="5"/>
  <c r="DM42" i="5"/>
  <c r="DP42" i="5"/>
  <c r="BM75" i="5"/>
  <c r="CQ14" i="5"/>
  <c r="BJ16" i="5"/>
  <c r="CJ14" i="5"/>
  <c r="BL64" i="5"/>
  <c r="DY46" i="5"/>
  <c r="CS14" i="5"/>
  <c r="BJ66" i="5"/>
  <c r="DW11" i="5"/>
  <c r="CK13" i="5"/>
  <c r="BD16" i="5"/>
  <c r="CR13" i="5"/>
  <c r="DN11" i="5"/>
  <c r="DV11" i="5"/>
  <c r="DU18" i="5"/>
  <c r="DZ18" i="5"/>
  <c r="CO13" i="5"/>
  <c r="CQ33" i="5"/>
  <c r="BB16" i="5"/>
  <c r="CG13" i="5"/>
  <c r="DN38" i="5"/>
  <c r="DO11" i="5"/>
  <c r="DU14" i="5"/>
  <c r="BH44" i="5"/>
  <c r="CI42" i="5"/>
  <c r="DZ11" i="5"/>
  <c r="DV38" i="5"/>
  <c r="EA11" i="5"/>
  <c r="DY38" i="5"/>
  <c r="DP11" i="5"/>
  <c r="DN14" i="5"/>
  <c r="BE19" i="5"/>
  <c r="BI46" i="5"/>
  <c r="CP32" i="5"/>
  <c r="CH42" i="5"/>
  <c r="DM18" i="5"/>
  <c r="DP39" i="5"/>
  <c r="DT40" i="5"/>
  <c r="DM46" i="5"/>
  <c r="DW42" i="5"/>
  <c r="BK20" i="5"/>
  <c r="BE12" i="5"/>
  <c r="BB46" i="5"/>
  <c r="CJ29" i="5"/>
  <c r="DX40" i="5"/>
  <c r="BN12" i="5"/>
  <c r="BM46" i="5"/>
  <c r="CK29" i="5"/>
  <c r="BD12" i="5"/>
  <c r="BD46" i="5"/>
  <c r="DN44" i="5"/>
  <c r="BL12" i="5"/>
  <c r="DW22" i="5"/>
  <c r="CH33" i="5"/>
  <c r="DT51" i="5"/>
  <c r="DP26" i="5"/>
  <c r="CE83" i="5"/>
  <c r="CT83" i="5" s="1"/>
  <c r="CN33" i="5"/>
  <c r="DV16" i="5"/>
  <c r="BC46" i="5"/>
  <c r="CS32" i="5"/>
  <c r="CS42" i="5"/>
  <c r="CT29" i="5"/>
  <c r="DN39" i="5"/>
  <c r="DY40" i="5"/>
  <c r="CI33" i="5"/>
  <c r="CG33" i="5"/>
  <c r="BK12" i="5"/>
  <c r="DY42" i="5"/>
  <c r="CO33" i="5"/>
  <c r="BH46" i="5"/>
  <c r="BE46" i="5"/>
  <c r="CK32" i="5"/>
  <c r="CK42" i="5"/>
  <c r="CG29" i="5"/>
  <c r="DZ39" i="5"/>
  <c r="DQ40" i="5"/>
  <c r="CJ33" i="5"/>
  <c r="CP33" i="5"/>
  <c r="BN20" i="5"/>
  <c r="CT32" i="5"/>
  <c r="CT42" i="5"/>
  <c r="BK50" i="5"/>
  <c r="DO18" i="5"/>
  <c r="CP29" i="5"/>
  <c r="EA39" i="5"/>
  <c r="CR33" i="5"/>
  <c r="CK33" i="5"/>
  <c r="DO51" i="5"/>
  <c r="CJ42" i="5"/>
  <c r="DU26" i="5"/>
  <c r="BJ46" i="5"/>
  <c r="BL46" i="5"/>
  <c r="CI32" i="5"/>
  <c r="DX18" i="5"/>
  <c r="CH29" i="5"/>
  <c r="DV39" i="5"/>
  <c r="CT33" i="5"/>
  <c r="DV44" i="5"/>
  <c r="DP51" i="5"/>
  <c r="DZ28" i="5"/>
  <c r="BE32" i="5"/>
  <c r="CR23" i="5"/>
  <c r="CJ26" i="5"/>
  <c r="CS10" i="5"/>
  <c r="BA32" i="5"/>
  <c r="BC42" i="5"/>
  <c r="CN29" i="5"/>
  <c r="CQ29" i="5"/>
  <c r="DQ38" i="5"/>
  <c r="DZ38" i="5"/>
  <c r="DM51" i="5"/>
  <c r="CO26" i="5"/>
  <c r="BN32" i="5"/>
  <c r="DX23" i="5"/>
  <c r="BD42" i="5"/>
  <c r="BM32" i="5"/>
  <c r="BB32" i="5"/>
  <c r="CI29" i="5"/>
  <c r="CS29" i="5"/>
  <c r="DW38" i="5"/>
  <c r="DT38" i="5"/>
  <c r="BC32" i="5"/>
  <c r="DW26" i="5"/>
  <c r="BK42" i="5"/>
  <c r="BL42" i="5"/>
  <c r="CR29" i="5"/>
  <c r="DX38" i="5"/>
  <c r="DU38" i="5"/>
  <c r="BI53" i="5"/>
  <c r="DX51" i="5"/>
  <c r="BJ32" i="5"/>
  <c r="EA26" i="5"/>
  <c r="BA42" i="5"/>
  <c r="CH10" i="5"/>
  <c r="CK26" i="5"/>
  <c r="BB42" i="5"/>
  <c r="DP38" i="5"/>
  <c r="DY51" i="5"/>
  <c r="DX26" i="5"/>
  <c r="BC49" i="5"/>
  <c r="CR42" i="5"/>
  <c r="CT13" i="5"/>
  <c r="CJ13" i="5"/>
  <c r="BN15" i="5"/>
  <c r="DU44" i="5"/>
  <c r="CS26" i="5"/>
  <c r="CO42" i="5"/>
  <c r="CN42" i="5"/>
  <c r="CS13" i="5"/>
  <c r="BN48" i="5"/>
  <c r="CN26" i="5"/>
  <c r="DM23" i="5"/>
  <c r="CG46" i="5"/>
  <c r="CP42" i="5"/>
  <c r="DN27" i="5"/>
  <c r="CG18" i="5"/>
  <c r="CI13" i="5"/>
  <c r="DT44" i="5"/>
  <c r="CN30" i="5"/>
  <c r="CP26" i="5"/>
  <c r="DP15" i="5"/>
  <c r="BC88" i="5"/>
  <c r="BB56" i="5"/>
  <c r="CN46" i="5"/>
  <c r="CS18" i="5"/>
  <c r="CQ13" i="5"/>
  <c r="DQ44" i="5"/>
  <c r="CQ26" i="5"/>
  <c r="CE88" i="5"/>
  <c r="CT88" i="5" s="1"/>
  <c r="EA16" i="5"/>
  <c r="DN16" i="5"/>
  <c r="DM44" i="5"/>
  <c r="DZ46" i="5"/>
  <c r="BN16" i="5"/>
  <c r="BH16" i="5"/>
  <c r="DQ28" i="5"/>
  <c r="DW16" i="5"/>
  <c r="BB39" i="5"/>
  <c r="DO15" i="5"/>
  <c r="BM39" i="5"/>
  <c r="BD30" i="5"/>
  <c r="BA35" i="5"/>
  <c r="DQ46" i="5"/>
  <c r="DY23" i="5"/>
  <c r="BM16" i="5"/>
  <c r="CR34" i="5"/>
  <c r="DK76" i="5"/>
  <c r="DN76" i="5" s="1"/>
  <c r="CH13" i="5"/>
  <c r="DY44" i="5"/>
  <c r="DX44" i="5"/>
  <c r="DT46" i="5"/>
  <c r="DW23" i="5"/>
  <c r="BK16" i="5"/>
  <c r="CP34" i="5"/>
  <c r="BE39" i="5"/>
  <c r="DM16" i="5"/>
  <c r="EA44" i="5"/>
  <c r="DN46" i="5"/>
  <c r="DT23" i="5"/>
  <c r="BA16" i="5"/>
  <c r="DP28" i="5"/>
  <c r="BD23" i="5"/>
  <c r="CT18" i="5"/>
  <c r="CP35" i="5"/>
  <c r="DK85" i="5"/>
  <c r="DO85" i="5" s="1"/>
  <c r="CQ18" i="5"/>
  <c r="DZ16" i="5"/>
  <c r="DO16" i="5"/>
  <c r="BH23" i="5"/>
  <c r="BL23" i="5"/>
  <c r="CN18" i="5"/>
  <c r="DN18" i="5"/>
  <c r="EA18" i="5"/>
  <c r="BK39" i="5"/>
  <c r="BN39" i="5"/>
  <c r="BN23" i="5"/>
  <c r="DQ11" i="5"/>
  <c r="DV34" i="5"/>
  <c r="CQ35" i="5"/>
  <c r="BN24" i="5"/>
  <c r="DN51" i="5"/>
  <c r="DU51" i="5"/>
  <c r="CR26" i="5"/>
  <c r="CT26" i="5"/>
  <c r="BD32" i="5"/>
  <c r="BI32" i="5"/>
  <c r="DW15" i="5"/>
  <c r="BJ12" i="5"/>
  <c r="BH14" i="5"/>
  <c r="DO26" i="5"/>
  <c r="CR14" i="5"/>
  <c r="DN30" i="5"/>
  <c r="CE75" i="5"/>
  <c r="CH75" i="5" s="1"/>
  <c r="CO18" i="5"/>
  <c r="BI39" i="5"/>
  <c r="BH39" i="5"/>
  <c r="DW34" i="5"/>
  <c r="CS35" i="5"/>
  <c r="BK24" i="5"/>
  <c r="DQ45" i="5"/>
  <c r="DV32" i="5"/>
  <c r="DW35" i="5"/>
  <c r="DK75" i="5"/>
  <c r="DQ75" i="5" s="1"/>
  <c r="DY34" i="5"/>
  <c r="CI35" i="5"/>
  <c r="BB24" i="5"/>
  <c r="DM45" i="5"/>
  <c r="DX41" i="5"/>
  <c r="DP16" i="5"/>
  <c r="BM23" i="5"/>
  <c r="CP18" i="5"/>
  <c r="BJ39" i="5"/>
  <c r="DT16" i="5"/>
  <c r="DX16" i="5"/>
  <c r="BK23" i="5"/>
  <c r="CJ18" i="5"/>
  <c r="DY18" i="5"/>
  <c r="BC39" i="5"/>
  <c r="DX11" i="5"/>
  <c r="DT11" i="5"/>
  <c r="DO34" i="5"/>
  <c r="CT35" i="5"/>
  <c r="BC24" i="5"/>
  <c r="DQ51" i="5"/>
  <c r="CH26" i="5"/>
  <c r="EA46" i="5"/>
  <c r="BL32" i="5"/>
  <c r="DP23" i="5"/>
  <c r="DY41" i="5"/>
  <c r="BM12" i="5"/>
  <c r="BI12" i="5"/>
  <c r="BL14" i="5"/>
  <c r="DY26" i="5"/>
  <c r="BM20" i="5"/>
  <c r="DQ16" i="5"/>
  <c r="BC23" i="5"/>
  <c r="BN35" i="5"/>
  <c r="CH18" i="5"/>
  <c r="CR18" i="5"/>
  <c r="DV18" i="5"/>
  <c r="BL39" i="5"/>
  <c r="DY11" i="5"/>
  <c r="DZ34" i="5"/>
  <c r="CJ35" i="5"/>
  <c r="CI30" i="5"/>
  <c r="DV51" i="5"/>
  <c r="DZ51" i="5"/>
  <c r="DU46" i="5"/>
  <c r="DO23" i="5"/>
  <c r="DZ41" i="5"/>
  <c r="EA28" i="5"/>
  <c r="BB12" i="5"/>
  <c r="BH12" i="5"/>
  <c r="DT26" i="5"/>
  <c r="DQ26" i="5"/>
  <c r="BI23" i="5"/>
  <c r="BE23" i="5"/>
  <c r="DU16" i="5"/>
  <c r="BJ23" i="5"/>
  <c r="CE85" i="5"/>
  <c r="CG85" i="5" s="1"/>
  <c r="CI18" i="5"/>
  <c r="DP34" i="5"/>
  <c r="CN35" i="5"/>
  <c r="CO30" i="5"/>
  <c r="DW51" i="5"/>
  <c r="DY15" i="5"/>
  <c r="BC12" i="5"/>
  <c r="DV26" i="5"/>
  <c r="DZ26" i="5"/>
  <c r="CN14" i="5"/>
  <c r="CS11" i="5"/>
  <c r="BB35" i="5"/>
  <c r="BD24" i="5"/>
  <c r="DW45" i="5"/>
  <c r="EA32" i="5"/>
  <c r="EA41" i="5"/>
  <c r="DY35" i="5"/>
  <c r="CH11" i="5"/>
  <c r="BC35" i="5"/>
  <c r="DN45" i="5"/>
  <c r="DP32" i="5"/>
  <c r="DU41" i="5"/>
  <c r="DP35" i="5"/>
  <c r="BD28" i="5"/>
  <c r="CR11" i="5"/>
  <c r="DK68" i="5"/>
  <c r="DY68" i="5" s="1"/>
  <c r="CP30" i="5"/>
  <c r="BJ35" i="5"/>
  <c r="DT32" i="5"/>
  <c r="DW41" i="5"/>
  <c r="DV35" i="5"/>
  <c r="BI28" i="5"/>
  <c r="DQ19" i="5"/>
  <c r="BM93" i="5"/>
  <c r="CE53" i="5"/>
  <c r="CH53" i="5" s="1"/>
  <c r="EA34" i="5"/>
  <c r="CH30" i="5"/>
  <c r="BD35" i="5"/>
  <c r="DM32" i="5"/>
  <c r="CO45" i="5"/>
  <c r="DO35" i="5"/>
  <c r="DN26" i="5"/>
  <c r="CH14" i="5"/>
  <c r="DT22" i="5"/>
  <c r="DO19" i="5"/>
  <c r="BH83" i="5"/>
  <c r="BI83" i="5"/>
  <c r="BD83" i="5"/>
  <c r="DK95" i="5"/>
  <c r="DM95" i="5" s="1"/>
  <c r="BK30" i="5"/>
  <c r="BI30" i="5"/>
  <c r="EA10" i="5"/>
  <c r="DK69" i="5"/>
  <c r="DP69" i="5" s="1"/>
  <c r="BL30" i="5"/>
  <c r="BE30" i="5"/>
  <c r="CK45" i="5"/>
  <c r="BB30" i="5"/>
  <c r="BM30" i="5"/>
  <c r="CS45" i="5"/>
  <c r="BI15" i="5"/>
  <c r="DK88" i="5"/>
  <c r="DT88" i="5" s="1"/>
  <c r="BC30" i="5"/>
  <c r="CN45" i="5"/>
  <c r="BB15" i="5"/>
  <c r="DQ30" i="5"/>
  <c r="CE64" i="5"/>
  <c r="CO64" i="5" s="1"/>
  <c r="CH32" i="5"/>
  <c r="DK64" i="5"/>
  <c r="DV64" i="5" s="1"/>
  <c r="CE81" i="5"/>
  <c r="CS81" i="5" s="1"/>
  <c r="DW18" i="5"/>
  <c r="DT18" i="5"/>
  <c r="DX34" i="5"/>
  <c r="DT34" i="5"/>
  <c r="BA30" i="5"/>
  <c r="CR35" i="5"/>
  <c r="CG35" i="5"/>
  <c r="CJ30" i="5"/>
  <c r="BI35" i="5"/>
  <c r="BE24" i="5"/>
  <c r="DP46" i="5"/>
  <c r="DV46" i="5"/>
  <c r="DQ23" i="5"/>
  <c r="DU23" i="5"/>
  <c r="BL16" i="5"/>
  <c r="DP45" i="5"/>
  <c r="DT15" i="5"/>
  <c r="DN32" i="5"/>
  <c r="DM41" i="5"/>
  <c r="CG45" i="5"/>
  <c r="DM28" i="5"/>
  <c r="DQ35" i="5"/>
  <c r="BE14" i="5"/>
  <c r="CI19" i="5"/>
  <c r="BD20" i="5"/>
  <c r="DW19" i="5"/>
  <c r="DO30" i="5"/>
  <c r="DK83" i="5"/>
  <c r="DX83" i="5" s="1"/>
  <c r="BL86" i="5"/>
  <c r="CR32" i="5"/>
  <c r="DK74" i="5"/>
  <c r="DP74" i="5" s="1"/>
  <c r="BM72" i="5"/>
  <c r="DP18" i="5"/>
  <c r="DQ34" i="5"/>
  <c r="DM34" i="5"/>
  <c r="BJ30" i="5"/>
  <c r="CK35" i="5"/>
  <c r="CO35" i="5"/>
  <c r="BK35" i="5"/>
  <c r="BE35" i="5"/>
  <c r="BA24" i="5"/>
  <c r="DW46" i="5"/>
  <c r="DZ23" i="5"/>
  <c r="DN23" i="5"/>
  <c r="BE16" i="5"/>
  <c r="DU45" i="5"/>
  <c r="DV15" i="5"/>
  <c r="DW32" i="5"/>
  <c r="DV41" i="5"/>
  <c r="CR45" i="5"/>
  <c r="DV28" i="5"/>
  <c r="DZ35" i="5"/>
  <c r="BC14" i="5"/>
  <c r="CJ19" i="5"/>
  <c r="BI20" i="5"/>
  <c r="DU19" i="5"/>
  <c r="DU30" i="5"/>
  <c r="CE93" i="5"/>
  <c r="CO93" i="5" s="1"/>
  <c r="DK90" i="5"/>
  <c r="DZ90" i="5" s="1"/>
  <c r="DP44" i="5"/>
  <c r="DN34" i="5"/>
  <c r="BL35" i="5"/>
  <c r="BM35" i="5"/>
  <c r="EA23" i="5"/>
  <c r="DV45" i="5"/>
  <c r="DZ32" i="5"/>
  <c r="DQ32" i="5"/>
  <c r="DN41" i="5"/>
  <c r="CT45" i="5"/>
  <c r="DX28" i="5"/>
  <c r="EA35" i="5"/>
  <c r="BK14" i="5"/>
  <c r="CN19" i="5"/>
  <c r="DV22" i="5"/>
  <c r="BC28" i="5"/>
  <c r="DZ10" i="5"/>
  <c r="DK91" i="5"/>
  <c r="DN91" i="5" s="1"/>
  <c r="CE66" i="5"/>
  <c r="CJ66" i="5" s="1"/>
  <c r="CE84" i="5"/>
  <c r="CH84" i="5" s="1"/>
  <c r="DK86" i="5"/>
  <c r="DU86" i="5" s="1"/>
  <c r="CE71" i="5"/>
  <c r="CJ71" i="5" s="1"/>
  <c r="DK84" i="5"/>
  <c r="DU84" i="5" s="1"/>
  <c r="BL11" i="5"/>
  <c r="CR19" i="5"/>
  <c r="DY19" i="5"/>
  <c r="DW10" i="5"/>
  <c r="DK93" i="5"/>
  <c r="DZ93" i="5" s="1"/>
  <c r="CE82" i="5"/>
  <c r="CI82" i="5" s="1"/>
  <c r="CE95" i="5"/>
  <c r="CR95" i="5" s="1"/>
  <c r="CE92" i="5"/>
  <c r="CO92" i="5" s="1"/>
  <c r="CE86" i="5"/>
  <c r="CH86" i="5" s="1"/>
  <c r="CQ30" i="5"/>
  <c r="CS30" i="5"/>
  <c r="BL24" i="5"/>
  <c r="BI24" i="5"/>
  <c r="DY45" i="5"/>
  <c r="DX45" i="5"/>
  <c r="BA83" i="5"/>
  <c r="DX15" i="5"/>
  <c r="DM15" i="5"/>
  <c r="DO32" i="5"/>
  <c r="DY32" i="5"/>
  <c r="DO41" i="5"/>
  <c r="DT41" i="5"/>
  <c r="CP45" i="5"/>
  <c r="DN28" i="5"/>
  <c r="BH15" i="5"/>
  <c r="DT35" i="5"/>
  <c r="BM14" i="5"/>
  <c r="BE28" i="5"/>
  <c r="BE20" i="5"/>
  <c r="CG11" i="5"/>
  <c r="DN10" i="5"/>
  <c r="CJ34" i="5"/>
  <c r="DK82" i="5"/>
  <c r="DQ82" i="5" s="1"/>
  <c r="CE67" i="5"/>
  <c r="CS67" i="5" s="1"/>
  <c r="CE65" i="5"/>
  <c r="CP65" i="5" s="1"/>
  <c r="DK92" i="5"/>
  <c r="DQ92" i="5" s="1"/>
  <c r="CR30" i="5"/>
  <c r="CK30" i="5"/>
  <c r="BM24" i="5"/>
  <c r="BH24" i="5"/>
  <c r="EA45" i="5"/>
  <c r="DZ45" i="5"/>
  <c r="DZ15" i="5"/>
  <c r="DU15" i="5"/>
  <c r="DX32" i="5"/>
  <c r="CT40" i="5"/>
  <c r="DP41" i="5"/>
  <c r="CI45" i="5"/>
  <c r="CH45" i="5"/>
  <c r="DT28" i="5"/>
  <c r="DW28" i="5"/>
  <c r="BD15" i="5"/>
  <c r="DU35" i="5"/>
  <c r="BB14" i="5"/>
  <c r="BL28" i="5"/>
  <c r="BJ20" i="5"/>
  <c r="CO11" i="5"/>
  <c r="DO10" i="5"/>
  <c r="CO34" i="5"/>
  <c r="BB82" i="5"/>
  <c r="BD87" i="5"/>
  <c r="DK71" i="5"/>
  <c r="DM71" i="5" s="1"/>
  <c r="DK89" i="5"/>
  <c r="DM89" i="5" s="1"/>
  <c r="CE90" i="5"/>
  <c r="CG90" i="5" s="1"/>
  <c r="CE69" i="5"/>
  <c r="CJ69" i="5" s="1"/>
  <c r="CG30" i="5"/>
  <c r="BJ34" i="5"/>
  <c r="DO45" i="5"/>
  <c r="EA15" i="5"/>
  <c r="DN15" i="5"/>
  <c r="CR40" i="5"/>
  <c r="CJ45" i="5"/>
  <c r="DU28" i="5"/>
  <c r="DX35" i="5"/>
  <c r="DN35" i="5"/>
  <c r="CQ19" i="5"/>
  <c r="BA28" i="5"/>
  <c r="BA20" i="5"/>
  <c r="CT11" i="5"/>
  <c r="DY10" i="5"/>
  <c r="EA30" i="5"/>
  <c r="BI34" i="5"/>
  <c r="CP10" i="5"/>
  <c r="CT10" i="5"/>
  <c r="DO14" i="5"/>
  <c r="DZ14" i="5"/>
  <c r="CS40" i="5"/>
  <c r="BI11" i="5"/>
  <c r="BE11" i="5"/>
  <c r="BJ19" i="5"/>
  <c r="CS23" i="5"/>
  <c r="CH46" i="5"/>
  <c r="DP27" i="5"/>
  <c r="DU27" i="5"/>
  <c r="CP27" i="5"/>
  <c r="CO46" i="5"/>
  <c r="DQ27" i="5"/>
  <c r="EA27" i="5"/>
  <c r="BE40" i="5"/>
  <c r="BL40" i="5"/>
  <c r="CK27" i="5"/>
  <c r="CH27" i="5"/>
  <c r="DY39" i="5"/>
  <c r="DX39" i="5"/>
  <c r="DM40" i="5"/>
  <c r="DP40" i="5"/>
  <c r="BK34" i="5"/>
  <c r="BH34" i="5"/>
  <c r="BC18" i="5"/>
  <c r="CI10" i="5"/>
  <c r="DP14" i="5"/>
  <c r="EA14" i="5"/>
  <c r="CK40" i="5"/>
  <c r="BJ11" i="5"/>
  <c r="BM11" i="5"/>
  <c r="BC15" i="5"/>
  <c r="BH19" i="5"/>
  <c r="BE42" i="5"/>
  <c r="BH22" i="5"/>
  <c r="CP19" i="5"/>
  <c r="DO22" i="5"/>
  <c r="DO42" i="5"/>
  <c r="CJ23" i="5"/>
  <c r="BC44" i="5"/>
  <c r="DX10" i="5"/>
  <c r="DT10" i="5"/>
  <c r="DZ30" i="5"/>
  <c r="CI46" i="5"/>
  <c r="DV27" i="5"/>
  <c r="DT27" i="5"/>
  <c r="CS27" i="5"/>
  <c r="CQ27" i="5"/>
  <c r="BL34" i="5"/>
  <c r="BE34" i="5"/>
  <c r="CN10" i="5"/>
  <c r="DX14" i="5"/>
  <c r="DT14" i="5"/>
  <c r="CP40" i="5"/>
  <c r="BK11" i="5"/>
  <c r="BB19" i="5"/>
  <c r="BB22" i="5"/>
  <c r="CG23" i="5"/>
  <c r="BD44" i="5"/>
  <c r="CR15" i="5"/>
  <c r="DX27" i="5"/>
  <c r="DQ14" i="5"/>
  <c r="CQ40" i="5"/>
  <c r="BH11" i="5"/>
  <c r="BJ22" i="5"/>
  <c r="CS15" i="5"/>
  <c r="CT27" i="5"/>
  <c r="BM34" i="5"/>
  <c r="CQ46" i="5"/>
  <c r="CJ46" i="5"/>
  <c r="BN11" i="5"/>
  <c r="DY27" i="5"/>
  <c r="DW27" i="5"/>
  <c r="BH40" i="5"/>
  <c r="CJ27" i="5"/>
  <c r="CO27" i="5"/>
  <c r="DT39" i="5"/>
  <c r="DV40" i="5"/>
  <c r="EA40" i="5"/>
  <c r="BE53" i="5"/>
  <c r="BB34" i="5"/>
  <c r="BH18" i="5"/>
  <c r="BL18" i="5"/>
  <c r="CJ10" i="5"/>
  <c r="DV14" i="5"/>
  <c r="CG40" i="5"/>
  <c r="CN40" i="5"/>
  <c r="BA11" i="5"/>
  <c r="BK15" i="5"/>
  <c r="BL15" i="5"/>
  <c r="BL19" i="5"/>
  <c r="BM42" i="5"/>
  <c r="BC22" i="5"/>
  <c r="CK19" i="5"/>
  <c r="DT42" i="5"/>
  <c r="DQ42" i="5"/>
  <c r="BE44" i="5"/>
  <c r="CQ15" i="5"/>
  <c r="DP10" i="5"/>
  <c r="DX30" i="5"/>
  <c r="CS46" i="5"/>
  <c r="DO27" i="5"/>
  <c r="CG27" i="5"/>
  <c r="BA34" i="5"/>
  <c r="CP46" i="5"/>
  <c r="CK46" i="5"/>
  <c r="BN19" i="5"/>
  <c r="DZ27" i="5"/>
  <c r="BI40" i="5"/>
  <c r="CI27" i="5"/>
  <c r="DO39" i="5"/>
  <c r="DU39" i="5"/>
  <c r="DN40" i="5"/>
  <c r="DZ40" i="5"/>
  <c r="BC34" i="5"/>
  <c r="BE18" i="5"/>
  <c r="CQ10" i="5"/>
  <c r="CR10" i="5"/>
  <c r="DW14" i="5"/>
  <c r="CH40" i="5"/>
  <c r="CO40" i="5"/>
  <c r="BB11" i="5"/>
  <c r="BA15" i="5"/>
  <c r="BE15" i="5"/>
  <c r="BM19" i="5"/>
  <c r="BH42" i="5"/>
  <c r="BD22" i="5"/>
  <c r="CG19" i="5"/>
  <c r="DU42" i="5"/>
  <c r="DZ42" i="5"/>
  <c r="BK44" i="5"/>
  <c r="CK15" i="5"/>
  <c r="DM10" i="5"/>
  <c r="DY30" i="5"/>
  <c r="CO10" i="5"/>
  <c r="BN22" i="5"/>
  <c r="CR46" i="5"/>
  <c r="BA40" i="5"/>
  <c r="DQ39" i="5"/>
  <c r="BN34" i="5"/>
  <c r="CG10" i="5"/>
  <c r="DY14" i="5"/>
  <c r="CI40" i="5"/>
  <c r="BC11" i="5"/>
  <c r="BJ15" i="5"/>
  <c r="BN42" i="5"/>
  <c r="BI42" i="5"/>
  <c r="CS19" i="5"/>
  <c r="CT19" i="5"/>
  <c r="DY22" i="5"/>
  <c r="EA42" i="5"/>
  <c r="DV42" i="5"/>
  <c r="BB44" i="5"/>
  <c r="CT15" i="5"/>
  <c r="DU10" i="5"/>
  <c r="DV30" i="5"/>
  <c r="DM30" i="5"/>
  <c r="BI22" i="5"/>
  <c r="BK22" i="5"/>
  <c r="CI14" i="5"/>
  <c r="CK14" i="5"/>
  <c r="BK28" i="5"/>
  <c r="CQ11" i="5"/>
  <c r="CN11" i="5"/>
  <c r="DM19" i="5"/>
  <c r="CJ15" i="5"/>
  <c r="CN34" i="5"/>
  <c r="BA22" i="5"/>
  <c r="BL22" i="5"/>
  <c r="CG14" i="5"/>
  <c r="CT14" i="5"/>
  <c r="BM28" i="5"/>
  <c r="CI11" i="5"/>
  <c r="DZ19" i="5"/>
  <c r="DN19" i="5"/>
  <c r="CP15" i="5"/>
  <c r="CG34" i="5"/>
  <c r="CK34" i="5"/>
  <c r="DK50" i="5"/>
  <c r="DQ50" i="5" s="1"/>
  <c r="BE22" i="5"/>
  <c r="CO14" i="5"/>
  <c r="BN28" i="5"/>
  <c r="BJ28" i="5"/>
  <c r="CJ11" i="5"/>
  <c r="EA19" i="5"/>
  <c r="DV19" i="5"/>
  <c r="CG15" i="5"/>
  <c r="CH34" i="5"/>
  <c r="CT34" i="5"/>
  <c r="CH19" i="5"/>
  <c r="DN22" i="5"/>
  <c r="DN42" i="5"/>
  <c r="BB28" i="5"/>
  <c r="BI44" i="5"/>
  <c r="CK11" i="5"/>
  <c r="DP19" i="5"/>
  <c r="CI15" i="5"/>
  <c r="CO15" i="5"/>
  <c r="DQ10" i="5"/>
  <c r="CQ34" i="5"/>
  <c r="DT30" i="5"/>
  <c r="DP30" i="5"/>
  <c r="DK52" i="5"/>
  <c r="DT52" i="5" s="1"/>
  <c r="BA19" i="5"/>
  <c r="CK23" i="5"/>
  <c r="BJ44" i="5"/>
  <c r="CE59" i="5"/>
  <c r="CH59" i="5" s="1"/>
  <c r="BD19" i="5"/>
  <c r="DU22" i="5"/>
  <c r="CO23" i="5"/>
  <c r="BL44" i="5"/>
  <c r="CP23" i="5"/>
  <c r="CT23" i="5"/>
  <c r="BM44" i="5"/>
  <c r="CE50" i="5"/>
  <c r="CH50" i="5" s="1"/>
  <c r="BK19" i="5"/>
  <c r="EA22" i="5"/>
  <c r="CQ23" i="5"/>
  <c r="CN23" i="5"/>
  <c r="BL20" i="5"/>
  <c r="BN44" i="5"/>
  <c r="DX19" i="5"/>
  <c r="CH15" i="5"/>
  <c r="CI34" i="5"/>
  <c r="DP22" i="5"/>
  <c r="BH20" i="5"/>
  <c r="DQ22" i="5"/>
  <c r="CH23" i="5"/>
  <c r="BC20" i="5"/>
  <c r="DX22" i="5"/>
  <c r="CT84" i="5"/>
  <c r="CT41" i="5"/>
  <c r="CS41" i="5"/>
  <c r="CJ41" i="5"/>
  <c r="CR41" i="5"/>
  <c r="CI41" i="5"/>
  <c r="CQ41" i="5"/>
  <c r="CH41" i="5"/>
  <c r="CP41" i="5"/>
  <c r="CG41" i="5"/>
  <c r="CK41" i="5"/>
  <c r="CO41" i="5"/>
  <c r="CN41" i="5"/>
  <c r="BL31" i="5"/>
  <c r="BC31" i="5"/>
  <c r="BK31" i="5"/>
  <c r="BB31" i="5"/>
  <c r="BJ31" i="5"/>
  <c r="BA31" i="5"/>
  <c r="BM31" i="5"/>
  <c r="BD31" i="5"/>
  <c r="BI31" i="5"/>
  <c r="BN31" i="5"/>
  <c r="BH31" i="5"/>
  <c r="BE31" i="5"/>
  <c r="DK55" i="5"/>
  <c r="CT51" i="5"/>
  <c r="CS51" i="5"/>
  <c r="CK51" i="5"/>
  <c r="CR51" i="5"/>
  <c r="CJ51" i="5"/>
  <c r="CO51" i="5"/>
  <c r="CN51" i="5"/>
  <c r="CI51" i="5"/>
  <c r="CH51" i="5"/>
  <c r="CG51" i="5"/>
  <c r="CQ51" i="5"/>
  <c r="CP51" i="5"/>
  <c r="DK94" i="5"/>
  <c r="BM26" i="5"/>
  <c r="BE26" i="5"/>
  <c r="BJ26" i="5"/>
  <c r="BA26" i="5"/>
  <c r="BI26" i="5"/>
  <c r="BH26" i="5"/>
  <c r="BK26" i="5"/>
  <c r="BB26" i="5"/>
  <c r="BD26" i="5"/>
  <c r="BC26" i="5"/>
  <c r="BL26" i="5"/>
  <c r="BK33" i="5"/>
  <c r="BC33" i="5"/>
  <c r="BM33" i="5"/>
  <c r="BD33" i="5"/>
  <c r="BL33" i="5"/>
  <c r="BB33" i="5"/>
  <c r="BJ33" i="5"/>
  <c r="BA33" i="5"/>
  <c r="BE33" i="5"/>
  <c r="BI33" i="5"/>
  <c r="BH33" i="5"/>
  <c r="BN33" i="5"/>
  <c r="BL45" i="5"/>
  <c r="BD45" i="5"/>
  <c r="BE45" i="5"/>
  <c r="BM45" i="5"/>
  <c r="BC45" i="5"/>
  <c r="BK45" i="5"/>
  <c r="BB45" i="5"/>
  <c r="BJ45" i="5"/>
  <c r="BA45" i="5"/>
  <c r="BI45" i="5"/>
  <c r="BH45" i="5"/>
  <c r="BN45" i="5"/>
  <c r="DK81" i="5"/>
  <c r="CE80" i="5"/>
  <c r="DX43" i="5"/>
  <c r="DP43" i="5"/>
  <c r="DT43" i="5"/>
  <c r="EA43" i="5"/>
  <c r="DZ43" i="5"/>
  <c r="DQ43" i="5"/>
  <c r="DU43" i="5"/>
  <c r="DO43" i="5"/>
  <c r="DN43" i="5"/>
  <c r="DM43" i="5"/>
  <c r="DV43" i="5"/>
  <c r="DY43" i="5"/>
  <c r="DW43" i="5"/>
  <c r="EA29" i="5"/>
  <c r="DU29" i="5"/>
  <c r="DT29" i="5"/>
  <c r="DV29" i="5"/>
  <c r="DM29" i="5"/>
  <c r="DP29" i="5"/>
  <c r="DO29" i="5"/>
  <c r="DN29" i="5"/>
  <c r="DZ29" i="5"/>
  <c r="DY29" i="5"/>
  <c r="DX29" i="5"/>
  <c r="DW29" i="5"/>
  <c r="DQ29" i="5"/>
  <c r="CE94" i="5"/>
  <c r="BB93" i="5"/>
  <c r="BH47" i="5"/>
  <c r="BJ47" i="5"/>
  <c r="BI47" i="5"/>
  <c r="BE47" i="5"/>
  <c r="BA47" i="5"/>
  <c r="BM47" i="5"/>
  <c r="BL47" i="5"/>
  <c r="BK47" i="5"/>
  <c r="BD47" i="5"/>
  <c r="BC47" i="5"/>
  <c r="BB47" i="5"/>
  <c r="BN47" i="5"/>
  <c r="BD53" i="5"/>
  <c r="DK79" i="5"/>
  <c r="CR9" i="5"/>
  <c r="CJ9" i="5"/>
  <c r="CQ9" i="5"/>
  <c r="CI9" i="5"/>
  <c r="CP9" i="5"/>
  <c r="CH9" i="5"/>
  <c r="CS9" i="5"/>
  <c r="CK9" i="5"/>
  <c r="CT9" i="5"/>
  <c r="CO9" i="5"/>
  <c r="CN9" i="5"/>
  <c r="DX91" i="5"/>
  <c r="BA49" i="5"/>
  <c r="BH49" i="5"/>
  <c r="DZ9" i="5"/>
  <c r="DY9" i="5"/>
  <c r="DQ9" i="5"/>
  <c r="DX9" i="5"/>
  <c r="DP9" i="5"/>
  <c r="EA9" i="5"/>
  <c r="DN9" i="5"/>
  <c r="DM9" i="5"/>
  <c r="DO9" i="5"/>
  <c r="DW9" i="5"/>
  <c r="DV9" i="5"/>
  <c r="DU9" i="5"/>
  <c r="DT9" i="5"/>
  <c r="CR88" i="5"/>
  <c r="DK57" i="5"/>
  <c r="BN54" i="5"/>
  <c r="CE77" i="5"/>
  <c r="DZ13" i="5"/>
  <c r="DY13" i="5"/>
  <c r="DQ13" i="5"/>
  <c r="DX13" i="5"/>
  <c r="DP13" i="5"/>
  <c r="EA13" i="5"/>
  <c r="DT13" i="5"/>
  <c r="DO13" i="5"/>
  <c r="DN13" i="5"/>
  <c r="DU13" i="5"/>
  <c r="DM13" i="5"/>
  <c r="DW13" i="5"/>
  <c r="DV13" i="5"/>
  <c r="BL10" i="5"/>
  <c r="BD10" i="5"/>
  <c r="BK10" i="5"/>
  <c r="BC10" i="5"/>
  <c r="BJ10" i="5"/>
  <c r="BB10" i="5"/>
  <c r="BM10" i="5"/>
  <c r="BE10" i="5"/>
  <c r="BA10" i="5"/>
  <c r="BH10" i="5"/>
  <c r="BI10" i="5"/>
  <c r="CE57" i="5"/>
  <c r="CE79" i="5"/>
  <c r="CQ36" i="5"/>
  <c r="CI36" i="5"/>
  <c r="CP36" i="5"/>
  <c r="CH36" i="5"/>
  <c r="CO36" i="5"/>
  <c r="CG36" i="5"/>
  <c r="CN36" i="5"/>
  <c r="CK36" i="5"/>
  <c r="CJ36" i="5"/>
  <c r="CR36" i="5"/>
  <c r="CT36" i="5"/>
  <c r="CS36" i="5"/>
  <c r="DK62" i="5"/>
  <c r="BN67" i="5"/>
  <c r="DZ21" i="5"/>
  <c r="DY21" i="5"/>
  <c r="DQ21" i="5"/>
  <c r="DX21" i="5"/>
  <c r="DP21" i="5"/>
  <c r="EA21" i="5"/>
  <c r="DN21" i="5"/>
  <c r="DM21" i="5"/>
  <c r="DO21" i="5"/>
  <c r="DW21" i="5"/>
  <c r="DT21" i="5"/>
  <c r="DV21" i="5"/>
  <c r="DU21" i="5"/>
  <c r="DK77" i="5"/>
  <c r="BM27" i="5"/>
  <c r="BD27" i="5"/>
  <c r="BL27" i="5"/>
  <c r="BC27" i="5"/>
  <c r="BK27" i="5"/>
  <c r="BB27" i="5"/>
  <c r="BE27" i="5"/>
  <c r="BJ27" i="5"/>
  <c r="BI27" i="5"/>
  <c r="BH27" i="5"/>
  <c r="BA27" i="5"/>
  <c r="BN27" i="5"/>
  <c r="CQ47" i="5"/>
  <c r="CI47" i="5"/>
  <c r="CP47" i="5"/>
  <c r="CH47" i="5"/>
  <c r="CO47" i="5"/>
  <c r="CG47" i="5"/>
  <c r="CN47" i="5"/>
  <c r="CK47" i="5"/>
  <c r="CJ47" i="5"/>
  <c r="CR47" i="5"/>
  <c r="CT47" i="5"/>
  <c r="CS47" i="5"/>
  <c r="BN78" i="5"/>
  <c r="DK63" i="5"/>
  <c r="CP39" i="5"/>
  <c r="CH39" i="5"/>
  <c r="CS39" i="5"/>
  <c r="CJ39" i="5"/>
  <c r="CR39" i="5"/>
  <c r="CI39" i="5"/>
  <c r="CQ39" i="5"/>
  <c r="CG39" i="5"/>
  <c r="CO39" i="5"/>
  <c r="CT39" i="5"/>
  <c r="CN39" i="5"/>
  <c r="CK39" i="5"/>
  <c r="EA25" i="5"/>
  <c r="DV25" i="5"/>
  <c r="DM25" i="5"/>
  <c r="DU25" i="5"/>
  <c r="DT25" i="5"/>
  <c r="DW25" i="5"/>
  <c r="DN25" i="5"/>
  <c r="DP25" i="5"/>
  <c r="DO25" i="5"/>
  <c r="DZ25" i="5"/>
  <c r="DQ25" i="5"/>
  <c r="DY25" i="5"/>
  <c r="DX25" i="5"/>
  <c r="CP12" i="5"/>
  <c r="CH12" i="5"/>
  <c r="CO12" i="5"/>
  <c r="CG12" i="5"/>
  <c r="CN12" i="5"/>
  <c r="CQ12" i="5"/>
  <c r="CI12" i="5"/>
  <c r="CR12" i="5"/>
  <c r="CS12" i="5"/>
  <c r="CT12" i="5"/>
  <c r="CK12" i="5"/>
  <c r="CJ12" i="5"/>
  <c r="CE73" i="5"/>
  <c r="DK59" i="5"/>
  <c r="BE56" i="5"/>
  <c r="DZ89" i="5"/>
  <c r="EA37" i="5"/>
  <c r="DZ37" i="5"/>
  <c r="DY37" i="5"/>
  <c r="DQ37" i="5"/>
  <c r="DX37" i="5"/>
  <c r="DP37" i="5"/>
  <c r="DN37" i="5"/>
  <c r="DM37" i="5"/>
  <c r="DO37" i="5"/>
  <c r="DW37" i="5"/>
  <c r="DV37" i="5"/>
  <c r="DU37" i="5"/>
  <c r="DT37" i="5"/>
  <c r="DK67" i="5"/>
  <c r="DY36" i="5"/>
  <c r="DQ36" i="5"/>
  <c r="DX36" i="5"/>
  <c r="DP36" i="5"/>
  <c r="DW36" i="5"/>
  <c r="DO36" i="5"/>
  <c r="DV36" i="5"/>
  <c r="DN36" i="5"/>
  <c r="DM36" i="5"/>
  <c r="DT36" i="5"/>
  <c r="DU36" i="5"/>
  <c r="EA36" i="5"/>
  <c r="DZ36" i="5"/>
  <c r="DY47" i="5"/>
  <c r="DQ47" i="5"/>
  <c r="DX47" i="5"/>
  <c r="DP47" i="5"/>
  <c r="DW47" i="5"/>
  <c r="DO47" i="5"/>
  <c r="DV47" i="5"/>
  <c r="DN47" i="5"/>
  <c r="DM47" i="5"/>
  <c r="EA47" i="5"/>
  <c r="DZ47" i="5"/>
  <c r="DU47" i="5"/>
  <c r="DT47" i="5"/>
  <c r="DX20" i="5"/>
  <c r="DP20" i="5"/>
  <c r="DW20" i="5"/>
  <c r="DO20" i="5"/>
  <c r="DV20" i="5"/>
  <c r="DN20" i="5"/>
  <c r="DY20" i="5"/>
  <c r="DQ20" i="5"/>
  <c r="DM20" i="5"/>
  <c r="DT20" i="5"/>
  <c r="EA20" i="5"/>
  <c r="DZ20" i="5"/>
  <c r="DU20" i="5"/>
  <c r="CE62" i="5"/>
  <c r="CP24" i="5"/>
  <c r="CH24" i="5"/>
  <c r="CO24" i="5"/>
  <c r="CG24" i="5"/>
  <c r="CN24" i="5"/>
  <c r="CQ24" i="5"/>
  <c r="CI24" i="5"/>
  <c r="CK24" i="5"/>
  <c r="CJ24" i="5"/>
  <c r="CT24" i="5"/>
  <c r="CS24" i="5"/>
  <c r="CR24" i="5"/>
  <c r="DK49" i="5"/>
  <c r="CE89" i="5"/>
  <c r="DW31" i="5"/>
  <c r="DO31" i="5"/>
  <c r="EA31" i="5"/>
  <c r="DZ31" i="5"/>
  <c r="DQ31" i="5"/>
  <c r="DT31" i="5"/>
  <c r="DY31" i="5"/>
  <c r="DX31" i="5"/>
  <c r="DV31" i="5"/>
  <c r="DU31" i="5"/>
  <c r="DP31" i="5"/>
  <c r="DN31" i="5"/>
  <c r="DM31" i="5"/>
  <c r="CR44" i="5"/>
  <c r="CJ44" i="5"/>
  <c r="CT44" i="5"/>
  <c r="CK44" i="5"/>
  <c r="CS44" i="5"/>
  <c r="CI44" i="5"/>
  <c r="CQ44" i="5"/>
  <c r="CP44" i="5"/>
  <c r="CO44" i="5"/>
  <c r="CG44" i="5"/>
  <c r="CN44" i="5"/>
  <c r="CH44" i="5"/>
  <c r="DK66" i="5"/>
  <c r="CE78" i="5"/>
  <c r="CE76" i="5"/>
  <c r="BM51" i="5"/>
  <c r="BE51" i="5"/>
  <c r="BL51" i="5"/>
  <c r="BD51" i="5"/>
  <c r="BK51" i="5"/>
  <c r="BC51" i="5"/>
  <c r="BJ51" i="5"/>
  <c r="BB51" i="5"/>
  <c r="BA51" i="5"/>
  <c r="BI51" i="5"/>
  <c r="BH51" i="5"/>
  <c r="CE52" i="5"/>
  <c r="BK29" i="5"/>
  <c r="BC29" i="5"/>
  <c r="BE29" i="5"/>
  <c r="BM29" i="5"/>
  <c r="BD29" i="5"/>
  <c r="BL29" i="5"/>
  <c r="BB29" i="5"/>
  <c r="BJ29" i="5"/>
  <c r="BI29" i="5"/>
  <c r="BH29" i="5"/>
  <c r="BA29" i="5"/>
  <c r="BN29" i="5"/>
  <c r="DK53" i="5"/>
  <c r="DK73" i="5"/>
  <c r="CO31" i="5"/>
  <c r="CG31" i="5"/>
  <c r="CP31" i="5"/>
  <c r="CN31" i="5"/>
  <c r="CQ31" i="5"/>
  <c r="CH31" i="5"/>
  <c r="CR31" i="5"/>
  <c r="CT31" i="5"/>
  <c r="CS31" i="5"/>
  <c r="CK31" i="5"/>
  <c r="CJ31" i="5"/>
  <c r="CI31" i="5"/>
  <c r="BC72" i="5"/>
  <c r="BB72" i="5"/>
  <c r="DK58" i="5"/>
  <c r="BM77" i="5"/>
  <c r="CP43" i="5"/>
  <c r="CH43" i="5"/>
  <c r="CQ43" i="5"/>
  <c r="CG43" i="5"/>
  <c r="CO43" i="5"/>
  <c r="CN43" i="5"/>
  <c r="CK43" i="5"/>
  <c r="CJ43" i="5"/>
  <c r="CI43" i="5"/>
  <c r="CR43" i="5"/>
  <c r="CS43" i="5"/>
  <c r="CT43" i="5"/>
  <c r="DK54" i="5"/>
  <c r="CP16" i="5"/>
  <c r="CH16" i="5"/>
  <c r="CO16" i="5"/>
  <c r="CG16" i="5"/>
  <c r="CN16" i="5"/>
  <c r="CQ16" i="5"/>
  <c r="CI16" i="5"/>
  <c r="CR16" i="5"/>
  <c r="CS16" i="5"/>
  <c r="CK16" i="5"/>
  <c r="CT16" i="5"/>
  <c r="CJ16" i="5"/>
  <c r="DK87" i="5"/>
  <c r="CE63" i="5"/>
  <c r="CS25" i="5"/>
  <c r="CR25" i="5"/>
  <c r="CJ25" i="5"/>
  <c r="CQ25" i="5"/>
  <c r="CI25" i="5"/>
  <c r="CP25" i="5"/>
  <c r="CH25" i="5"/>
  <c r="CT25" i="5"/>
  <c r="CK25" i="5"/>
  <c r="CG25" i="5"/>
  <c r="CN25" i="5"/>
  <c r="CO25" i="5"/>
  <c r="CS37" i="5"/>
  <c r="CK37" i="5"/>
  <c r="CR37" i="5"/>
  <c r="CJ37" i="5"/>
  <c r="CQ37" i="5"/>
  <c r="CI37" i="5"/>
  <c r="CP37" i="5"/>
  <c r="CH37" i="5"/>
  <c r="CG37" i="5"/>
  <c r="CT37" i="5"/>
  <c r="CO37" i="5"/>
  <c r="CN37" i="5"/>
  <c r="CR21" i="5"/>
  <c r="CJ21" i="5"/>
  <c r="CQ21" i="5"/>
  <c r="CI21" i="5"/>
  <c r="CP21" i="5"/>
  <c r="CH21" i="5"/>
  <c r="CS21" i="5"/>
  <c r="CK21" i="5"/>
  <c r="CG21" i="5"/>
  <c r="CO21" i="5"/>
  <c r="CT21" i="5"/>
  <c r="CN21" i="5"/>
  <c r="DK70" i="5"/>
  <c r="DK72" i="5"/>
  <c r="CE49" i="5"/>
  <c r="CE56" i="5"/>
  <c r="BI36" i="5"/>
  <c r="BA36" i="5"/>
  <c r="BH36" i="5"/>
  <c r="BC36" i="5"/>
  <c r="BB36" i="5"/>
  <c r="BM36" i="5"/>
  <c r="BD36" i="5"/>
  <c r="BL36" i="5"/>
  <c r="BK36" i="5"/>
  <c r="BJ36" i="5"/>
  <c r="BE36" i="5"/>
  <c r="BN36" i="5"/>
  <c r="DK78" i="5"/>
  <c r="BJ25" i="5"/>
  <c r="BB25" i="5"/>
  <c r="BI25" i="5"/>
  <c r="BA25" i="5"/>
  <c r="BH25" i="5"/>
  <c r="BK25" i="5"/>
  <c r="BC25" i="5"/>
  <c r="BD25" i="5"/>
  <c r="BM25" i="5"/>
  <c r="BE25" i="5"/>
  <c r="BL25" i="5"/>
  <c r="BN25" i="5"/>
  <c r="CE55" i="5"/>
  <c r="DK48" i="5"/>
  <c r="BJ21" i="5"/>
  <c r="BB21" i="5"/>
  <c r="BI21" i="5"/>
  <c r="BA21" i="5"/>
  <c r="BH21" i="5"/>
  <c r="BK21" i="5"/>
  <c r="BC21" i="5"/>
  <c r="BE21" i="5"/>
  <c r="BD21" i="5"/>
  <c r="BN21" i="5"/>
  <c r="BM21" i="5"/>
  <c r="BL21" i="5"/>
  <c r="BJ9" i="5"/>
  <c r="BB9" i="5"/>
  <c r="BI9" i="5"/>
  <c r="BH9" i="5"/>
  <c r="BK9" i="5"/>
  <c r="BC9" i="5"/>
  <c r="BM9" i="5"/>
  <c r="BD9" i="5"/>
  <c r="BE9" i="5"/>
  <c r="BL9" i="5"/>
  <c r="CP20" i="5"/>
  <c r="CH20" i="5"/>
  <c r="CO20" i="5"/>
  <c r="CG20" i="5"/>
  <c r="CN20" i="5"/>
  <c r="CQ20" i="5"/>
  <c r="CI20" i="5"/>
  <c r="CK20" i="5"/>
  <c r="CR20" i="5"/>
  <c r="CJ20" i="5"/>
  <c r="CT20" i="5"/>
  <c r="CS20" i="5"/>
  <c r="BN73" i="5"/>
  <c r="DK80" i="5"/>
  <c r="BJ17" i="5"/>
  <c r="BB17" i="5"/>
  <c r="BI17" i="5"/>
  <c r="BA17" i="5"/>
  <c r="BH17" i="5"/>
  <c r="BK17" i="5"/>
  <c r="BC17" i="5"/>
  <c r="BE17" i="5"/>
  <c r="BD17" i="5"/>
  <c r="BM17" i="5"/>
  <c r="BL17" i="5"/>
  <c r="BN17" i="5"/>
  <c r="BH43" i="5"/>
  <c r="BM43" i="5"/>
  <c r="BD43" i="5"/>
  <c r="BL43" i="5"/>
  <c r="BC43" i="5"/>
  <c r="BK43" i="5"/>
  <c r="BB43" i="5"/>
  <c r="BJ43" i="5"/>
  <c r="BA43" i="5"/>
  <c r="BE43" i="5"/>
  <c r="BI43" i="5"/>
  <c r="BN43" i="5"/>
  <c r="BJ13" i="5"/>
  <c r="BB13" i="5"/>
  <c r="BI13" i="5"/>
  <c r="BA13" i="5"/>
  <c r="BH13" i="5"/>
  <c r="BK13" i="5"/>
  <c r="BC13" i="5"/>
  <c r="BE13" i="5"/>
  <c r="BL13" i="5"/>
  <c r="BN13" i="5"/>
  <c r="BM13" i="5"/>
  <c r="BD13" i="5"/>
  <c r="CE87" i="5"/>
  <c r="CE58" i="5"/>
  <c r="DX24" i="5"/>
  <c r="DP24" i="5"/>
  <c r="DW24" i="5"/>
  <c r="DO24" i="5"/>
  <c r="DV24" i="5"/>
  <c r="DN24" i="5"/>
  <c r="DY24" i="5"/>
  <c r="DQ24" i="5"/>
  <c r="DM24" i="5"/>
  <c r="EA24" i="5"/>
  <c r="DU24" i="5"/>
  <c r="DT24" i="5"/>
  <c r="DZ24" i="5"/>
  <c r="BN79" i="5"/>
  <c r="DX12" i="5"/>
  <c r="DP12" i="5"/>
  <c r="DW12" i="5"/>
  <c r="DO12" i="5"/>
  <c r="DV12" i="5"/>
  <c r="DN12" i="5"/>
  <c r="DY12" i="5"/>
  <c r="DQ12" i="5"/>
  <c r="DU12" i="5"/>
  <c r="DT12" i="5"/>
  <c r="DZ12" i="5"/>
  <c r="EA12" i="5"/>
  <c r="DM12" i="5"/>
  <c r="BK37" i="5"/>
  <c r="BC37" i="5"/>
  <c r="BJ37" i="5"/>
  <c r="BB37" i="5"/>
  <c r="BI37" i="5"/>
  <c r="BA37" i="5"/>
  <c r="BH37" i="5"/>
  <c r="BD37" i="5"/>
  <c r="BE37" i="5"/>
  <c r="BM37" i="5"/>
  <c r="BL37" i="5"/>
  <c r="BN37" i="5"/>
  <c r="CE74" i="5"/>
  <c r="DZ17" i="5"/>
  <c r="DY17" i="5"/>
  <c r="DQ17" i="5"/>
  <c r="DX17" i="5"/>
  <c r="DP17" i="5"/>
  <c r="EA17" i="5"/>
  <c r="DO17" i="5"/>
  <c r="DN17" i="5"/>
  <c r="DM17" i="5"/>
  <c r="DT17" i="5"/>
  <c r="DW17" i="5"/>
  <c r="DV17" i="5"/>
  <c r="DU17" i="5"/>
  <c r="CE91" i="5"/>
  <c r="CE70" i="5"/>
  <c r="CE72" i="5"/>
  <c r="DK65" i="5"/>
  <c r="DK56" i="5"/>
  <c r="CR17" i="5"/>
  <c r="CJ17" i="5"/>
  <c r="CQ17" i="5"/>
  <c r="CI17" i="5"/>
  <c r="CP17" i="5"/>
  <c r="CH17" i="5"/>
  <c r="CS17" i="5"/>
  <c r="CK17" i="5"/>
  <c r="CG17" i="5"/>
  <c r="CN17" i="5"/>
  <c r="CT17" i="5"/>
  <c r="CO17" i="5"/>
  <c r="CQ28" i="5"/>
  <c r="CI28" i="5"/>
  <c r="CT28" i="5"/>
  <c r="CK28" i="5"/>
  <c r="CS28" i="5"/>
  <c r="CJ28" i="5"/>
  <c r="CR28" i="5"/>
  <c r="CP28" i="5"/>
  <c r="CO28" i="5"/>
  <c r="CN28" i="5"/>
  <c r="CH28" i="5"/>
  <c r="CG28" i="5"/>
  <c r="CE54" i="5"/>
  <c r="BN56" i="5"/>
  <c r="CE68" i="5"/>
  <c r="CT22" i="5"/>
  <c r="CS22" i="5"/>
  <c r="CK22" i="5"/>
  <c r="CR22" i="5"/>
  <c r="CJ22" i="5"/>
  <c r="CO22" i="5"/>
  <c r="CN22" i="5"/>
  <c r="CI22" i="5"/>
  <c r="CP22" i="5"/>
  <c r="CQ22" i="5"/>
  <c r="CH22" i="5"/>
  <c r="CG22" i="5"/>
  <c r="BN10" i="5"/>
  <c r="CE48" i="5"/>
  <c r="BM38" i="5"/>
  <c r="BE38" i="5"/>
  <c r="BL38" i="5"/>
  <c r="BD38" i="5"/>
  <c r="BK38" i="5"/>
  <c r="BC38" i="5"/>
  <c r="BJ38" i="5"/>
  <c r="BB38" i="5"/>
  <c r="BA38" i="5"/>
  <c r="BI38" i="5"/>
  <c r="BH38" i="5"/>
  <c r="CT38" i="5"/>
  <c r="CS38" i="5"/>
  <c r="CK38" i="5"/>
  <c r="CR38" i="5"/>
  <c r="CJ38" i="5"/>
  <c r="CH38" i="5"/>
  <c r="CG38" i="5"/>
  <c r="CI38" i="5"/>
  <c r="CQ38" i="5"/>
  <c r="CP38" i="5"/>
  <c r="CO38" i="5"/>
  <c r="CN38" i="5"/>
  <c r="EA33" i="5"/>
  <c r="DT33" i="5"/>
  <c r="DZ33" i="5"/>
  <c r="DQ33" i="5"/>
  <c r="DU33" i="5"/>
  <c r="DO33" i="5"/>
  <c r="DN33" i="5"/>
  <c r="DM33" i="5"/>
  <c r="DY33" i="5"/>
  <c r="DX33" i="5"/>
  <c r="DW33" i="5"/>
  <c r="DV33" i="5"/>
  <c r="DP33" i="5"/>
  <c r="BL41" i="5"/>
  <c r="BD41" i="5"/>
  <c r="BE41" i="5"/>
  <c r="BM41" i="5"/>
  <c r="BC41" i="5"/>
  <c r="BK41" i="5"/>
  <c r="BJ41" i="5"/>
  <c r="BI41" i="5"/>
  <c r="BH41" i="5"/>
  <c r="BB41" i="5"/>
  <c r="BA41" i="5"/>
  <c r="BL85" i="5" l="1"/>
  <c r="BH85" i="5"/>
  <c r="CH64" i="5"/>
  <c r="CP64" i="5"/>
  <c r="CO83" i="5"/>
  <c r="DU82" i="5"/>
  <c r="CH67" i="5"/>
  <c r="CI67" i="5"/>
  <c r="BB95" i="5"/>
  <c r="BJ95" i="5"/>
  <c r="CI83" i="5"/>
  <c r="CN83" i="5"/>
  <c r="BH84" i="5"/>
  <c r="CT95" i="5"/>
  <c r="BA68" i="5"/>
  <c r="BD68" i="5"/>
  <c r="CG65" i="5"/>
  <c r="CP67" i="5"/>
  <c r="CN75" i="5"/>
  <c r="CQ84" i="5"/>
  <c r="DP64" i="5"/>
  <c r="CG67" i="5"/>
  <c r="CT93" i="5"/>
  <c r="BC77" i="5"/>
  <c r="BH77" i="5"/>
  <c r="BI77" i="5"/>
  <c r="DZ85" i="5"/>
  <c r="BJ77" i="5"/>
  <c r="BE77" i="5"/>
  <c r="DO74" i="5"/>
  <c r="BE83" i="5"/>
  <c r="BI88" i="5"/>
  <c r="DQ88" i="5"/>
  <c r="BB83" i="5"/>
  <c r="FG38" i="5"/>
  <c r="DX74" i="5"/>
  <c r="CR83" i="5"/>
  <c r="DW69" i="5"/>
  <c r="CN88" i="5"/>
  <c r="DM84" i="5"/>
  <c r="BB88" i="5"/>
  <c r="BJ83" i="5"/>
  <c r="CT75" i="5"/>
  <c r="DM69" i="5"/>
  <c r="EK21" i="5"/>
  <c r="EL21" i="5" s="1"/>
  <c r="CG83" i="5"/>
  <c r="CK83" i="5"/>
  <c r="DO69" i="5"/>
  <c r="CO88" i="5"/>
  <c r="CO66" i="5"/>
  <c r="DM68" i="5"/>
  <c r="BE88" i="5"/>
  <c r="BC83" i="5"/>
  <c r="EK23" i="5"/>
  <c r="EM23" i="5" s="1"/>
  <c r="EN23" i="5" s="1"/>
  <c r="CJ92" i="5"/>
  <c r="CT53" i="5"/>
  <c r="CH83" i="5"/>
  <c r="CS83" i="5"/>
  <c r="CP88" i="5"/>
  <c r="DN68" i="5"/>
  <c r="BK83" i="5"/>
  <c r="BM83" i="5"/>
  <c r="CS75" i="5"/>
  <c r="CJ83" i="5"/>
  <c r="CQ83" i="5"/>
  <c r="CG88" i="5"/>
  <c r="BL83" i="5"/>
  <c r="CK75" i="5"/>
  <c r="DT89" i="5"/>
  <c r="DU52" i="5"/>
  <c r="DV85" i="5"/>
  <c r="EK20" i="5"/>
  <c r="EM20" i="5" s="1"/>
  <c r="EN20" i="5" s="1"/>
  <c r="EO20" i="5" s="1"/>
  <c r="DP89" i="5"/>
  <c r="DN85" i="5"/>
  <c r="DQ85" i="5"/>
  <c r="EK28" i="5"/>
  <c r="EM28" i="5" s="1"/>
  <c r="EN28" i="5" s="1"/>
  <c r="EO28" i="5" s="1"/>
  <c r="CU35" i="5"/>
  <c r="FS35" i="5" s="1"/>
  <c r="BD75" i="5"/>
  <c r="DY85" i="5"/>
  <c r="EK18" i="5"/>
  <c r="EM18" i="5" s="1"/>
  <c r="EN18" i="5" s="1"/>
  <c r="EK26" i="5"/>
  <c r="EM26" i="5" s="1"/>
  <c r="DZ50" i="5"/>
  <c r="BN75" i="5"/>
  <c r="EA50" i="5"/>
  <c r="DU85" i="5"/>
  <c r="EK43" i="5"/>
  <c r="EM43" i="5" s="1"/>
  <c r="BA81" i="5"/>
  <c r="EK13" i="5"/>
  <c r="EL13" i="5" s="1"/>
  <c r="EK31" i="5"/>
  <c r="EM31" i="5" s="1"/>
  <c r="EK33" i="5"/>
  <c r="EL33" i="5" s="1"/>
  <c r="EK24" i="5"/>
  <c r="EL24" i="5" s="1"/>
  <c r="CK59" i="5"/>
  <c r="EK45" i="5"/>
  <c r="EM45" i="5" s="1"/>
  <c r="EK16" i="5"/>
  <c r="EL16" i="5" s="1"/>
  <c r="EK47" i="5"/>
  <c r="EL47" i="5" s="1"/>
  <c r="EK19" i="5"/>
  <c r="EM19" i="5" s="1"/>
  <c r="EN19" i="5" s="1"/>
  <c r="EO19" i="5" s="1"/>
  <c r="EK11" i="5"/>
  <c r="EM11" i="5" s="1"/>
  <c r="EN11" i="5" s="1"/>
  <c r="EO11" i="5" s="1"/>
  <c r="EK10" i="5"/>
  <c r="EK9" i="5"/>
  <c r="EK29" i="5"/>
  <c r="EL29" i="5" s="1"/>
  <c r="EK51" i="5"/>
  <c r="EL51" i="5" s="1"/>
  <c r="EK44" i="5"/>
  <c r="EL44" i="5" s="1"/>
  <c r="EK15" i="5"/>
  <c r="EL15" i="5" s="1"/>
  <c r="EK12" i="5"/>
  <c r="EL12" i="5" s="1"/>
  <c r="EK17" i="5"/>
  <c r="EL17" i="5" s="1"/>
  <c r="EK40" i="5"/>
  <c r="EM40" i="5" s="1"/>
  <c r="EK30" i="5"/>
  <c r="EK39" i="5"/>
  <c r="EM39" i="5" s="1"/>
  <c r="EN39" i="5" s="1"/>
  <c r="EK46" i="5"/>
  <c r="EM46" i="5" s="1"/>
  <c r="EN46" i="5" s="1"/>
  <c r="EO46" i="5" s="1"/>
  <c r="EK41" i="5"/>
  <c r="EK22" i="5"/>
  <c r="EM22" i="5" s="1"/>
  <c r="EN22" i="5" s="1"/>
  <c r="EK35" i="5"/>
  <c r="EM35" i="5" s="1"/>
  <c r="EN35" i="5" s="1"/>
  <c r="EK32" i="5"/>
  <c r="EM32" i="5" s="1"/>
  <c r="EN32" i="5" s="1"/>
  <c r="EK42" i="5"/>
  <c r="EM42" i="5" s="1"/>
  <c r="EN42" i="5" s="1"/>
  <c r="EO42" i="5" s="1"/>
  <c r="CU33" i="5"/>
  <c r="FN33" i="5" s="1"/>
  <c r="EK27" i="5"/>
  <c r="EM27" i="5" s="1"/>
  <c r="EK37" i="5"/>
  <c r="EK25" i="5"/>
  <c r="EL25" i="5" s="1"/>
  <c r="EK36" i="5"/>
  <c r="EK34" i="5"/>
  <c r="EM34" i="5" s="1"/>
  <c r="EK14" i="5"/>
  <c r="EM14" i="5" s="1"/>
  <c r="EN14" i="5" s="1"/>
  <c r="EO14" i="5" s="1"/>
  <c r="EK38" i="5"/>
  <c r="EM38" i="5" s="1"/>
  <c r="CN59" i="5"/>
  <c r="DY69" i="5"/>
  <c r="EA89" i="5"/>
  <c r="DO64" i="5"/>
  <c r="BI49" i="5"/>
  <c r="DN86" i="5"/>
  <c r="DZ74" i="5"/>
  <c r="DT90" i="5"/>
  <c r="DT68" i="5"/>
  <c r="DQ89" i="5"/>
  <c r="CO59" i="5"/>
  <c r="DW64" i="5"/>
  <c r="DQ90" i="5"/>
  <c r="DZ68" i="5"/>
  <c r="CU27" i="5"/>
  <c r="FN27" i="5" s="1"/>
  <c r="BN92" i="5"/>
  <c r="BE68" i="5"/>
  <c r="BN49" i="5"/>
  <c r="CI59" i="5"/>
  <c r="BN95" i="5"/>
  <c r="BB87" i="5"/>
  <c r="CS95" i="5"/>
  <c r="BK85" i="5"/>
  <c r="BI92" i="5"/>
  <c r="BN64" i="5"/>
  <c r="CP83" i="5"/>
  <c r="BH68" i="5"/>
  <c r="CT59" i="5"/>
  <c r="BM95" i="5"/>
  <c r="BK53" i="5"/>
  <c r="CK95" i="5"/>
  <c r="CK84" i="5"/>
  <c r="BC85" i="5"/>
  <c r="CN65" i="5"/>
  <c r="BI95" i="5"/>
  <c r="BD56" i="5"/>
  <c r="DT64" i="5"/>
  <c r="BD49" i="5"/>
  <c r="BK93" i="5"/>
  <c r="BB69" i="5"/>
  <c r="DP86" i="5"/>
  <c r="BC81" i="5"/>
  <c r="CG66" i="5"/>
  <c r="BD85" i="5"/>
  <c r="DX68" i="5"/>
  <c r="CT86" i="5"/>
  <c r="BH88" i="5"/>
  <c r="BO32" i="5"/>
  <c r="CU13" i="5"/>
  <c r="FO13" i="5" s="1"/>
  <c r="DW86" i="5"/>
  <c r="CO82" i="5"/>
  <c r="CT82" i="5"/>
  <c r="DZ95" i="5"/>
  <c r="CJ65" i="5"/>
  <c r="BD95" i="5"/>
  <c r="CI84" i="5"/>
  <c r="DW95" i="5"/>
  <c r="BI85" i="5"/>
  <c r="BL90" i="5"/>
  <c r="BD88" i="5"/>
  <c r="CU29" i="5"/>
  <c r="FO29" i="5" s="1"/>
  <c r="CI65" i="5"/>
  <c r="BL95" i="5"/>
  <c r="BA56" i="5"/>
  <c r="BN69" i="5"/>
  <c r="CQ81" i="5"/>
  <c r="CS84" i="5"/>
  <c r="BE85" i="5"/>
  <c r="DV68" i="5"/>
  <c r="BJ90" i="5"/>
  <c r="BL88" i="5"/>
  <c r="CQ65" i="5"/>
  <c r="BA95" i="5"/>
  <c r="BM56" i="5"/>
  <c r="DQ64" i="5"/>
  <c r="BK69" i="5"/>
  <c r="BE81" i="5"/>
  <c r="CJ81" i="5"/>
  <c r="CJ84" i="5"/>
  <c r="BJ85" i="5"/>
  <c r="DU68" i="5"/>
  <c r="BK88" i="5"/>
  <c r="BO46" i="5"/>
  <c r="CJ59" i="5"/>
  <c r="BN68" i="5"/>
  <c r="BN86" i="5"/>
  <c r="CP53" i="5"/>
  <c r="BL77" i="5"/>
  <c r="CT65" i="5"/>
  <c r="CS59" i="5"/>
  <c r="DZ69" i="5"/>
  <c r="CT67" i="5"/>
  <c r="DY89" i="5"/>
  <c r="DU89" i="5"/>
  <c r="CS88" i="5"/>
  <c r="BJ53" i="5"/>
  <c r="BI69" i="5"/>
  <c r="CK66" i="5"/>
  <c r="DT85" i="5"/>
  <c r="DX85" i="5"/>
  <c r="DN71" i="5"/>
  <c r="CJ86" i="5"/>
  <c r="BI86" i="5"/>
  <c r="CJ75" i="5"/>
  <c r="CG75" i="5"/>
  <c r="CU32" i="5"/>
  <c r="FO32" i="5" s="1"/>
  <c r="CU14" i="5"/>
  <c r="FS14" i="5" s="1"/>
  <c r="CU23" i="5"/>
  <c r="FO23" i="5" s="1"/>
  <c r="CP59" i="5"/>
  <c r="BN77" i="5"/>
  <c r="BB77" i="5"/>
  <c r="CK65" i="5"/>
  <c r="CO65" i="5"/>
  <c r="BB68" i="5"/>
  <c r="CG59" i="5"/>
  <c r="CR59" i="5"/>
  <c r="DN69" i="5"/>
  <c r="CQ67" i="5"/>
  <c r="DW89" i="5"/>
  <c r="DN89" i="5"/>
  <c r="CJ88" i="5"/>
  <c r="CH88" i="5"/>
  <c r="BN90" i="5"/>
  <c r="BC53" i="5"/>
  <c r="BA69" i="5"/>
  <c r="CK69" i="5"/>
  <c r="CR85" i="5"/>
  <c r="DW84" i="5"/>
  <c r="DV90" i="5"/>
  <c r="DP85" i="5"/>
  <c r="CO86" i="5"/>
  <c r="DO75" i="5"/>
  <c r="CR75" i="5"/>
  <c r="FG23" i="5"/>
  <c r="FG16" i="5"/>
  <c r="CU18" i="5"/>
  <c r="FS18" i="5" s="1"/>
  <c r="CU42" i="5"/>
  <c r="FS42" i="5" s="1"/>
  <c r="GI42" i="5" s="1"/>
  <c r="FG44" i="5"/>
  <c r="DO76" i="5"/>
  <c r="BK77" i="5"/>
  <c r="CR65" i="5"/>
  <c r="CH65" i="5"/>
  <c r="BJ68" i="5"/>
  <c r="CQ59" i="5"/>
  <c r="EA69" i="5"/>
  <c r="DV69" i="5"/>
  <c r="CN67" i="5"/>
  <c r="CJ67" i="5"/>
  <c r="DO89" i="5"/>
  <c r="DV89" i="5"/>
  <c r="CK88" i="5"/>
  <c r="CQ88" i="5"/>
  <c r="BH53" i="5"/>
  <c r="BJ69" i="5"/>
  <c r="CT69" i="5"/>
  <c r="DM85" i="5"/>
  <c r="EA85" i="5"/>
  <c r="CJ90" i="5"/>
  <c r="CP86" i="5"/>
  <c r="CU11" i="5"/>
  <c r="FO11" i="5" s="1"/>
  <c r="FG19" i="5"/>
  <c r="FG30" i="5"/>
  <c r="FG10" i="5"/>
  <c r="FG27" i="5"/>
  <c r="FG40" i="5"/>
  <c r="CU30" i="5"/>
  <c r="FS30" i="5" s="1"/>
  <c r="CI75" i="5"/>
  <c r="CO75" i="5"/>
  <c r="FG51" i="5"/>
  <c r="DV76" i="5"/>
  <c r="BN53" i="5"/>
  <c r="BA77" i="5"/>
  <c r="CS65" i="5"/>
  <c r="BC68" i="5"/>
  <c r="DQ69" i="5"/>
  <c r="CO67" i="5"/>
  <c r="CR67" i="5"/>
  <c r="DX89" i="5"/>
  <c r="CI88" i="5"/>
  <c r="BH69" i="5"/>
  <c r="DW85" i="5"/>
  <c r="CK90" i="5"/>
  <c r="CQ86" i="5"/>
  <c r="BH86" i="5"/>
  <c r="CU46" i="5"/>
  <c r="FO46" i="5" s="1"/>
  <c r="FG15" i="5"/>
  <c r="CQ75" i="5"/>
  <c r="CP75" i="5"/>
  <c r="FG46" i="5"/>
  <c r="FG28" i="5"/>
  <c r="FG34" i="5"/>
  <c r="FG11" i="5"/>
  <c r="FO42" i="5"/>
  <c r="EA76" i="5"/>
  <c r="DM91" i="5"/>
  <c r="BK66" i="5"/>
  <c r="DZ75" i="5"/>
  <c r="BA75" i="5"/>
  <c r="BN87" i="5"/>
  <c r="DV91" i="5"/>
  <c r="BH93" i="5"/>
  <c r="CQ71" i="5"/>
  <c r="DY75" i="5"/>
  <c r="DM76" i="5"/>
  <c r="CK53" i="5"/>
  <c r="BH56" i="5"/>
  <c r="BK87" i="5"/>
  <c r="DX64" i="5"/>
  <c r="EA74" i="5"/>
  <c r="FG45" i="5"/>
  <c r="DW76" i="5"/>
  <c r="DU76" i="5"/>
  <c r="BH75" i="5"/>
  <c r="CQ53" i="5"/>
  <c r="BE72" i="5"/>
  <c r="BI56" i="5"/>
  <c r="BL56" i="5"/>
  <c r="DM64" i="5"/>
  <c r="BB49" i="5"/>
  <c r="BI93" i="5"/>
  <c r="DT86" i="5"/>
  <c r="CO85" i="5"/>
  <c r="CT85" i="5"/>
  <c r="DV74" i="5"/>
  <c r="DT93" i="5"/>
  <c r="CO81" i="5"/>
  <c r="BE82" i="5"/>
  <c r="CS71" i="5"/>
  <c r="DP95" i="5"/>
  <c r="CQ82" i="5"/>
  <c r="DW75" i="5"/>
  <c r="EA75" i="5"/>
  <c r="FG18" i="5"/>
  <c r="BB75" i="5"/>
  <c r="CI53" i="5"/>
  <c r="BB84" i="5"/>
  <c r="DV75" i="5"/>
  <c r="CJ53" i="5"/>
  <c r="DO95" i="5"/>
  <c r="BJ75" i="5"/>
  <c r="BA93" i="5"/>
  <c r="CN85" i="5"/>
  <c r="DM74" i="5"/>
  <c r="BN82" i="5"/>
  <c r="DX95" i="5"/>
  <c r="DP75" i="5"/>
  <c r="CU45" i="5"/>
  <c r="FS45" i="5" s="1"/>
  <c r="DX76" i="5"/>
  <c r="BI75" i="5"/>
  <c r="CR53" i="5"/>
  <c r="BN81" i="5"/>
  <c r="BH72" i="5"/>
  <c r="BA72" i="5"/>
  <c r="BJ56" i="5"/>
  <c r="BH87" i="5"/>
  <c r="BN93" i="5"/>
  <c r="DY64" i="5"/>
  <c r="DU64" i="5"/>
  <c r="BJ49" i="5"/>
  <c r="BE93" i="5"/>
  <c r="BE74" i="5"/>
  <c r="CI69" i="5"/>
  <c r="CG95" i="5"/>
  <c r="CP85" i="5"/>
  <c r="CI85" i="5"/>
  <c r="DW74" i="5"/>
  <c r="DU93" i="5"/>
  <c r="CN81" i="5"/>
  <c r="BK82" i="5"/>
  <c r="CK71" i="5"/>
  <c r="DU95" i="5"/>
  <c r="DN75" i="5"/>
  <c r="CU26" i="5"/>
  <c r="FS26" i="5" s="1"/>
  <c r="DP76" i="5"/>
  <c r="CN53" i="5"/>
  <c r="BE87" i="5"/>
  <c r="CH85" i="5"/>
  <c r="DQ76" i="5"/>
  <c r="CS85" i="5"/>
  <c r="CR81" i="5"/>
  <c r="BC56" i="5"/>
  <c r="CJ85" i="5"/>
  <c r="CT81" i="5"/>
  <c r="CR71" i="5"/>
  <c r="DM75" i="5"/>
  <c r="DY76" i="5"/>
  <c r="BC75" i="5"/>
  <c r="CS53" i="5"/>
  <c r="BJ72" i="5"/>
  <c r="BI72" i="5"/>
  <c r="BK56" i="5"/>
  <c r="BJ87" i="5"/>
  <c r="DZ64" i="5"/>
  <c r="DN64" i="5"/>
  <c r="BK49" i="5"/>
  <c r="BD93" i="5"/>
  <c r="BH74" i="5"/>
  <c r="CO69" i="5"/>
  <c r="CH95" i="5"/>
  <c r="CK85" i="5"/>
  <c r="CQ85" i="5"/>
  <c r="DQ74" i="5"/>
  <c r="DX93" i="5"/>
  <c r="CH81" i="5"/>
  <c r="CT71" i="5"/>
  <c r="DT95" i="5"/>
  <c r="DU75" i="5"/>
  <c r="FG41" i="5"/>
  <c r="BL75" i="5"/>
  <c r="FG26" i="5"/>
  <c r="FG35" i="5"/>
  <c r="DT76" i="5"/>
  <c r="CG53" i="5"/>
  <c r="BL72" i="5"/>
  <c r="BI87" i="5"/>
  <c r="CG81" i="5"/>
  <c r="DT75" i="5"/>
  <c r="DZ76" i="5"/>
  <c r="BN72" i="5"/>
  <c r="CO53" i="5"/>
  <c r="BD72" i="5"/>
  <c r="BE75" i="5"/>
  <c r="BK75" i="5"/>
  <c r="BN66" i="5"/>
  <c r="BK72" i="5"/>
  <c r="BL87" i="5"/>
  <c r="EA64" i="5"/>
  <c r="BL49" i="5"/>
  <c r="DY91" i="5"/>
  <c r="BC93" i="5"/>
  <c r="BL92" i="5"/>
  <c r="CP69" i="5"/>
  <c r="CP95" i="5"/>
  <c r="BD81" i="5"/>
  <c r="DN74" i="5"/>
  <c r="DQ93" i="5"/>
  <c r="CI81" i="5"/>
  <c r="DM50" i="5"/>
  <c r="DV95" i="5"/>
  <c r="DX75" i="5"/>
  <c r="BA74" i="5"/>
  <c r="BJ92" i="5"/>
  <c r="EA93" i="5"/>
  <c r="DY84" i="5"/>
  <c r="DP84" i="5"/>
  <c r="BD66" i="5"/>
  <c r="DY90" i="5"/>
  <c r="BL84" i="5"/>
  <c r="BB86" i="5"/>
  <c r="CG93" i="5"/>
  <c r="BO19" i="5"/>
  <c r="BO44" i="5"/>
  <c r="DP83" i="5"/>
  <c r="DP88" i="5"/>
  <c r="DU88" i="5"/>
  <c r="DZ91" i="5"/>
  <c r="DO91" i="5"/>
  <c r="BJ93" i="5"/>
  <c r="BD69" i="5"/>
  <c r="BM74" i="5"/>
  <c r="BE92" i="5"/>
  <c r="DQ86" i="5"/>
  <c r="DO93" i="5"/>
  <c r="DN84" i="5"/>
  <c r="DX84" i="5"/>
  <c r="CP81" i="5"/>
  <c r="CT66" i="5"/>
  <c r="BH66" i="5"/>
  <c r="DO90" i="5"/>
  <c r="DN95" i="5"/>
  <c r="BN85" i="5"/>
  <c r="BM85" i="5"/>
  <c r="DW68" i="5"/>
  <c r="EA68" i="5"/>
  <c r="DX82" i="5"/>
  <c r="BI84" i="5"/>
  <c r="BC86" i="5"/>
  <c r="BJ86" i="5"/>
  <c r="CH93" i="5"/>
  <c r="DQ83" i="5"/>
  <c r="BA88" i="5"/>
  <c r="BN88" i="5"/>
  <c r="DY88" i="5"/>
  <c r="BI68" i="5"/>
  <c r="BA87" i="5"/>
  <c r="BC87" i="5"/>
  <c r="EA91" i="5"/>
  <c r="DW91" i="5"/>
  <c r="BB74" i="5"/>
  <c r="BB92" i="5"/>
  <c r="DW93" i="5"/>
  <c r="DZ84" i="5"/>
  <c r="BA66" i="5"/>
  <c r="DW90" i="5"/>
  <c r="BA84" i="5"/>
  <c r="BM86" i="5"/>
  <c r="CN93" i="5"/>
  <c r="CP93" i="5"/>
  <c r="FG32" i="5"/>
  <c r="DN83" i="5"/>
  <c r="DV88" i="5"/>
  <c r="DP91" i="5"/>
  <c r="BN74" i="5"/>
  <c r="BJ74" i="5"/>
  <c r="BC92" i="5"/>
  <c r="DP93" i="5"/>
  <c r="EA84" i="5"/>
  <c r="DU90" i="5"/>
  <c r="DN90" i="5"/>
  <c r="BC84" i="5"/>
  <c r="BD86" i="5"/>
  <c r="CK93" i="5"/>
  <c r="CI93" i="5"/>
  <c r="CU15" i="5"/>
  <c r="FS15" i="5" s="1"/>
  <c r="DM83" i="5"/>
  <c r="DW88" i="5"/>
  <c r="BC74" i="5"/>
  <c r="BA92" i="5"/>
  <c r="CS93" i="5"/>
  <c r="CQ93" i="5"/>
  <c r="DZ83" i="5"/>
  <c r="DN88" i="5"/>
  <c r="BM68" i="5"/>
  <c r="BK68" i="5"/>
  <c r="DT69" i="5"/>
  <c r="DX69" i="5"/>
  <c r="CK67" i="5"/>
  <c r="BE95" i="5"/>
  <c r="BC95" i="5"/>
  <c r="BM87" i="5"/>
  <c r="DQ91" i="5"/>
  <c r="DU91" i="5"/>
  <c r="BL93" i="5"/>
  <c r="BL69" i="5"/>
  <c r="BI74" i="5"/>
  <c r="BM92" i="5"/>
  <c r="BH92" i="5"/>
  <c r="DN93" i="5"/>
  <c r="DY93" i="5"/>
  <c r="DT84" i="5"/>
  <c r="CK81" i="5"/>
  <c r="BL66" i="5"/>
  <c r="DX90" i="5"/>
  <c r="EA95" i="5"/>
  <c r="DY95" i="5"/>
  <c r="BB85" i="5"/>
  <c r="DO68" i="5"/>
  <c r="DQ68" i="5"/>
  <c r="BM90" i="5"/>
  <c r="BJ84" i="5"/>
  <c r="BK86" i="5"/>
  <c r="CJ93" i="5"/>
  <c r="DY83" i="5"/>
  <c r="BJ88" i="5"/>
  <c r="DX88" i="5"/>
  <c r="DU69" i="5"/>
  <c r="BH95" i="5"/>
  <c r="DT91" i="5"/>
  <c r="BM69" i="5"/>
  <c r="BL74" i="5"/>
  <c r="BK92" i="5"/>
  <c r="DO86" i="5"/>
  <c r="DV93" i="5"/>
  <c r="DO84" i="5"/>
  <c r="DV84" i="5"/>
  <c r="BC66" i="5"/>
  <c r="DM90" i="5"/>
  <c r="DQ95" i="5"/>
  <c r="DP68" i="5"/>
  <c r="BI90" i="5"/>
  <c r="BE86" i="5"/>
  <c r="CR93" i="5"/>
  <c r="BO28" i="5"/>
  <c r="BO11" i="5"/>
  <c r="DO83" i="5"/>
  <c r="DZ88" i="5"/>
  <c r="BO23" i="5"/>
  <c r="BO39" i="5"/>
  <c r="BO16" i="5"/>
  <c r="BO22" i="5"/>
  <c r="BO18" i="5"/>
  <c r="BO34" i="5"/>
  <c r="BO40" i="5"/>
  <c r="BO24" i="5"/>
  <c r="BO14" i="5"/>
  <c r="BO12" i="5"/>
  <c r="BO9" i="5"/>
  <c r="BA53" i="5"/>
  <c r="BM53" i="5"/>
  <c r="CH69" i="5"/>
  <c r="BM81" i="5"/>
  <c r="BC82" i="5"/>
  <c r="CI50" i="5"/>
  <c r="CI86" i="5"/>
  <c r="EA92" i="5"/>
  <c r="FG22" i="5"/>
  <c r="BL50" i="5"/>
  <c r="DZ86" i="5"/>
  <c r="CN69" i="5"/>
  <c r="CI95" i="5"/>
  <c r="DT74" i="5"/>
  <c r="DY74" i="5"/>
  <c r="BD82" i="5"/>
  <c r="CN84" i="5"/>
  <c r="CR84" i="5"/>
  <c r="DP90" i="5"/>
  <c r="CH71" i="5"/>
  <c r="DO71" i="5"/>
  <c r="CR86" i="5"/>
  <c r="CK92" i="5"/>
  <c r="BA86" i="5"/>
  <c r="BB64" i="5"/>
  <c r="CU40" i="5"/>
  <c r="FN40" i="5" s="1"/>
  <c r="FG42" i="5"/>
  <c r="BL53" i="5"/>
  <c r="EA86" i="5"/>
  <c r="CG69" i="5"/>
  <c r="CO95" i="5"/>
  <c r="DU74" i="5"/>
  <c r="BL82" i="5"/>
  <c r="CO84" i="5"/>
  <c r="EA90" i="5"/>
  <c r="CP71" i="5"/>
  <c r="DY71" i="5"/>
  <c r="CK86" i="5"/>
  <c r="DZ92" i="5"/>
  <c r="BE64" i="5"/>
  <c r="CU19" i="5"/>
  <c r="FS19" i="5" s="1"/>
  <c r="BO30" i="5"/>
  <c r="DX52" i="5"/>
  <c r="DZ52" i="5"/>
  <c r="DN50" i="5"/>
  <c r="DO52" i="5"/>
  <c r="DY50" i="5"/>
  <c r="CI90" i="5"/>
  <c r="BO42" i="5"/>
  <c r="DV52" i="5"/>
  <c r="BM50" i="5"/>
  <c r="DX86" i="5"/>
  <c r="CQ95" i="5"/>
  <c r="BI81" i="5"/>
  <c r="CG84" i="5"/>
  <c r="CR64" i="5"/>
  <c r="CG71" i="5"/>
  <c r="DU50" i="5"/>
  <c r="DT50" i="5"/>
  <c r="CP90" i="5"/>
  <c r="BD90" i="5"/>
  <c r="DY82" i="5"/>
  <c r="CG86" i="5"/>
  <c r="DO92" i="5"/>
  <c r="CQ92" i="5"/>
  <c r="BM64" i="5"/>
  <c r="BO35" i="5"/>
  <c r="FG14" i="5"/>
  <c r="BE50" i="5"/>
  <c r="DV86" i="5"/>
  <c r="CN95" i="5"/>
  <c r="BB81" i="5"/>
  <c r="CP84" i="5"/>
  <c r="CI64" i="5"/>
  <c r="CI71" i="5"/>
  <c r="DV50" i="5"/>
  <c r="DT71" i="5"/>
  <c r="BE90" i="5"/>
  <c r="DZ82" i="5"/>
  <c r="CS86" i="5"/>
  <c r="DW92" i="5"/>
  <c r="CN92" i="5"/>
  <c r="BA64" i="5"/>
  <c r="BE49" i="5"/>
  <c r="BB53" i="5"/>
  <c r="DQ52" i="5"/>
  <c r="BD50" i="5"/>
  <c r="DY86" i="5"/>
  <c r="DM86" i="5"/>
  <c r="CJ95" i="5"/>
  <c r="BL81" i="5"/>
  <c r="BJ81" i="5"/>
  <c r="CJ64" i="5"/>
  <c r="CN71" i="5"/>
  <c r="DW50" i="5"/>
  <c r="DV71" i="5"/>
  <c r="BC90" i="5"/>
  <c r="CN86" i="5"/>
  <c r="BD64" i="5"/>
  <c r="DY52" i="5"/>
  <c r="CR66" i="5"/>
  <c r="CK64" i="5"/>
  <c r="BM66" i="5"/>
  <c r="BI66" i="5"/>
  <c r="DW71" i="5"/>
  <c r="DW82" i="5"/>
  <c r="EA82" i="5"/>
  <c r="DM92" i="5"/>
  <c r="CH82" i="5"/>
  <c r="CI92" i="5"/>
  <c r="BC64" i="5"/>
  <c r="BC69" i="5"/>
  <c r="DM52" i="5"/>
  <c r="CH66" i="5"/>
  <c r="CS64" i="5"/>
  <c r="CN64" i="5"/>
  <c r="BE66" i="5"/>
  <c r="DU71" i="5"/>
  <c r="DP71" i="5"/>
  <c r="BA90" i="5"/>
  <c r="DN82" i="5"/>
  <c r="DP92" i="5"/>
  <c r="CJ82" i="5"/>
  <c r="CH92" i="5"/>
  <c r="BJ64" i="5"/>
  <c r="BI64" i="5"/>
  <c r="CP66" i="5"/>
  <c r="CQ64" i="5"/>
  <c r="CG64" i="5"/>
  <c r="BB66" i="5"/>
  <c r="EA71" i="5"/>
  <c r="BB90" i="5"/>
  <c r="DO82" i="5"/>
  <c r="DX92" i="5"/>
  <c r="CR82" i="5"/>
  <c r="CP92" i="5"/>
  <c r="BK64" i="5"/>
  <c r="BH64" i="5"/>
  <c r="DP52" i="5"/>
  <c r="DN52" i="5"/>
  <c r="CS66" i="5"/>
  <c r="CI66" i="5"/>
  <c r="CT64" i="5"/>
  <c r="DO50" i="5"/>
  <c r="DQ71" i="5"/>
  <c r="BK90" i="5"/>
  <c r="DP82" i="5"/>
  <c r="DU92" i="5"/>
  <c r="CT92" i="5"/>
  <c r="CS69" i="5"/>
  <c r="BM82" i="5"/>
  <c r="BJ82" i="5"/>
  <c r="CN90" i="5"/>
  <c r="DV92" i="5"/>
  <c r="CQ50" i="5"/>
  <c r="CQ69" i="5"/>
  <c r="BA82" i="5"/>
  <c r="CQ90" i="5"/>
  <c r="CJ50" i="5"/>
  <c r="DT92" i="5"/>
  <c r="BD84" i="5"/>
  <c r="CP82" i="5"/>
  <c r="CK82" i="5"/>
  <c r="EA83" i="5"/>
  <c r="DW83" i="5"/>
  <c r="CR69" i="5"/>
  <c r="BK81" i="5"/>
  <c r="DM93" i="5"/>
  <c r="BI82" i="5"/>
  <c r="CN66" i="5"/>
  <c r="CQ66" i="5"/>
  <c r="CO71" i="5"/>
  <c r="CH90" i="5"/>
  <c r="CK50" i="5"/>
  <c r="DY92" i="5"/>
  <c r="BN84" i="5"/>
  <c r="BM84" i="5"/>
  <c r="CN82" i="5"/>
  <c r="CS82" i="5"/>
  <c r="DV83" i="5"/>
  <c r="DU83" i="5"/>
  <c r="DM88" i="5"/>
  <c r="DO88" i="5"/>
  <c r="BD74" i="5"/>
  <c r="DQ84" i="5"/>
  <c r="BH82" i="5"/>
  <c r="CO90" i="5"/>
  <c r="DN92" i="5"/>
  <c r="BK84" i="5"/>
  <c r="CG82" i="5"/>
  <c r="DT83" i="5"/>
  <c r="EA88" i="5"/>
  <c r="CU10" i="5"/>
  <c r="FS10" i="5" s="1"/>
  <c r="CU34" i="5"/>
  <c r="FS34" i="5" s="1"/>
  <c r="BO15" i="5"/>
  <c r="EA52" i="5"/>
  <c r="BI50" i="5"/>
  <c r="DP50" i="5"/>
  <c r="CT90" i="5"/>
  <c r="CR90" i="5"/>
  <c r="DZ71" i="5"/>
  <c r="DX71" i="5"/>
  <c r="DM82" i="5"/>
  <c r="DT82" i="5"/>
  <c r="CR92" i="5"/>
  <c r="CG92" i="5"/>
  <c r="DW52" i="5"/>
  <c r="BB50" i="5"/>
  <c r="DX50" i="5"/>
  <c r="CS90" i="5"/>
  <c r="DV82" i="5"/>
  <c r="CS92" i="5"/>
  <c r="FG39" i="5"/>
  <c r="BA50" i="5"/>
  <c r="BJ50" i="5"/>
  <c r="BM49" i="5"/>
  <c r="BN50" i="5"/>
  <c r="BC50" i="5"/>
  <c r="BH50" i="5"/>
  <c r="CO50" i="5"/>
  <c r="BO47" i="5"/>
  <c r="BO29" i="5"/>
  <c r="CN50" i="5"/>
  <c r="CR50" i="5"/>
  <c r="CP50" i="5"/>
  <c r="CS50" i="5"/>
  <c r="CG50" i="5"/>
  <c r="CT50" i="5"/>
  <c r="BO20" i="5"/>
  <c r="CU20" i="5"/>
  <c r="FN20" i="5" s="1"/>
  <c r="CU22" i="5"/>
  <c r="FO22" i="5" s="1"/>
  <c r="FG33" i="5"/>
  <c r="BO36" i="5"/>
  <c r="CU21" i="5"/>
  <c r="CU31" i="5"/>
  <c r="BM70" i="5"/>
  <c r="BD70" i="5"/>
  <c r="BL70" i="5"/>
  <c r="BC70" i="5"/>
  <c r="BK70" i="5"/>
  <c r="BB70" i="5"/>
  <c r="BE70" i="5"/>
  <c r="BH70" i="5"/>
  <c r="BA70" i="5"/>
  <c r="BJ70" i="5"/>
  <c r="BI70" i="5"/>
  <c r="BH71" i="5"/>
  <c r="BI71" i="5"/>
  <c r="BJ71" i="5"/>
  <c r="BA71" i="5"/>
  <c r="BC71" i="5"/>
  <c r="BB71" i="5"/>
  <c r="BM71" i="5"/>
  <c r="BL71" i="5"/>
  <c r="BK71" i="5"/>
  <c r="BE71" i="5"/>
  <c r="BD71" i="5"/>
  <c r="BN71" i="5"/>
  <c r="DV77" i="5"/>
  <c r="DN77" i="5"/>
  <c r="DU77" i="5"/>
  <c r="DM77" i="5"/>
  <c r="DT77" i="5"/>
  <c r="DW77" i="5"/>
  <c r="DO77" i="5"/>
  <c r="DQ77" i="5"/>
  <c r="DP77" i="5"/>
  <c r="EA77" i="5"/>
  <c r="DY77" i="5"/>
  <c r="DX77" i="5"/>
  <c r="DZ77" i="5"/>
  <c r="CP79" i="5"/>
  <c r="CH79" i="5"/>
  <c r="CO79" i="5"/>
  <c r="CG79" i="5"/>
  <c r="CN79" i="5"/>
  <c r="CQ79" i="5"/>
  <c r="CI79" i="5"/>
  <c r="CT79" i="5"/>
  <c r="CS79" i="5"/>
  <c r="CJ79" i="5"/>
  <c r="CR79" i="5"/>
  <c r="CK79" i="5"/>
  <c r="CO56" i="5"/>
  <c r="CG56" i="5"/>
  <c r="CP56" i="5"/>
  <c r="CK56" i="5"/>
  <c r="CT56" i="5"/>
  <c r="CJ56" i="5"/>
  <c r="CI56" i="5"/>
  <c r="CH56" i="5"/>
  <c r="CS56" i="5"/>
  <c r="CR56" i="5"/>
  <c r="CQ56" i="5"/>
  <c r="CN56" i="5"/>
  <c r="CU43" i="5"/>
  <c r="FG37" i="5"/>
  <c r="CR73" i="5"/>
  <c r="CJ73" i="5"/>
  <c r="CQ73" i="5"/>
  <c r="CI73" i="5"/>
  <c r="CK73" i="5"/>
  <c r="CT73" i="5"/>
  <c r="CH73" i="5"/>
  <c r="CS73" i="5"/>
  <c r="CG73" i="5"/>
  <c r="CO73" i="5"/>
  <c r="CN73" i="5"/>
  <c r="CP73" i="5"/>
  <c r="BJ94" i="5"/>
  <c r="BB94" i="5"/>
  <c r="BI94" i="5"/>
  <c r="BA94" i="5"/>
  <c r="BH94" i="5"/>
  <c r="BK94" i="5"/>
  <c r="BC94" i="5"/>
  <c r="BM94" i="5"/>
  <c r="BL94" i="5"/>
  <c r="BE94" i="5"/>
  <c r="BD94" i="5"/>
  <c r="BN94" i="5"/>
  <c r="FG31" i="5"/>
  <c r="BI58" i="5"/>
  <c r="BA58" i="5"/>
  <c r="BM58" i="5"/>
  <c r="BD58" i="5"/>
  <c r="BH58" i="5"/>
  <c r="BE58" i="5"/>
  <c r="BB58" i="5"/>
  <c r="BL58" i="5"/>
  <c r="BK58" i="5"/>
  <c r="BJ58" i="5"/>
  <c r="BC58" i="5"/>
  <c r="BN58" i="5"/>
  <c r="FG12" i="5"/>
  <c r="BO38" i="5"/>
  <c r="BH57" i="5"/>
  <c r="BK57" i="5"/>
  <c r="BA57" i="5"/>
  <c r="BJ57" i="5"/>
  <c r="BI57" i="5"/>
  <c r="BB57" i="5"/>
  <c r="BM57" i="5"/>
  <c r="BE57" i="5"/>
  <c r="BD57" i="5"/>
  <c r="BC57" i="5"/>
  <c r="BL57" i="5"/>
  <c r="BN57" i="5"/>
  <c r="DY80" i="5"/>
  <c r="DQ80" i="5"/>
  <c r="DX80" i="5"/>
  <c r="DP80" i="5"/>
  <c r="DW80" i="5"/>
  <c r="DO80" i="5"/>
  <c r="DZ80" i="5"/>
  <c r="DV80" i="5"/>
  <c r="DU80" i="5"/>
  <c r="DT80" i="5"/>
  <c r="EA80" i="5"/>
  <c r="DN80" i="5"/>
  <c r="DM80" i="5"/>
  <c r="CN55" i="5"/>
  <c r="CT55" i="5"/>
  <c r="CK55" i="5"/>
  <c r="CQ55" i="5"/>
  <c r="CG55" i="5"/>
  <c r="CP55" i="5"/>
  <c r="CO55" i="5"/>
  <c r="CJ55" i="5"/>
  <c r="CI55" i="5"/>
  <c r="CH55" i="5"/>
  <c r="CS55" i="5"/>
  <c r="CR55" i="5"/>
  <c r="DW70" i="5"/>
  <c r="DO70" i="5"/>
  <c r="DT70" i="5"/>
  <c r="EA70" i="5"/>
  <c r="DU70" i="5"/>
  <c r="DM70" i="5"/>
  <c r="DZ70" i="5"/>
  <c r="DY70" i="5"/>
  <c r="DX70" i="5"/>
  <c r="DV70" i="5"/>
  <c r="DP70" i="5"/>
  <c r="DN70" i="5"/>
  <c r="DQ70" i="5"/>
  <c r="DZ59" i="5"/>
  <c r="DX59" i="5"/>
  <c r="DO59" i="5"/>
  <c r="DQ59" i="5"/>
  <c r="EA59" i="5"/>
  <c r="DP59" i="5"/>
  <c r="DY59" i="5"/>
  <c r="DN59" i="5"/>
  <c r="DW59" i="5"/>
  <c r="DM59" i="5"/>
  <c r="DU59" i="5"/>
  <c r="DT59" i="5"/>
  <c r="DV59" i="5"/>
  <c r="DY72" i="5"/>
  <c r="DQ72" i="5"/>
  <c r="DU72" i="5"/>
  <c r="DT72" i="5"/>
  <c r="DV72" i="5"/>
  <c r="DM72" i="5"/>
  <c r="EA72" i="5"/>
  <c r="DZ72" i="5"/>
  <c r="DX72" i="5"/>
  <c r="DW72" i="5"/>
  <c r="DO72" i="5"/>
  <c r="DN72" i="5"/>
  <c r="DP72" i="5"/>
  <c r="BO41" i="5"/>
  <c r="BH55" i="5"/>
  <c r="BJ55" i="5"/>
  <c r="BI55" i="5"/>
  <c r="BE55" i="5"/>
  <c r="BM55" i="5"/>
  <c r="BL55" i="5"/>
  <c r="BK55" i="5"/>
  <c r="BC55" i="5"/>
  <c r="BB55" i="5"/>
  <c r="BA55" i="5"/>
  <c r="BD55" i="5"/>
  <c r="BN55" i="5"/>
  <c r="CO70" i="5"/>
  <c r="CG70" i="5"/>
  <c r="CQ70" i="5"/>
  <c r="CH70" i="5"/>
  <c r="CP70" i="5"/>
  <c r="CN70" i="5"/>
  <c r="CR70" i="5"/>
  <c r="CI70" i="5"/>
  <c r="CT70" i="5"/>
  <c r="CS70" i="5"/>
  <c r="CK70" i="5"/>
  <c r="CJ70" i="5"/>
  <c r="CO91" i="5"/>
  <c r="CG91" i="5"/>
  <c r="CN91" i="5"/>
  <c r="CP91" i="5"/>
  <c r="CH91" i="5"/>
  <c r="CT91" i="5"/>
  <c r="CS91" i="5"/>
  <c r="CR91" i="5"/>
  <c r="CI91" i="5"/>
  <c r="CJ91" i="5"/>
  <c r="CQ91" i="5"/>
  <c r="CK91" i="5"/>
  <c r="CQ58" i="5"/>
  <c r="CI58" i="5"/>
  <c r="CP58" i="5"/>
  <c r="CG58" i="5"/>
  <c r="CO58" i="5"/>
  <c r="CN58" i="5"/>
  <c r="CT58" i="5"/>
  <c r="CS58" i="5"/>
  <c r="CR58" i="5"/>
  <c r="CK58" i="5"/>
  <c r="CJ58" i="5"/>
  <c r="CH58" i="5"/>
  <c r="CS87" i="5"/>
  <c r="CK87" i="5"/>
  <c r="CJ87" i="5"/>
  <c r="CT87" i="5"/>
  <c r="CI87" i="5"/>
  <c r="CN87" i="5"/>
  <c r="CQ87" i="5"/>
  <c r="CP87" i="5"/>
  <c r="CO87" i="5"/>
  <c r="CH87" i="5"/>
  <c r="CG87" i="5"/>
  <c r="CR87" i="5"/>
  <c r="BN70" i="5"/>
  <c r="EA87" i="5"/>
  <c r="DY87" i="5"/>
  <c r="DP87" i="5"/>
  <c r="DT87" i="5"/>
  <c r="DQ87" i="5"/>
  <c r="DU87" i="5"/>
  <c r="DN87" i="5"/>
  <c r="DM87" i="5"/>
  <c r="DZ87" i="5"/>
  <c r="DX87" i="5"/>
  <c r="DO87" i="5"/>
  <c r="DW87" i="5"/>
  <c r="DV87" i="5"/>
  <c r="CO78" i="5"/>
  <c r="CG78" i="5"/>
  <c r="CN78" i="5"/>
  <c r="CP78" i="5"/>
  <c r="CH78" i="5"/>
  <c r="CQ78" i="5"/>
  <c r="CK78" i="5"/>
  <c r="CR78" i="5"/>
  <c r="CI78" i="5"/>
  <c r="CT78" i="5"/>
  <c r="CJ78" i="5"/>
  <c r="CS78" i="5"/>
  <c r="CT89" i="5"/>
  <c r="CK89" i="5"/>
  <c r="CN89" i="5"/>
  <c r="CJ89" i="5"/>
  <c r="CI89" i="5"/>
  <c r="CO89" i="5"/>
  <c r="CG89" i="5"/>
  <c r="CS89" i="5"/>
  <c r="CR89" i="5"/>
  <c r="CQ89" i="5"/>
  <c r="CP89" i="5"/>
  <c r="CH89" i="5"/>
  <c r="BM91" i="5"/>
  <c r="BE91" i="5"/>
  <c r="BH91" i="5"/>
  <c r="BL91" i="5"/>
  <c r="BK91" i="5"/>
  <c r="BJ91" i="5"/>
  <c r="BC91" i="5"/>
  <c r="BB91" i="5"/>
  <c r="BA91" i="5"/>
  <c r="BD91" i="5"/>
  <c r="BI91" i="5"/>
  <c r="BN91" i="5"/>
  <c r="CN77" i="5"/>
  <c r="CT77" i="5"/>
  <c r="CO77" i="5"/>
  <c r="CG77" i="5"/>
  <c r="CI77" i="5"/>
  <c r="CH77" i="5"/>
  <c r="CS77" i="5"/>
  <c r="CJ77" i="5"/>
  <c r="CQ77" i="5"/>
  <c r="CP77" i="5"/>
  <c r="CK77" i="5"/>
  <c r="CR77" i="5"/>
  <c r="BM89" i="5"/>
  <c r="BE89" i="5"/>
  <c r="BI89" i="5"/>
  <c r="BL89" i="5"/>
  <c r="BB89" i="5"/>
  <c r="BK89" i="5"/>
  <c r="BA89" i="5"/>
  <c r="BJ89" i="5"/>
  <c r="BC89" i="5"/>
  <c r="BH89" i="5"/>
  <c r="BD89" i="5"/>
  <c r="BN89" i="5"/>
  <c r="BI80" i="5"/>
  <c r="BA80" i="5"/>
  <c r="BH80" i="5"/>
  <c r="BJ80" i="5"/>
  <c r="BB80" i="5"/>
  <c r="BK80" i="5"/>
  <c r="BE80" i="5"/>
  <c r="BL80" i="5"/>
  <c r="BM80" i="5"/>
  <c r="BD80" i="5"/>
  <c r="BC80" i="5"/>
  <c r="BN80" i="5"/>
  <c r="DW56" i="5"/>
  <c r="DO56" i="5"/>
  <c r="DU56" i="5"/>
  <c r="DT56" i="5"/>
  <c r="EA56" i="5"/>
  <c r="DQ56" i="5"/>
  <c r="DZ56" i="5"/>
  <c r="DY56" i="5"/>
  <c r="DX56" i="5"/>
  <c r="DV56" i="5"/>
  <c r="DP56" i="5"/>
  <c r="DN56" i="5"/>
  <c r="DM56" i="5"/>
  <c r="CS68" i="5"/>
  <c r="CK68" i="5"/>
  <c r="CR68" i="5"/>
  <c r="CJ68" i="5"/>
  <c r="CQ68" i="5"/>
  <c r="CI68" i="5"/>
  <c r="CT68" i="5"/>
  <c r="CG68" i="5"/>
  <c r="CP68" i="5"/>
  <c r="CN68" i="5"/>
  <c r="CH68" i="5"/>
  <c r="CO68" i="5"/>
  <c r="BM52" i="5"/>
  <c r="BE52" i="5"/>
  <c r="BL52" i="5"/>
  <c r="BD52" i="5"/>
  <c r="BK52" i="5"/>
  <c r="BC52" i="5"/>
  <c r="BJ52" i="5"/>
  <c r="BI52" i="5"/>
  <c r="BH52" i="5"/>
  <c r="BB52" i="5"/>
  <c r="BA52" i="5"/>
  <c r="BN52" i="5"/>
  <c r="DZ67" i="5"/>
  <c r="DY67" i="5"/>
  <c r="DQ67" i="5"/>
  <c r="DX67" i="5"/>
  <c r="DP67" i="5"/>
  <c r="EA67" i="5"/>
  <c r="DT67" i="5"/>
  <c r="DO67" i="5"/>
  <c r="DN67" i="5"/>
  <c r="DM67" i="5"/>
  <c r="DW67" i="5"/>
  <c r="DV67" i="5"/>
  <c r="DU67" i="5"/>
  <c r="CU12" i="5"/>
  <c r="BM62" i="5"/>
  <c r="BE62" i="5"/>
  <c r="BD62" i="5"/>
  <c r="BL62" i="5"/>
  <c r="BC62" i="5"/>
  <c r="BK62" i="5"/>
  <c r="BB62" i="5"/>
  <c r="BJ62" i="5"/>
  <c r="BA62" i="5"/>
  <c r="BI62" i="5"/>
  <c r="BH62" i="5"/>
  <c r="BN62" i="5"/>
  <c r="BO25" i="5"/>
  <c r="DZ73" i="5"/>
  <c r="DY73" i="5"/>
  <c r="DQ73" i="5"/>
  <c r="DP73" i="5"/>
  <c r="EA73" i="5"/>
  <c r="DO73" i="5"/>
  <c r="DX73" i="5"/>
  <c r="DN73" i="5"/>
  <c r="DW73" i="5"/>
  <c r="DV73" i="5"/>
  <c r="DU73" i="5"/>
  <c r="DT73" i="5"/>
  <c r="DM73" i="5"/>
  <c r="DY66" i="5"/>
  <c r="DQ66" i="5"/>
  <c r="DX66" i="5"/>
  <c r="DP66" i="5"/>
  <c r="DW66" i="5"/>
  <c r="DO66" i="5"/>
  <c r="DZ66" i="5"/>
  <c r="DU66" i="5"/>
  <c r="DT66" i="5"/>
  <c r="DN66" i="5"/>
  <c r="EA66" i="5"/>
  <c r="DV66" i="5"/>
  <c r="DM66" i="5"/>
  <c r="BH65" i="5"/>
  <c r="BI65" i="5"/>
  <c r="BA65" i="5"/>
  <c r="BL65" i="5"/>
  <c r="BK65" i="5"/>
  <c r="BJ65" i="5"/>
  <c r="BE65" i="5"/>
  <c r="BM65" i="5"/>
  <c r="BD65" i="5"/>
  <c r="BC65" i="5"/>
  <c r="BB65" i="5"/>
  <c r="BN65" i="5"/>
  <c r="CQ62" i="5"/>
  <c r="CH62" i="5"/>
  <c r="CP62" i="5"/>
  <c r="CG62" i="5"/>
  <c r="CO62" i="5"/>
  <c r="CN62" i="5"/>
  <c r="CJ62" i="5"/>
  <c r="CI62" i="5"/>
  <c r="CT62" i="5"/>
  <c r="CS62" i="5"/>
  <c r="CR62" i="5"/>
  <c r="CK62" i="5"/>
  <c r="CU39" i="5"/>
  <c r="DV63" i="5"/>
  <c r="DN63" i="5"/>
  <c r="DW63" i="5"/>
  <c r="DO63" i="5"/>
  <c r="DZ63" i="5"/>
  <c r="DP63" i="5"/>
  <c r="DY63" i="5"/>
  <c r="DM63" i="5"/>
  <c r="DX63" i="5"/>
  <c r="DU63" i="5"/>
  <c r="DQ63" i="5"/>
  <c r="EA63" i="5"/>
  <c r="DT63" i="5"/>
  <c r="CR94" i="5"/>
  <c r="CJ94" i="5"/>
  <c r="CQ94" i="5"/>
  <c r="CI94" i="5"/>
  <c r="CP94" i="5"/>
  <c r="CH94" i="5"/>
  <c r="CS94" i="5"/>
  <c r="CK94" i="5"/>
  <c r="CT94" i="5"/>
  <c r="CO94" i="5"/>
  <c r="CN94" i="5"/>
  <c r="CG94" i="5"/>
  <c r="DZ94" i="5"/>
  <c r="DY94" i="5"/>
  <c r="DQ94" i="5"/>
  <c r="DX94" i="5"/>
  <c r="DP94" i="5"/>
  <c r="EA94" i="5"/>
  <c r="DW94" i="5"/>
  <c r="DV94" i="5"/>
  <c r="DU94" i="5"/>
  <c r="DT94" i="5"/>
  <c r="DO94" i="5"/>
  <c r="DN94" i="5"/>
  <c r="DM94" i="5"/>
  <c r="BO31" i="5"/>
  <c r="CU38" i="5"/>
  <c r="CR48" i="5"/>
  <c r="CJ48" i="5"/>
  <c r="CQ48" i="5"/>
  <c r="CI48" i="5"/>
  <c r="CP48" i="5"/>
  <c r="CH48" i="5"/>
  <c r="CO48" i="5"/>
  <c r="CG48" i="5"/>
  <c r="CS48" i="5"/>
  <c r="CN48" i="5"/>
  <c r="CT48" i="5"/>
  <c r="CK48" i="5"/>
  <c r="CN54" i="5"/>
  <c r="CR54" i="5"/>
  <c r="CI54" i="5"/>
  <c r="CQ54" i="5"/>
  <c r="CH54" i="5"/>
  <c r="CP54" i="5"/>
  <c r="CG54" i="5"/>
  <c r="CO54" i="5"/>
  <c r="CT54" i="5"/>
  <c r="CS54" i="5"/>
  <c r="CK54" i="5"/>
  <c r="CJ54" i="5"/>
  <c r="DX65" i="5"/>
  <c r="DP65" i="5"/>
  <c r="DW65" i="5"/>
  <c r="DO65" i="5"/>
  <c r="DV65" i="5"/>
  <c r="DN65" i="5"/>
  <c r="DY65" i="5"/>
  <c r="DQ65" i="5"/>
  <c r="EA65" i="5"/>
  <c r="DZ65" i="5"/>
  <c r="DU65" i="5"/>
  <c r="DM65" i="5"/>
  <c r="DT65" i="5"/>
  <c r="CS74" i="5"/>
  <c r="CK74" i="5"/>
  <c r="CR74" i="5"/>
  <c r="CJ74" i="5"/>
  <c r="CI74" i="5"/>
  <c r="CT74" i="5"/>
  <c r="CH74" i="5"/>
  <c r="CQ74" i="5"/>
  <c r="CG74" i="5"/>
  <c r="CP74" i="5"/>
  <c r="CO74" i="5"/>
  <c r="CN74" i="5"/>
  <c r="FN13" i="5"/>
  <c r="BJ73" i="5"/>
  <c r="BB73" i="5"/>
  <c r="BI73" i="5"/>
  <c r="BA73" i="5"/>
  <c r="BM73" i="5"/>
  <c r="BC73" i="5"/>
  <c r="BL73" i="5"/>
  <c r="BK73" i="5"/>
  <c r="BD73" i="5"/>
  <c r="BH73" i="5"/>
  <c r="BE73" i="5"/>
  <c r="BM76" i="5"/>
  <c r="BE76" i="5"/>
  <c r="BL76" i="5"/>
  <c r="BD76" i="5"/>
  <c r="BK76" i="5"/>
  <c r="BC76" i="5"/>
  <c r="BI76" i="5"/>
  <c r="BH76" i="5"/>
  <c r="BJ76" i="5"/>
  <c r="BB76" i="5"/>
  <c r="BA76" i="5"/>
  <c r="BN76" i="5"/>
  <c r="CU44" i="5"/>
  <c r="FG20" i="5"/>
  <c r="FG36" i="5"/>
  <c r="FG13" i="5"/>
  <c r="BE54" i="5"/>
  <c r="BM54" i="5"/>
  <c r="BD54" i="5"/>
  <c r="BL54" i="5"/>
  <c r="BC54" i="5"/>
  <c r="BK54" i="5"/>
  <c r="BB54" i="5"/>
  <c r="BJ54" i="5"/>
  <c r="BI54" i="5"/>
  <c r="BH54" i="5"/>
  <c r="BA54" i="5"/>
  <c r="BJ48" i="5"/>
  <c r="BB48" i="5"/>
  <c r="BI48" i="5"/>
  <c r="BA48" i="5"/>
  <c r="BH48" i="5"/>
  <c r="BK48" i="5"/>
  <c r="BE48" i="5"/>
  <c r="BD48" i="5"/>
  <c r="BM48" i="5"/>
  <c r="BL48" i="5"/>
  <c r="BC48" i="5"/>
  <c r="CU51" i="5"/>
  <c r="CU28" i="5"/>
  <c r="CQ72" i="5"/>
  <c r="CI72" i="5"/>
  <c r="CR72" i="5"/>
  <c r="CH72" i="5"/>
  <c r="CP72" i="5"/>
  <c r="CG72" i="5"/>
  <c r="CO72" i="5"/>
  <c r="CS72" i="5"/>
  <c r="CJ72" i="5"/>
  <c r="CT72" i="5"/>
  <c r="CN72" i="5"/>
  <c r="CK72" i="5"/>
  <c r="FG17" i="5"/>
  <c r="FG24" i="5"/>
  <c r="BO21" i="5"/>
  <c r="DW78" i="5"/>
  <c r="DO78" i="5"/>
  <c r="DV78" i="5"/>
  <c r="DN78" i="5"/>
  <c r="DU78" i="5"/>
  <c r="DM78" i="5"/>
  <c r="DX78" i="5"/>
  <c r="DP78" i="5"/>
  <c r="DY78" i="5"/>
  <c r="DT78" i="5"/>
  <c r="DZ78" i="5"/>
  <c r="DQ78" i="5"/>
  <c r="EA78" i="5"/>
  <c r="DY58" i="5"/>
  <c r="DQ58" i="5"/>
  <c r="DT58" i="5"/>
  <c r="DV58" i="5"/>
  <c r="DU58" i="5"/>
  <c r="DN58" i="5"/>
  <c r="DM58" i="5"/>
  <c r="EA58" i="5"/>
  <c r="DZ58" i="5"/>
  <c r="DP58" i="5"/>
  <c r="DO58" i="5"/>
  <c r="DX58" i="5"/>
  <c r="DW58" i="5"/>
  <c r="CU24" i="5"/>
  <c r="FG25" i="5"/>
  <c r="FG21" i="5"/>
  <c r="BJ67" i="5"/>
  <c r="BB67" i="5"/>
  <c r="BI67" i="5"/>
  <c r="BA67" i="5"/>
  <c r="BH67" i="5"/>
  <c r="BK67" i="5"/>
  <c r="BC67" i="5"/>
  <c r="BE67" i="5"/>
  <c r="BD67" i="5"/>
  <c r="BM67" i="5"/>
  <c r="BL67" i="5"/>
  <c r="CU36" i="5"/>
  <c r="CP57" i="5"/>
  <c r="CH57" i="5"/>
  <c r="CT57" i="5"/>
  <c r="CK57" i="5"/>
  <c r="CR57" i="5"/>
  <c r="CG57" i="5"/>
  <c r="CQ57" i="5"/>
  <c r="CO57" i="5"/>
  <c r="CN57" i="5"/>
  <c r="CS57" i="5"/>
  <c r="CJ57" i="5"/>
  <c r="CI57" i="5"/>
  <c r="DX57" i="5"/>
  <c r="DP57" i="5"/>
  <c r="DW57" i="5"/>
  <c r="DN57" i="5"/>
  <c r="DZ57" i="5"/>
  <c r="DO57" i="5"/>
  <c r="DY57" i="5"/>
  <c r="DM57" i="5"/>
  <c r="DV57" i="5"/>
  <c r="DU57" i="5"/>
  <c r="EA57" i="5"/>
  <c r="DT57" i="5"/>
  <c r="DQ57" i="5"/>
  <c r="FG9" i="5"/>
  <c r="BH79" i="5"/>
  <c r="BI79" i="5"/>
  <c r="BA79" i="5"/>
  <c r="BM79" i="5"/>
  <c r="BL79" i="5"/>
  <c r="BK79" i="5"/>
  <c r="BB79" i="5"/>
  <c r="BJ79" i="5"/>
  <c r="BE79" i="5"/>
  <c r="BD79" i="5"/>
  <c r="BC79" i="5"/>
  <c r="BO45" i="5"/>
  <c r="BO33" i="5"/>
  <c r="CU17" i="5"/>
  <c r="BO37" i="5"/>
  <c r="BO13" i="5"/>
  <c r="BO43" i="5"/>
  <c r="CU25" i="5"/>
  <c r="CU16" i="5"/>
  <c r="BO51" i="5"/>
  <c r="DU62" i="5"/>
  <c r="DM62" i="5"/>
  <c r="DT62" i="5"/>
  <c r="EA62" i="5"/>
  <c r="DZ62" i="5"/>
  <c r="DQ62" i="5"/>
  <c r="DV62" i="5"/>
  <c r="DP62" i="5"/>
  <c r="DO62" i="5"/>
  <c r="DN62" i="5"/>
  <c r="DY62" i="5"/>
  <c r="DX62" i="5"/>
  <c r="DW62" i="5"/>
  <c r="FG29" i="5"/>
  <c r="BO26" i="5"/>
  <c r="BM78" i="5"/>
  <c r="BE78" i="5"/>
  <c r="BH78" i="5"/>
  <c r="BI78" i="5"/>
  <c r="BD78" i="5"/>
  <c r="BC78" i="5"/>
  <c r="BJ78" i="5"/>
  <c r="BA78" i="5"/>
  <c r="BL78" i="5"/>
  <c r="BK78" i="5"/>
  <c r="BB78" i="5"/>
  <c r="BO27" i="5"/>
  <c r="DX79" i="5"/>
  <c r="DP79" i="5"/>
  <c r="DW79" i="5"/>
  <c r="DO79" i="5"/>
  <c r="DV79" i="5"/>
  <c r="DN79" i="5"/>
  <c r="DY79" i="5"/>
  <c r="DQ79" i="5"/>
  <c r="DM79" i="5"/>
  <c r="EA79" i="5"/>
  <c r="DU79" i="5"/>
  <c r="DT79" i="5"/>
  <c r="DZ79" i="5"/>
  <c r="CU41" i="5"/>
  <c r="BO17" i="5"/>
  <c r="DZ48" i="5"/>
  <c r="DY48" i="5"/>
  <c r="DQ48" i="5"/>
  <c r="DX48" i="5"/>
  <c r="DP48" i="5"/>
  <c r="DW48" i="5"/>
  <c r="DO48" i="5"/>
  <c r="DV48" i="5"/>
  <c r="DU48" i="5"/>
  <c r="DT48" i="5"/>
  <c r="EA48" i="5"/>
  <c r="DN48" i="5"/>
  <c r="DM48" i="5"/>
  <c r="CS49" i="5"/>
  <c r="CK49" i="5"/>
  <c r="CR49" i="5"/>
  <c r="CJ49" i="5"/>
  <c r="CQ49" i="5"/>
  <c r="CI49" i="5"/>
  <c r="CP49" i="5"/>
  <c r="CH49" i="5"/>
  <c r="CN49" i="5"/>
  <c r="CG49" i="5"/>
  <c r="CT49" i="5"/>
  <c r="CO49" i="5"/>
  <c r="CU37" i="5"/>
  <c r="CN63" i="5"/>
  <c r="CO63" i="5"/>
  <c r="CG63" i="5"/>
  <c r="CR63" i="5"/>
  <c r="CH63" i="5"/>
  <c r="CQ63" i="5"/>
  <c r="CP63" i="5"/>
  <c r="CT63" i="5"/>
  <c r="CS63" i="5"/>
  <c r="CK63" i="5"/>
  <c r="CJ63" i="5"/>
  <c r="CI63" i="5"/>
  <c r="DV54" i="5"/>
  <c r="DN54" i="5"/>
  <c r="DU54" i="5"/>
  <c r="DT54" i="5"/>
  <c r="EA54" i="5"/>
  <c r="DP54" i="5"/>
  <c r="DO54" i="5"/>
  <c r="DM54" i="5"/>
  <c r="DZ54" i="5"/>
  <c r="DX54" i="5"/>
  <c r="DW54" i="5"/>
  <c r="DQ54" i="5"/>
  <c r="DY54" i="5"/>
  <c r="BJ59" i="5"/>
  <c r="BB59" i="5"/>
  <c r="BI59" i="5"/>
  <c r="BD59" i="5"/>
  <c r="BM59" i="5"/>
  <c r="BC59" i="5"/>
  <c r="BL59" i="5"/>
  <c r="BA59" i="5"/>
  <c r="BK59" i="5"/>
  <c r="BE59" i="5"/>
  <c r="BH59" i="5"/>
  <c r="BN59" i="5"/>
  <c r="DW53" i="5"/>
  <c r="DO53" i="5"/>
  <c r="DV53" i="5"/>
  <c r="DN53" i="5"/>
  <c r="DU53" i="5"/>
  <c r="DM53" i="5"/>
  <c r="DT53" i="5"/>
  <c r="DP53" i="5"/>
  <c r="EA53" i="5"/>
  <c r="DZ53" i="5"/>
  <c r="DY53" i="5"/>
  <c r="DX53" i="5"/>
  <c r="DQ53" i="5"/>
  <c r="CN52" i="5"/>
  <c r="CT52" i="5"/>
  <c r="CS52" i="5"/>
  <c r="CK52" i="5"/>
  <c r="CG52" i="5"/>
  <c r="CR52" i="5"/>
  <c r="CQ52" i="5"/>
  <c r="CP52" i="5"/>
  <c r="CO52" i="5"/>
  <c r="CJ52" i="5"/>
  <c r="CI52" i="5"/>
  <c r="CH52" i="5"/>
  <c r="CT76" i="5"/>
  <c r="CS76" i="5"/>
  <c r="CK76" i="5"/>
  <c r="CN76" i="5"/>
  <c r="CQ76" i="5"/>
  <c r="CP76" i="5"/>
  <c r="CO76" i="5"/>
  <c r="CR76" i="5"/>
  <c r="CJ76" i="5"/>
  <c r="CI76" i="5"/>
  <c r="CH76" i="5"/>
  <c r="CG76" i="5"/>
  <c r="EA49" i="5"/>
  <c r="DZ49" i="5"/>
  <c r="DY49" i="5"/>
  <c r="DQ49" i="5"/>
  <c r="DX49" i="5"/>
  <c r="DP49" i="5"/>
  <c r="DU49" i="5"/>
  <c r="DT49" i="5"/>
  <c r="DO49" i="5"/>
  <c r="DN49" i="5"/>
  <c r="DW49" i="5"/>
  <c r="DV49" i="5"/>
  <c r="DM49" i="5"/>
  <c r="FG47" i="5"/>
  <c r="BJ63" i="5"/>
  <c r="BI63" i="5"/>
  <c r="BH63" i="5"/>
  <c r="BE63" i="5"/>
  <c r="BC63" i="5"/>
  <c r="BB63" i="5"/>
  <c r="BA63" i="5"/>
  <c r="BL63" i="5"/>
  <c r="BK63" i="5"/>
  <c r="BD63" i="5"/>
  <c r="BM63" i="5"/>
  <c r="BN63" i="5"/>
  <c r="CU47" i="5"/>
  <c r="BO10" i="5"/>
  <c r="FG43" i="5"/>
  <c r="CQ80" i="5"/>
  <c r="CI80" i="5"/>
  <c r="CP80" i="5"/>
  <c r="CH80" i="5"/>
  <c r="CO80" i="5"/>
  <c r="CG80" i="5"/>
  <c r="CR80" i="5"/>
  <c r="CJ80" i="5"/>
  <c r="CS80" i="5"/>
  <c r="CN80" i="5"/>
  <c r="CT80" i="5"/>
  <c r="CK80" i="5"/>
  <c r="CU9" i="5"/>
  <c r="FS9" i="5" s="1"/>
  <c r="DZ81" i="5"/>
  <c r="DY81" i="5"/>
  <c r="DQ81" i="5"/>
  <c r="DX81" i="5"/>
  <c r="DP81" i="5"/>
  <c r="EA81" i="5"/>
  <c r="DU81" i="5"/>
  <c r="DT81" i="5"/>
  <c r="DO81" i="5"/>
  <c r="DV81" i="5"/>
  <c r="DW81" i="5"/>
  <c r="DN81" i="5"/>
  <c r="DM81" i="5"/>
  <c r="DV55" i="5"/>
  <c r="DN55" i="5"/>
  <c r="DX55" i="5"/>
  <c r="DO55" i="5"/>
  <c r="DY55" i="5"/>
  <c r="DM55" i="5"/>
  <c r="DW55" i="5"/>
  <c r="DU55" i="5"/>
  <c r="DT55" i="5"/>
  <c r="EA55" i="5"/>
  <c r="DZ55" i="5"/>
  <c r="DQ55" i="5"/>
  <c r="DP55" i="5"/>
  <c r="FS32" i="5" l="1"/>
  <c r="FS46" i="5"/>
  <c r="FS33" i="5"/>
  <c r="FN23" i="5"/>
  <c r="FS23" i="5"/>
  <c r="GI23" i="5" s="1"/>
  <c r="FN46" i="5"/>
  <c r="FS13" i="5"/>
  <c r="GI13" i="5" s="1"/>
  <c r="FN42" i="5"/>
  <c r="FO33" i="5"/>
  <c r="FG85" i="5"/>
  <c r="EK83" i="5"/>
  <c r="EM83" i="5" s="1"/>
  <c r="EN83" i="5" s="1"/>
  <c r="EO83" i="5" s="1"/>
  <c r="FN32" i="5"/>
  <c r="EL46" i="5"/>
  <c r="EK88" i="5"/>
  <c r="EM88" i="5" s="1"/>
  <c r="EN88" i="5" s="1"/>
  <c r="EO88" i="5" s="1"/>
  <c r="FO14" i="5"/>
  <c r="FN14" i="5"/>
  <c r="EK69" i="5"/>
  <c r="EL69" i="5" s="1"/>
  <c r="FN18" i="5"/>
  <c r="FN35" i="5"/>
  <c r="FO27" i="5"/>
  <c r="FO18" i="5"/>
  <c r="BO83" i="5"/>
  <c r="FO35" i="5"/>
  <c r="EK84" i="5"/>
  <c r="EL84" i="5" s="1"/>
  <c r="CU83" i="5"/>
  <c r="FN83" i="5" s="1"/>
  <c r="FS29" i="5"/>
  <c r="GI29" i="5" s="1"/>
  <c r="FN29" i="5"/>
  <c r="FS27" i="5"/>
  <c r="EK89" i="5"/>
  <c r="EL89" i="5" s="1"/>
  <c r="EK79" i="5"/>
  <c r="EL79" i="5" s="1"/>
  <c r="EK54" i="5"/>
  <c r="EM54" i="5" s="1"/>
  <c r="EK52" i="5"/>
  <c r="EM52" i="5" s="1"/>
  <c r="EK80" i="5"/>
  <c r="EM80" i="5" s="1"/>
  <c r="EK91" i="5"/>
  <c r="EM91" i="5" s="1"/>
  <c r="EK49" i="5"/>
  <c r="EL49" i="5" s="1"/>
  <c r="EK74" i="5"/>
  <c r="EK87" i="5"/>
  <c r="EM87" i="5" s="1"/>
  <c r="EN87" i="5" s="1"/>
  <c r="EO87" i="5" s="1"/>
  <c r="EK78" i="5"/>
  <c r="EL78" i="5" s="1"/>
  <c r="EK82" i="5"/>
  <c r="EL82" i="5" s="1"/>
  <c r="EK77" i="5"/>
  <c r="EM77" i="5" s="1"/>
  <c r="EN77" i="5" s="1"/>
  <c r="EO77" i="5" s="1"/>
  <c r="EK85" i="5"/>
  <c r="EL85" i="5" s="1"/>
  <c r="EK71" i="5"/>
  <c r="EM71" i="5" s="1"/>
  <c r="FN30" i="5"/>
  <c r="EK72" i="5"/>
  <c r="EL9" i="5"/>
  <c r="EM9" i="5"/>
  <c r="EK76" i="5"/>
  <c r="EL76" i="5" s="1"/>
  <c r="EK62" i="5"/>
  <c r="EM62" i="5" s="1"/>
  <c r="EK55" i="5"/>
  <c r="EM55" i="5" s="1"/>
  <c r="EK50" i="5"/>
  <c r="EM50" i="5" s="1"/>
  <c r="EN50" i="5" s="1"/>
  <c r="EK93" i="5"/>
  <c r="EL93" i="5" s="1"/>
  <c r="EK68" i="5"/>
  <c r="EM68" i="5" s="1"/>
  <c r="EK86" i="5"/>
  <c r="EM86" i="5" s="1"/>
  <c r="EN86" i="5" s="1"/>
  <c r="EO86" i="5" s="1"/>
  <c r="BO92" i="5"/>
  <c r="EK56" i="5"/>
  <c r="EM56" i="5" s="1"/>
  <c r="EK63" i="5"/>
  <c r="EL63" i="5" s="1"/>
  <c r="BO77" i="5"/>
  <c r="EK53" i="5"/>
  <c r="EL53" i="5" s="1"/>
  <c r="EK59" i="5"/>
  <c r="EL59" i="5" s="1"/>
  <c r="EK73" i="5"/>
  <c r="EK90" i="5"/>
  <c r="EL90" i="5" s="1"/>
  <c r="EK75" i="5"/>
  <c r="EM75" i="5" s="1"/>
  <c r="EN75" i="5" s="1"/>
  <c r="EK67" i="5"/>
  <c r="EL67" i="5" s="1"/>
  <c r="EK65" i="5"/>
  <c r="EM65" i="5" s="1"/>
  <c r="EK58" i="5"/>
  <c r="EM58" i="5" s="1"/>
  <c r="EK95" i="5"/>
  <c r="EM95" i="5" s="1"/>
  <c r="EK92" i="5"/>
  <c r="EL92" i="5" s="1"/>
  <c r="FG89" i="5"/>
  <c r="EK94" i="5"/>
  <c r="EL94" i="5" s="1"/>
  <c r="EK70" i="5"/>
  <c r="EM70" i="5" s="1"/>
  <c r="EK64" i="5"/>
  <c r="EK81" i="5"/>
  <c r="EM81" i="5" s="1"/>
  <c r="EN81" i="5" s="1"/>
  <c r="EO81" i="5" s="1"/>
  <c r="EK48" i="5"/>
  <c r="EM48" i="5" s="1"/>
  <c r="EK57" i="5"/>
  <c r="EM57" i="5" s="1"/>
  <c r="EK66" i="5"/>
  <c r="EM66" i="5" s="1"/>
  <c r="EN66" i="5" s="1"/>
  <c r="EO66" i="5" s="1"/>
  <c r="BO75" i="5"/>
  <c r="CU59" i="5"/>
  <c r="FS59" i="5" s="1"/>
  <c r="FO19" i="5"/>
  <c r="FN15" i="5"/>
  <c r="EM47" i="5"/>
  <c r="EN47" i="5" s="1"/>
  <c r="CU67" i="5"/>
  <c r="FO67" i="5" s="1"/>
  <c r="EM74" i="5"/>
  <c r="EN74" i="5" s="1"/>
  <c r="CU88" i="5"/>
  <c r="FS88" i="5" s="1"/>
  <c r="GI88" i="5" s="1"/>
  <c r="FN26" i="5"/>
  <c r="FN45" i="5"/>
  <c r="EM16" i="5"/>
  <c r="EN16" i="5" s="1"/>
  <c r="EO16" i="5" s="1"/>
  <c r="CU75" i="5"/>
  <c r="FO75" i="5" s="1"/>
  <c r="FO26" i="5"/>
  <c r="FO45" i="5"/>
  <c r="EM53" i="5"/>
  <c r="EN53" i="5" s="1"/>
  <c r="EO53" i="5" s="1"/>
  <c r="CU65" i="5"/>
  <c r="FN65" i="5" s="1"/>
  <c r="FS11" i="5"/>
  <c r="GI11" i="5" s="1"/>
  <c r="FG91" i="5"/>
  <c r="BO87" i="5"/>
  <c r="FG76" i="5"/>
  <c r="FG64" i="5"/>
  <c r="BO56" i="5"/>
  <c r="CU53" i="5"/>
  <c r="FN53" i="5" s="1"/>
  <c r="FG74" i="5"/>
  <c r="FG90" i="5"/>
  <c r="BO68" i="5"/>
  <c r="BO88" i="5"/>
  <c r="FG75" i="5"/>
  <c r="EM72" i="5"/>
  <c r="EN72" i="5" s="1"/>
  <c r="CU81" i="5"/>
  <c r="FN81" i="5" s="1"/>
  <c r="CU85" i="5"/>
  <c r="FS85" i="5" s="1"/>
  <c r="GI85" i="5" s="1"/>
  <c r="FN19" i="5"/>
  <c r="FO30" i="5"/>
  <c r="BO66" i="5"/>
  <c r="BO53" i="5"/>
  <c r="BO86" i="5"/>
  <c r="FO34" i="5"/>
  <c r="CU64" i="5"/>
  <c r="FN64" i="5" s="1"/>
  <c r="FN34" i="5"/>
  <c r="FN11" i="5"/>
  <c r="EM12" i="5"/>
  <c r="EN12" i="5" s="1"/>
  <c r="EO12" i="5" s="1"/>
  <c r="BO95" i="5"/>
  <c r="FG93" i="5"/>
  <c r="FG84" i="5"/>
  <c r="BO84" i="5"/>
  <c r="FG68" i="5"/>
  <c r="BO74" i="5"/>
  <c r="FG95" i="5"/>
  <c r="FG69" i="5"/>
  <c r="CU93" i="5"/>
  <c r="FS93" i="5" s="1"/>
  <c r="GI93" i="5" s="1"/>
  <c r="BO85" i="5"/>
  <c r="FG52" i="5"/>
  <c r="CU66" i="5"/>
  <c r="FO66" i="5" s="1"/>
  <c r="CU82" i="5"/>
  <c r="FS82" i="5" s="1"/>
  <c r="GI82" i="5" s="1"/>
  <c r="CU95" i="5"/>
  <c r="FS95" i="5" s="1"/>
  <c r="GI95" i="5" s="1"/>
  <c r="EL42" i="5"/>
  <c r="BO72" i="5"/>
  <c r="CU90" i="5"/>
  <c r="FS90" i="5" s="1"/>
  <c r="GI90" i="5" s="1"/>
  <c r="FG50" i="5"/>
  <c r="EL32" i="5"/>
  <c r="FO15" i="5"/>
  <c r="FO40" i="5"/>
  <c r="BO90" i="5"/>
  <c r="CU92" i="5"/>
  <c r="FN92" i="5" s="1"/>
  <c r="FS40" i="5"/>
  <c r="GI40" i="5" s="1"/>
  <c r="BO69" i="5"/>
  <c r="EM33" i="5"/>
  <c r="EN33" i="5" s="1"/>
  <c r="EO33" i="5" s="1"/>
  <c r="BO93" i="5"/>
  <c r="BO82" i="5"/>
  <c r="FG86" i="5"/>
  <c r="EL14" i="5"/>
  <c r="FN10" i="5"/>
  <c r="EL40" i="5"/>
  <c r="EL35" i="5"/>
  <c r="EM24" i="5"/>
  <c r="EN24" i="5" s="1"/>
  <c r="EO24" i="5" s="1"/>
  <c r="EL23" i="5"/>
  <c r="BO49" i="5"/>
  <c r="EL39" i="5"/>
  <c r="GI46" i="5"/>
  <c r="EL22" i="5"/>
  <c r="GI32" i="5"/>
  <c r="GI10" i="5"/>
  <c r="FG71" i="5"/>
  <c r="GI35" i="5"/>
  <c r="GI18" i="5"/>
  <c r="GI30" i="5"/>
  <c r="CU71" i="5"/>
  <c r="FN71" i="5" s="1"/>
  <c r="GI19" i="5"/>
  <c r="GI45" i="5"/>
  <c r="BO64" i="5"/>
  <c r="GI34" i="5"/>
  <c r="GI14" i="5"/>
  <c r="GI26" i="5"/>
  <c r="EL45" i="5"/>
  <c r="CU86" i="5"/>
  <c r="FS86" i="5" s="1"/>
  <c r="GI86" i="5" s="1"/>
  <c r="CU84" i="5"/>
  <c r="FN84" i="5" s="1"/>
  <c r="GI33" i="5"/>
  <c r="GI27" i="5"/>
  <c r="GI15" i="5"/>
  <c r="BO50" i="5"/>
  <c r="CU69" i="5"/>
  <c r="FS69" i="5" s="1"/>
  <c r="GI69" i="5" s="1"/>
  <c r="FG92" i="5"/>
  <c r="FG82" i="5"/>
  <c r="BO81" i="5"/>
  <c r="FO10" i="5"/>
  <c r="FS20" i="5"/>
  <c r="EL34" i="5"/>
  <c r="FS22" i="5"/>
  <c r="EL28" i="5"/>
  <c r="EM73" i="5"/>
  <c r="EN34" i="5"/>
  <c r="EO34" i="5" s="1"/>
  <c r="EP34" i="5" s="1"/>
  <c r="EL11" i="5"/>
  <c r="EL18" i="5"/>
  <c r="EL26" i="5"/>
  <c r="EM15" i="5"/>
  <c r="EN15" i="5" s="1"/>
  <c r="EL30" i="5"/>
  <c r="EM30" i="5"/>
  <c r="EN30" i="5" s="1"/>
  <c r="EO30" i="5" s="1"/>
  <c r="FG83" i="5"/>
  <c r="FG88" i="5"/>
  <c r="CU50" i="5"/>
  <c r="FS50" i="5" s="1"/>
  <c r="CU89" i="5"/>
  <c r="FO89" i="5" s="1"/>
  <c r="CU68" i="5"/>
  <c r="FO68" i="5" s="1"/>
  <c r="BO89" i="5"/>
  <c r="BO76" i="5"/>
  <c r="CU94" i="5"/>
  <c r="FO94" i="5" s="1"/>
  <c r="BO91" i="5"/>
  <c r="EM44" i="5"/>
  <c r="EN44" i="5" s="1"/>
  <c r="EO44" i="5" s="1"/>
  <c r="EM51" i="5"/>
  <c r="EN51" i="5" s="1"/>
  <c r="EL19" i="5"/>
  <c r="EM17" i="5"/>
  <c r="EN17" i="5" s="1"/>
  <c r="EL43" i="5"/>
  <c r="EL27" i="5"/>
  <c r="EM21" i="5"/>
  <c r="EN21" i="5" s="1"/>
  <c r="EL20" i="5"/>
  <c r="EL31" i="5"/>
  <c r="FN22" i="5"/>
  <c r="EL38" i="5"/>
  <c r="EM29" i="5"/>
  <c r="EN29" i="5" s="1"/>
  <c r="EM13" i="5"/>
  <c r="EN13" i="5" s="1"/>
  <c r="EM25" i="5"/>
  <c r="EN25" i="5" s="1"/>
  <c r="FO20" i="5"/>
  <c r="CU80" i="5"/>
  <c r="FS41" i="5"/>
  <c r="FO41" i="5"/>
  <c r="FN41" i="5"/>
  <c r="CU57" i="5"/>
  <c r="FO47" i="5"/>
  <c r="FN47" i="5"/>
  <c r="FS47" i="5"/>
  <c r="CU54" i="5"/>
  <c r="FG53" i="5"/>
  <c r="BO59" i="5"/>
  <c r="FG48" i="5"/>
  <c r="FG79" i="5"/>
  <c r="BO78" i="5"/>
  <c r="EP11" i="5"/>
  <c r="FG57" i="5"/>
  <c r="FG58" i="5"/>
  <c r="BO48" i="5"/>
  <c r="BO62" i="5"/>
  <c r="BO55" i="5"/>
  <c r="BO57" i="5"/>
  <c r="FG77" i="5"/>
  <c r="BO71" i="5"/>
  <c r="EM41" i="5"/>
  <c r="EL41" i="5"/>
  <c r="EN40" i="5"/>
  <c r="EO40" i="5" s="1"/>
  <c r="FO17" i="5"/>
  <c r="FN17" i="5"/>
  <c r="FS17" i="5"/>
  <c r="FO36" i="5"/>
  <c r="FN36" i="5"/>
  <c r="FS36" i="5"/>
  <c r="FN24" i="5"/>
  <c r="FO24" i="5"/>
  <c r="FS24" i="5"/>
  <c r="CU72" i="5"/>
  <c r="CU48" i="5"/>
  <c r="FS38" i="5"/>
  <c r="FO38" i="5"/>
  <c r="FN38" i="5"/>
  <c r="FG63" i="5"/>
  <c r="FN59" i="5"/>
  <c r="FG66" i="5"/>
  <c r="BO80" i="5"/>
  <c r="EP19" i="5"/>
  <c r="EN38" i="5"/>
  <c r="EO38" i="5" s="1"/>
  <c r="BO65" i="5"/>
  <c r="FN12" i="5"/>
  <c r="FO12" i="5"/>
  <c r="FS12" i="5"/>
  <c r="BO58" i="5"/>
  <c r="BO70" i="5"/>
  <c r="EO18" i="5"/>
  <c r="EP18" i="5" s="1"/>
  <c r="CU62" i="5"/>
  <c r="EM36" i="5"/>
  <c r="EL36" i="5"/>
  <c r="EP28" i="5"/>
  <c r="BO94" i="5"/>
  <c r="CU56" i="5"/>
  <c r="EN27" i="5"/>
  <c r="FO21" i="5"/>
  <c r="FN21" i="5"/>
  <c r="FS21" i="5"/>
  <c r="CU70" i="5"/>
  <c r="CU49" i="5"/>
  <c r="FG55" i="5"/>
  <c r="CU63" i="5"/>
  <c r="EP14" i="5"/>
  <c r="FG62" i="5"/>
  <c r="BO73" i="5"/>
  <c r="CU74" i="5"/>
  <c r="FG49" i="5"/>
  <c r="FN16" i="5"/>
  <c r="FO16" i="5"/>
  <c r="FS16" i="5"/>
  <c r="EP20" i="5"/>
  <c r="FS51" i="5"/>
  <c r="FO51" i="5"/>
  <c r="FN51" i="5"/>
  <c r="GH61" i="5"/>
  <c r="FG67" i="5"/>
  <c r="FG56" i="5"/>
  <c r="EN26" i="5"/>
  <c r="CU77" i="5"/>
  <c r="CU87" i="5"/>
  <c r="CU58" i="5"/>
  <c r="FG72" i="5"/>
  <c r="FG59" i="5"/>
  <c r="CU55" i="5"/>
  <c r="EL37" i="5"/>
  <c r="EM37" i="5"/>
  <c r="EM10" i="5"/>
  <c r="EL10" i="5"/>
  <c r="EN31" i="5"/>
  <c r="CU73" i="5"/>
  <c r="EN43" i="5"/>
  <c r="EO43" i="5" s="1"/>
  <c r="FG54" i="5"/>
  <c r="FG78" i="5"/>
  <c r="EP42" i="5"/>
  <c r="FG65" i="5"/>
  <c r="EO23" i="5"/>
  <c r="EP23" i="5" s="1"/>
  <c r="CU76" i="5"/>
  <c r="FO37" i="5"/>
  <c r="FN37" i="5"/>
  <c r="FS37" i="5"/>
  <c r="FO25" i="5"/>
  <c r="FN25" i="5"/>
  <c r="FS25" i="5"/>
  <c r="FG94" i="5"/>
  <c r="FN39" i="5"/>
  <c r="FO39" i="5"/>
  <c r="FS39" i="5"/>
  <c r="BO52" i="5"/>
  <c r="CU91" i="5"/>
  <c r="FG70" i="5"/>
  <c r="EN45" i="5"/>
  <c r="FN43" i="5"/>
  <c r="FO43" i="5"/>
  <c r="FS43" i="5"/>
  <c r="EO39" i="5"/>
  <c r="EP39" i="5" s="1"/>
  <c r="FN86" i="5"/>
  <c r="FO9" i="5"/>
  <c r="FN9" i="5"/>
  <c r="CU52" i="5"/>
  <c r="EO35" i="5"/>
  <c r="EP35" i="5" s="1"/>
  <c r="BO63" i="5"/>
  <c r="EP46" i="5"/>
  <c r="BO79" i="5"/>
  <c r="BO67" i="5"/>
  <c r="BO54" i="5"/>
  <c r="FG81" i="5"/>
  <c r="EO32" i="5"/>
  <c r="EP32" i="5" s="1"/>
  <c r="EO22" i="5"/>
  <c r="EP22" i="5" s="1"/>
  <c r="FO28" i="5"/>
  <c r="FS28" i="5"/>
  <c r="FN28" i="5"/>
  <c r="FS44" i="5"/>
  <c r="FO44" i="5"/>
  <c r="FN44" i="5"/>
  <c r="FG73" i="5"/>
  <c r="CU78" i="5"/>
  <c r="FG87" i="5"/>
  <c r="FG80" i="5"/>
  <c r="CU79" i="5"/>
  <c r="FN31" i="5"/>
  <c r="FS31" i="5"/>
  <c r="FO31" i="5"/>
  <c r="EL75" i="5" l="1"/>
  <c r="FO59" i="5"/>
  <c r="EL88" i="5"/>
  <c r="EP88" i="5"/>
  <c r="FN85" i="5"/>
  <c r="FO85" i="5"/>
  <c r="EL83" i="5"/>
  <c r="EM93" i="5"/>
  <c r="EN93" i="5" s="1"/>
  <c r="EP16" i="5"/>
  <c r="AY16" i="5" s="1"/>
  <c r="FS53" i="5"/>
  <c r="GI53" i="5" s="1"/>
  <c r="FN75" i="5"/>
  <c r="FO83" i="5"/>
  <c r="FS83" i="5"/>
  <c r="GI83" i="5" s="1"/>
  <c r="EL56" i="5"/>
  <c r="FS75" i="5"/>
  <c r="GI75" i="5" s="1"/>
  <c r="FS67" i="5"/>
  <c r="GI67" i="5" s="1"/>
  <c r="FN67" i="5"/>
  <c r="FS89" i="5"/>
  <c r="GI89" i="5" s="1"/>
  <c r="EM85" i="5"/>
  <c r="EN85" i="5" s="1"/>
  <c r="EO85" i="5" s="1"/>
  <c r="EP85" i="5" s="1"/>
  <c r="FN95" i="5"/>
  <c r="EN9" i="5"/>
  <c r="EO9" i="5" s="1"/>
  <c r="EP9" i="5" s="1"/>
  <c r="FO86" i="5"/>
  <c r="FO95" i="5"/>
  <c r="EP12" i="5"/>
  <c r="AX12" i="5" s="1"/>
  <c r="BF12" i="5" s="1"/>
  <c r="AX18" i="5"/>
  <c r="BF18" i="5" s="1"/>
  <c r="AY18" i="5"/>
  <c r="AX42" i="5"/>
  <c r="BF42" i="5" s="1"/>
  <c r="AY42" i="5"/>
  <c r="AY28" i="5"/>
  <c r="AX28" i="5"/>
  <c r="BF28" i="5" s="1"/>
  <c r="EL87" i="5"/>
  <c r="AX19" i="5"/>
  <c r="BF19" i="5" s="1"/>
  <c r="AY19" i="5"/>
  <c r="AX46" i="5"/>
  <c r="BF46" i="5" s="1"/>
  <c r="AY46" i="5"/>
  <c r="AX39" i="5"/>
  <c r="BF39" i="5" s="1"/>
  <c r="AY39" i="5"/>
  <c r="AX34" i="5"/>
  <c r="BF34" i="5" s="1"/>
  <c r="AY34" i="5"/>
  <c r="AY32" i="5"/>
  <c r="AX32" i="5"/>
  <c r="BF32" i="5" s="1"/>
  <c r="AX23" i="5"/>
  <c r="BF23" i="5" s="1"/>
  <c r="AY23" i="5"/>
  <c r="EL74" i="5"/>
  <c r="AX22" i="5"/>
  <c r="BF22" i="5" s="1"/>
  <c r="AY22" i="5"/>
  <c r="AX35" i="5"/>
  <c r="BF35" i="5" s="1"/>
  <c r="AY35" i="5"/>
  <c r="GH88" i="5"/>
  <c r="AY88" i="5"/>
  <c r="AX88" i="5"/>
  <c r="BF88" i="5" s="1"/>
  <c r="AY20" i="5"/>
  <c r="AX20" i="5"/>
  <c r="BF20" i="5" s="1"/>
  <c r="AX14" i="5"/>
  <c r="BF14" i="5" s="1"/>
  <c r="AY14" i="5"/>
  <c r="AX11" i="5"/>
  <c r="BF11" i="5" s="1"/>
  <c r="AY11" i="5"/>
  <c r="FO81" i="5"/>
  <c r="FS65" i="5"/>
  <c r="GI65" i="5" s="1"/>
  <c r="EL77" i="5"/>
  <c r="FO65" i="5"/>
  <c r="FS81" i="5"/>
  <c r="GI81" i="5" s="1"/>
  <c r="EM69" i="5"/>
  <c r="EN69" i="5" s="1"/>
  <c r="EO69" i="5" s="1"/>
  <c r="EL72" i="5"/>
  <c r="FO82" i="5"/>
  <c r="EL68" i="5"/>
  <c r="EL95" i="5"/>
  <c r="FO88" i="5"/>
  <c r="FS71" i="5"/>
  <c r="GI71" i="5" s="1"/>
  <c r="FN88" i="5"/>
  <c r="FS64" i="5"/>
  <c r="GI64" i="5" s="1"/>
  <c r="EL81" i="5"/>
  <c r="FO64" i="5"/>
  <c r="EL66" i="5"/>
  <c r="FO71" i="5"/>
  <c r="EL86" i="5"/>
  <c r="EM84" i="5"/>
  <c r="EN84" i="5" s="1"/>
  <c r="FN90" i="5"/>
  <c r="EM89" i="5"/>
  <c r="EN89" i="5" s="1"/>
  <c r="EO89" i="5" s="1"/>
  <c r="FO53" i="5"/>
  <c r="EM92" i="5"/>
  <c r="EN92" i="5" s="1"/>
  <c r="EM79" i="5"/>
  <c r="EN79" i="5" s="1"/>
  <c r="EO79" i="5" s="1"/>
  <c r="GI61" i="5"/>
  <c r="FO93" i="5"/>
  <c r="FO84" i="5"/>
  <c r="FN93" i="5"/>
  <c r="EM67" i="5"/>
  <c r="EN67" i="5" s="1"/>
  <c r="EO67" i="5" s="1"/>
  <c r="FS84" i="5"/>
  <c r="GI84" i="5" s="1"/>
  <c r="FS66" i="5"/>
  <c r="GI66" i="5" s="1"/>
  <c r="FO90" i="5"/>
  <c r="FN82" i="5"/>
  <c r="FN66" i="5"/>
  <c r="FN69" i="5"/>
  <c r="EP24" i="5"/>
  <c r="GH24" i="5" s="1"/>
  <c r="EM76" i="5"/>
  <c r="EN76" i="5" s="1"/>
  <c r="EO76" i="5" s="1"/>
  <c r="EM82" i="5"/>
  <c r="EN82" i="5" s="1"/>
  <c r="FS92" i="5"/>
  <c r="GI92" i="5" s="1"/>
  <c r="FO92" i="5"/>
  <c r="FN50" i="5"/>
  <c r="EO15" i="5"/>
  <c r="EP15" i="5" s="1"/>
  <c r="EP30" i="5"/>
  <c r="GI50" i="5"/>
  <c r="GI20" i="5"/>
  <c r="GI25" i="5"/>
  <c r="EL80" i="5"/>
  <c r="GI31" i="5"/>
  <c r="GI51" i="5"/>
  <c r="EL62" i="5"/>
  <c r="GI12" i="5"/>
  <c r="GI59" i="5"/>
  <c r="GI17" i="5"/>
  <c r="GI47" i="5"/>
  <c r="GI22" i="5"/>
  <c r="EM90" i="5"/>
  <c r="EN90" i="5" s="1"/>
  <c r="GI28" i="5"/>
  <c r="GI9" i="5"/>
  <c r="GI21" i="5"/>
  <c r="GI38" i="5"/>
  <c r="GI24" i="5"/>
  <c r="GI16" i="5"/>
  <c r="GI41" i="5"/>
  <c r="GI43" i="5"/>
  <c r="FO50" i="5"/>
  <c r="GI37" i="5"/>
  <c r="EM49" i="5"/>
  <c r="EN49" i="5" s="1"/>
  <c r="EO49" i="5" s="1"/>
  <c r="FO69" i="5"/>
  <c r="EL73" i="5"/>
  <c r="GI44" i="5"/>
  <c r="GI39" i="5"/>
  <c r="FS94" i="5"/>
  <c r="GI94" i="5" s="1"/>
  <c r="GI36" i="5"/>
  <c r="EM78" i="5"/>
  <c r="EN78" i="5" s="1"/>
  <c r="FN89" i="5"/>
  <c r="EL50" i="5"/>
  <c r="EL70" i="5"/>
  <c r="EM64" i="5"/>
  <c r="EN64" i="5" s="1"/>
  <c r="EL64" i="5"/>
  <c r="FN94" i="5"/>
  <c r="EP44" i="5"/>
  <c r="EP83" i="5"/>
  <c r="EL65" i="5"/>
  <c r="FN68" i="5"/>
  <c r="FS68" i="5"/>
  <c r="GI68" i="5" s="1"/>
  <c r="EL91" i="5"/>
  <c r="EL71" i="5"/>
  <c r="EM63" i="5"/>
  <c r="EN63" i="5" s="1"/>
  <c r="EO63" i="5" s="1"/>
  <c r="EM94" i="5"/>
  <c r="EL54" i="5"/>
  <c r="EL52" i="5"/>
  <c r="EL55" i="5"/>
  <c r="EL48" i="5"/>
  <c r="EM59" i="5"/>
  <c r="EN59" i="5" s="1"/>
  <c r="EO59" i="5" s="1"/>
  <c r="EL57" i="5"/>
  <c r="EL58" i="5"/>
  <c r="GH22" i="5"/>
  <c r="DC22" i="5"/>
  <c r="DS22" i="5" s="1"/>
  <c r="DB22" i="5"/>
  <c r="DR22" i="5" s="1"/>
  <c r="FH22" i="5" s="1"/>
  <c r="FJ22" i="5" s="1"/>
  <c r="FK22" i="5" s="1"/>
  <c r="GO22" i="5" s="1"/>
  <c r="BV22" i="5"/>
  <c r="CL22" i="5" s="1"/>
  <c r="BW22" i="5"/>
  <c r="CM22" i="5" s="1"/>
  <c r="GH39" i="5"/>
  <c r="BW39" i="5"/>
  <c r="CM39" i="5" s="1"/>
  <c r="DB39" i="5"/>
  <c r="DR39" i="5" s="1"/>
  <c r="FH39" i="5" s="1"/>
  <c r="FJ39" i="5" s="1"/>
  <c r="FK39" i="5" s="1"/>
  <c r="GO39" i="5" s="1"/>
  <c r="DC39" i="5"/>
  <c r="DS39" i="5" s="1"/>
  <c r="BV39" i="5"/>
  <c r="CL39" i="5" s="1"/>
  <c r="GH35" i="5"/>
  <c r="DB35" i="5"/>
  <c r="DR35" i="5" s="1"/>
  <c r="FH35" i="5" s="1"/>
  <c r="FJ35" i="5" s="1"/>
  <c r="FK35" i="5" s="1"/>
  <c r="GO35" i="5" s="1"/>
  <c r="BW35" i="5"/>
  <c r="CM35" i="5" s="1"/>
  <c r="DC35" i="5"/>
  <c r="DS35" i="5" s="1"/>
  <c r="BV35" i="5"/>
  <c r="CL35" i="5" s="1"/>
  <c r="GH18" i="5"/>
  <c r="DB18" i="5"/>
  <c r="DR18" i="5" s="1"/>
  <c r="FH18" i="5" s="1"/>
  <c r="FJ18" i="5" s="1"/>
  <c r="FK18" i="5" s="1"/>
  <c r="GO18" i="5" s="1"/>
  <c r="BV18" i="5"/>
  <c r="CL18" i="5" s="1"/>
  <c r="BW18" i="5"/>
  <c r="CM18" i="5" s="1"/>
  <c r="DC18" i="5"/>
  <c r="DS18" i="5" s="1"/>
  <c r="FO48" i="5"/>
  <c r="FN48" i="5"/>
  <c r="FS48" i="5"/>
  <c r="GH11" i="5"/>
  <c r="BV11" i="5"/>
  <c r="CL11" i="5" s="1"/>
  <c r="DC11" i="5"/>
  <c r="DS11" i="5" s="1"/>
  <c r="BW11" i="5"/>
  <c r="CM11" i="5" s="1"/>
  <c r="DB11" i="5"/>
  <c r="DR11" i="5" s="1"/>
  <c r="FH11" i="5" s="1"/>
  <c r="FJ11" i="5" s="1"/>
  <c r="FK11" i="5" s="1"/>
  <c r="GO11" i="5" s="1"/>
  <c r="FN78" i="5"/>
  <c r="FS78" i="5"/>
  <c r="GI78" i="5" s="1"/>
  <c r="FO78" i="5"/>
  <c r="FN91" i="5"/>
  <c r="FS91" i="5"/>
  <c r="GI91" i="5" s="1"/>
  <c r="FO91" i="5"/>
  <c r="EP43" i="5"/>
  <c r="FO58" i="5"/>
  <c r="FN58" i="5"/>
  <c r="FS58" i="5"/>
  <c r="EO25" i="5"/>
  <c r="EP25" i="5" s="1"/>
  <c r="EO27" i="5"/>
  <c r="EP27" i="5" s="1"/>
  <c r="EP87" i="5"/>
  <c r="EN52" i="5"/>
  <c r="EP81" i="5"/>
  <c r="EP86" i="5"/>
  <c r="EN80" i="5"/>
  <c r="EO80" i="5" s="1"/>
  <c r="EN55" i="5"/>
  <c r="EO45" i="5"/>
  <c r="EP45" i="5" s="1"/>
  <c r="DB42" i="5"/>
  <c r="DR42" i="5" s="1"/>
  <c r="FH42" i="5" s="1"/>
  <c r="FJ42" i="5" s="1"/>
  <c r="FK42" i="5" s="1"/>
  <c r="GO42" i="5" s="1"/>
  <c r="BV42" i="5"/>
  <c r="CL42" i="5" s="1"/>
  <c r="GH42" i="5"/>
  <c r="BW42" i="5"/>
  <c r="CM42" i="5" s="1"/>
  <c r="DC42" i="5"/>
  <c r="DS42" i="5" s="1"/>
  <c r="GH20" i="5"/>
  <c r="DC20" i="5"/>
  <c r="DS20" i="5" s="1"/>
  <c r="BV20" i="5"/>
  <c r="CL20" i="5" s="1"/>
  <c r="DB20" i="5"/>
  <c r="DR20" i="5" s="1"/>
  <c r="FH20" i="5" s="1"/>
  <c r="FJ20" i="5" s="1"/>
  <c r="FK20" i="5" s="1"/>
  <c r="GO20" i="5" s="1"/>
  <c r="BW20" i="5"/>
  <c r="CM20" i="5" s="1"/>
  <c r="GH23" i="5"/>
  <c r="DB23" i="5"/>
  <c r="DR23" i="5" s="1"/>
  <c r="FH23" i="5" s="1"/>
  <c r="FJ23" i="5" s="1"/>
  <c r="FK23" i="5" s="1"/>
  <c r="GO23" i="5" s="1"/>
  <c r="BW23" i="5"/>
  <c r="CM23" i="5" s="1"/>
  <c r="BV23" i="5"/>
  <c r="CL23" i="5" s="1"/>
  <c r="DC23" i="5"/>
  <c r="DS23" i="5" s="1"/>
  <c r="GH19" i="5"/>
  <c r="BV19" i="5"/>
  <c r="CL19" i="5" s="1"/>
  <c r="DC19" i="5"/>
  <c r="DS19" i="5" s="1"/>
  <c r="DB19" i="5"/>
  <c r="DR19" i="5" s="1"/>
  <c r="FH19" i="5" s="1"/>
  <c r="FJ19" i="5" s="1"/>
  <c r="FK19" i="5" s="1"/>
  <c r="GO19" i="5" s="1"/>
  <c r="BW19" i="5"/>
  <c r="CM19" i="5" s="1"/>
  <c r="EN73" i="5"/>
  <c r="EO73" i="5" s="1"/>
  <c r="FN57" i="5"/>
  <c r="FS57" i="5"/>
  <c r="FO57" i="5"/>
  <c r="EN71" i="5"/>
  <c r="EO71" i="5" s="1"/>
  <c r="DC28" i="5"/>
  <c r="DS28" i="5" s="1"/>
  <c r="BW28" i="5"/>
  <c r="CM28" i="5" s="1"/>
  <c r="DB28" i="5"/>
  <c r="DR28" i="5" s="1"/>
  <c r="FH28" i="5" s="1"/>
  <c r="FJ28" i="5" s="1"/>
  <c r="FK28" i="5" s="1"/>
  <c r="GO28" i="5" s="1"/>
  <c r="BV28" i="5"/>
  <c r="CL28" i="5" s="1"/>
  <c r="GH28" i="5"/>
  <c r="EP40" i="5"/>
  <c r="EN70" i="5"/>
  <c r="EO70" i="5" s="1"/>
  <c r="EN91" i="5"/>
  <c r="EN54" i="5"/>
  <c r="FS52" i="5"/>
  <c r="FN52" i="5"/>
  <c r="FO52" i="5"/>
  <c r="FS76" i="5"/>
  <c r="GI76" i="5" s="1"/>
  <c r="FO76" i="5"/>
  <c r="FN76" i="5"/>
  <c r="EN56" i="5"/>
  <c r="EO56" i="5" s="1"/>
  <c r="FN63" i="5"/>
  <c r="FO63" i="5"/>
  <c r="FS63" i="5"/>
  <c r="GI63" i="5" s="1"/>
  <c r="EO75" i="5"/>
  <c r="EP75" i="5" s="1"/>
  <c r="FO56" i="5"/>
  <c r="FN56" i="5"/>
  <c r="FS56" i="5"/>
  <c r="EP66" i="5"/>
  <c r="FO72" i="5"/>
  <c r="FN72" i="5"/>
  <c r="FS72" i="5"/>
  <c r="GI72" i="5" s="1"/>
  <c r="EP33" i="5"/>
  <c r="EO51" i="5"/>
  <c r="EP51" i="5" s="1"/>
  <c r="FS87" i="5"/>
  <c r="GI87" i="5" s="1"/>
  <c r="FO87" i="5"/>
  <c r="FN87" i="5"/>
  <c r="EO50" i="5"/>
  <c r="EP50" i="5" s="1"/>
  <c r="GH46" i="5"/>
  <c r="BV46" i="5"/>
  <c r="CL46" i="5" s="1"/>
  <c r="DC46" i="5"/>
  <c r="DS46" i="5" s="1"/>
  <c r="DB46" i="5"/>
  <c r="DR46" i="5" s="1"/>
  <c r="FH46" i="5" s="1"/>
  <c r="FJ46" i="5" s="1"/>
  <c r="FK46" i="5" s="1"/>
  <c r="GO46" i="5" s="1"/>
  <c r="BW46" i="5"/>
  <c r="CM46" i="5" s="1"/>
  <c r="EN37" i="5"/>
  <c r="EO26" i="5"/>
  <c r="EP26" i="5" s="1"/>
  <c r="FS74" i="5"/>
  <c r="GI74" i="5" s="1"/>
  <c r="FO74" i="5"/>
  <c r="FN74" i="5"/>
  <c r="FO49" i="5"/>
  <c r="FN49" i="5"/>
  <c r="FS49" i="5"/>
  <c r="EN68" i="5"/>
  <c r="EO68" i="5" s="1"/>
  <c r="EN95" i="5"/>
  <c r="EO95" i="5" s="1"/>
  <c r="EN62" i="5"/>
  <c r="EO62" i="5" s="1"/>
  <c r="EO21" i="5"/>
  <c r="EP21" i="5" s="1"/>
  <c r="EO17" i="5"/>
  <c r="EP17" i="5" s="1"/>
  <c r="EP77" i="5"/>
  <c r="EO74" i="5"/>
  <c r="EP74" i="5" s="1"/>
  <c r="FO54" i="5"/>
  <c r="FN54" i="5"/>
  <c r="FS54" i="5"/>
  <c r="EN58" i="5"/>
  <c r="EO58" i="5" s="1"/>
  <c r="EN65" i="5"/>
  <c r="EN10" i="5"/>
  <c r="DB88" i="5"/>
  <c r="DR88" i="5" s="1"/>
  <c r="FH88" i="5" s="1"/>
  <c r="FJ88" i="5" s="1"/>
  <c r="FK88" i="5" s="1"/>
  <c r="GO88" i="5" s="1"/>
  <c r="BV88" i="5"/>
  <c r="CL88" i="5" s="1"/>
  <c r="BW88" i="5"/>
  <c r="CM88" i="5" s="1"/>
  <c r="DC88" i="5"/>
  <c r="DS88" i="5" s="1"/>
  <c r="FO73" i="5"/>
  <c r="FS73" i="5"/>
  <c r="GI73" i="5" s="1"/>
  <c r="FN73" i="5"/>
  <c r="GO61" i="5"/>
  <c r="FN62" i="5"/>
  <c r="FS62" i="5"/>
  <c r="GI62" i="5" s="1"/>
  <c r="FO62" i="5"/>
  <c r="EN41" i="5"/>
  <c r="EO41" i="5" s="1"/>
  <c r="DC32" i="5"/>
  <c r="DS32" i="5" s="1"/>
  <c r="DB32" i="5"/>
  <c r="DR32" i="5" s="1"/>
  <c r="FH32" i="5" s="1"/>
  <c r="FJ32" i="5" s="1"/>
  <c r="FK32" i="5" s="1"/>
  <c r="GO32" i="5" s="1"/>
  <c r="GH32" i="5"/>
  <c r="BW32" i="5"/>
  <c r="CM32" i="5" s="1"/>
  <c r="BV32" i="5"/>
  <c r="CL32" i="5" s="1"/>
  <c r="FS77" i="5"/>
  <c r="GI77" i="5" s="1"/>
  <c r="FO77" i="5"/>
  <c r="FN77" i="5"/>
  <c r="BW14" i="5"/>
  <c r="CM14" i="5" s="1"/>
  <c r="GH14" i="5"/>
  <c r="DC14" i="5"/>
  <c r="DS14" i="5" s="1"/>
  <c r="DB14" i="5"/>
  <c r="DR14" i="5" s="1"/>
  <c r="FH14" i="5" s="1"/>
  <c r="FJ14" i="5" s="1"/>
  <c r="FK14" i="5" s="1"/>
  <c r="GO14" i="5" s="1"/>
  <c r="BV14" i="5"/>
  <c r="CL14" i="5" s="1"/>
  <c r="EO72" i="5"/>
  <c r="EP72" i="5" s="1"/>
  <c r="FN79" i="5"/>
  <c r="FO79" i="5"/>
  <c r="FS79" i="5"/>
  <c r="GI79" i="5" s="1"/>
  <c r="EO13" i="5"/>
  <c r="EP13" i="5" s="1"/>
  <c r="EO29" i="5"/>
  <c r="EP29" i="5" s="1"/>
  <c r="EP53" i="5"/>
  <c r="EO31" i="5"/>
  <c r="EP31" i="5" s="1"/>
  <c r="FS55" i="5"/>
  <c r="FO55" i="5"/>
  <c r="FN55" i="5"/>
  <c r="GH34" i="5"/>
  <c r="BV34" i="5"/>
  <c r="CL34" i="5" s="1"/>
  <c r="DC34" i="5"/>
  <c r="DS34" i="5" s="1"/>
  <c r="DB34" i="5"/>
  <c r="DR34" i="5" s="1"/>
  <c r="FH34" i="5" s="1"/>
  <c r="FJ34" i="5" s="1"/>
  <c r="FK34" i="5" s="1"/>
  <c r="GO34" i="5" s="1"/>
  <c r="BW34" i="5"/>
  <c r="CM34" i="5" s="1"/>
  <c r="FN70" i="5"/>
  <c r="FO70" i="5"/>
  <c r="FS70" i="5"/>
  <c r="GI70" i="5" s="1"/>
  <c r="EN36" i="5"/>
  <c r="EP38" i="5"/>
  <c r="EO47" i="5"/>
  <c r="EP47" i="5" s="1"/>
  <c r="FO80" i="5"/>
  <c r="FN80" i="5"/>
  <c r="FS80" i="5"/>
  <c r="GI80" i="5" s="1"/>
  <c r="EN48" i="5"/>
  <c r="EN57" i="5"/>
  <c r="EO93" i="5" l="1"/>
  <c r="EP93" i="5" s="1"/>
  <c r="GH16" i="5"/>
  <c r="BW16" i="5"/>
  <c r="CM16" i="5" s="1"/>
  <c r="DB16" i="5"/>
  <c r="DR16" i="5" s="1"/>
  <c r="FH16" i="5" s="1"/>
  <c r="FJ16" i="5" s="1"/>
  <c r="FK16" i="5" s="1"/>
  <c r="GO16" i="5" s="1"/>
  <c r="BV16" i="5"/>
  <c r="CL16" i="5" s="1"/>
  <c r="FT16" i="5" s="1"/>
  <c r="DC16" i="5"/>
  <c r="DS16" i="5" s="1"/>
  <c r="AX16" i="5"/>
  <c r="BF16" i="5" s="1"/>
  <c r="DC12" i="5"/>
  <c r="DS12" i="5" s="1"/>
  <c r="GH12" i="5"/>
  <c r="EO84" i="5"/>
  <c r="EP84" i="5" s="1"/>
  <c r="AX84" i="5" s="1"/>
  <c r="BF84" i="5" s="1"/>
  <c r="BW12" i="5"/>
  <c r="CM12" i="5" s="1"/>
  <c r="DB12" i="5"/>
  <c r="DR12" i="5" s="1"/>
  <c r="FH12" i="5" s="1"/>
  <c r="FJ12" i="5" s="1"/>
  <c r="FK12" i="5" s="1"/>
  <c r="GO12" i="5" s="1"/>
  <c r="BV12" i="5"/>
  <c r="CL12" i="5" s="1"/>
  <c r="FM12" i="5" s="1"/>
  <c r="AY12" i="5"/>
  <c r="EQ12" i="5" s="1"/>
  <c r="ER12" i="5" s="1"/>
  <c r="ES12" i="5" s="1"/>
  <c r="EP69" i="5"/>
  <c r="AX69" i="5" s="1"/>
  <c r="BF69" i="5" s="1"/>
  <c r="BW9" i="5"/>
  <c r="CM9" i="5" s="1"/>
  <c r="BV9" i="5"/>
  <c r="CL9" i="5" s="1"/>
  <c r="FT9" i="5" s="1"/>
  <c r="AX29" i="5"/>
  <c r="BF29" i="5" s="1"/>
  <c r="AY29" i="5"/>
  <c r="BV15" i="5"/>
  <c r="CL15" i="5" s="1"/>
  <c r="FM15" i="5" s="1"/>
  <c r="AX15" i="5"/>
  <c r="BF15" i="5" s="1"/>
  <c r="AY15" i="5"/>
  <c r="BG15" i="5" s="1"/>
  <c r="AX13" i="5"/>
  <c r="BF13" i="5" s="1"/>
  <c r="AY13" i="5"/>
  <c r="AY40" i="5"/>
  <c r="AX40" i="5"/>
  <c r="BF40" i="5" s="1"/>
  <c r="GH77" i="5"/>
  <c r="AX77" i="5"/>
  <c r="BF77" i="5" s="1"/>
  <c r="AY77" i="5"/>
  <c r="AX51" i="5"/>
  <c r="BF51" i="5" s="1"/>
  <c r="AY51" i="5"/>
  <c r="GH87" i="5"/>
  <c r="AX87" i="5"/>
  <c r="BF87" i="5" s="1"/>
  <c r="AY87" i="5"/>
  <c r="AX50" i="5"/>
  <c r="BF50" i="5" s="1"/>
  <c r="AY50" i="5"/>
  <c r="DB44" i="5"/>
  <c r="DR44" i="5" s="1"/>
  <c r="FH44" i="5" s="1"/>
  <c r="FJ44" i="5" s="1"/>
  <c r="FK44" i="5" s="1"/>
  <c r="GO44" i="5" s="1"/>
  <c r="AY44" i="5"/>
  <c r="BG44" i="5" s="1"/>
  <c r="AX44" i="5"/>
  <c r="BF44" i="5" s="1"/>
  <c r="GH81" i="5"/>
  <c r="AX81" i="5"/>
  <c r="BF81" i="5" s="1"/>
  <c r="AY81" i="5"/>
  <c r="AX47" i="5"/>
  <c r="BF47" i="5" s="1"/>
  <c r="AY47" i="5"/>
  <c r="AX17" i="5"/>
  <c r="BF17" i="5" s="1"/>
  <c r="AY17" i="5"/>
  <c r="AX33" i="5"/>
  <c r="AY33" i="5"/>
  <c r="GH75" i="5"/>
  <c r="AX75" i="5"/>
  <c r="BF75" i="5" s="1"/>
  <c r="AY75" i="5"/>
  <c r="AX45" i="5"/>
  <c r="BF45" i="5" s="1"/>
  <c r="AY45" i="5"/>
  <c r="AY27" i="5"/>
  <c r="AX27" i="5"/>
  <c r="BF27" i="5" s="1"/>
  <c r="AX26" i="5"/>
  <c r="BF26" i="5" s="1"/>
  <c r="AY26" i="5"/>
  <c r="GH93" i="5"/>
  <c r="AX93" i="5"/>
  <c r="AY93" i="5"/>
  <c r="AX43" i="5"/>
  <c r="BF43" i="5" s="1"/>
  <c r="AY43" i="5"/>
  <c r="GH74" i="5"/>
  <c r="AX74" i="5"/>
  <c r="BF74" i="5" s="1"/>
  <c r="AY74" i="5"/>
  <c r="AX38" i="5"/>
  <c r="BF38" i="5" s="1"/>
  <c r="AY38" i="5"/>
  <c r="AX31" i="5"/>
  <c r="BF31" i="5" s="1"/>
  <c r="AY31" i="5"/>
  <c r="AX21" i="5"/>
  <c r="BF21" i="5" s="1"/>
  <c r="AY21" i="5"/>
  <c r="AX25" i="5"/>
  <c r="BF25" i="5" s="1"/>
  <c r="AY25" i="5"/>
  <c r="BW15" i="5"/>
  <c r="CM15" i="5" s="1"/>
  <c r="DB24" i="5"/>
  <c r="DR24" i="5" s="1"/>
  <c r="FH24" i="5" s="1"/>
  <c r="FJ24" i="5" s="1"/>
  <c r="FK24" i="5" s="1"/>
  <c r="GO24" i="5" s="1"/>
  <c r="AY24" i="5"/>
  <c r="AX24" i="5"/>
  <c r="BF24" i="5" s="1"/>
  <c r="GH66" i="5"/>
  <c r="AX66" i="5"/>
  <c r="BF66" i="5" s="1"/>
  <c r="AY66" i="5"/>
  <c r="GH86" i="5"/>
  <c r="AX86" i="5"/>
  <c r="BF86" i="5" s="1"/>
  <c r="AY86" i="5"/>
  <c r="GH85" i="5"/>
  <c r="AX85" i="5"/>
  <c r="BF85" i="5" s="1"/>
  <c r="AY85" i="5"/>
  <c r="AX53" i="5"/>
  <c r="BF53" i="5" s="1"/>
  <c r="AY53" i="5"/>
  <c r="GH72" i="5"/>
  <c r="AY72" i="5"/>
  <c r="AX72" i="5"/>
  <c r="BF72" i="5" s="1"/>
  <c r="AX83" i="5"/>
  <c r="BF83" i="5" s="1"/>
  <c r="AY83" i="5"/>
  <c r="BG83" i="5" s="1"/>
  <c r="AX30" i="5"/>
  <c r="BF30" i="5" s="1"/>
  <c r="AY30" i="5"/>
  <c r="DB15" i="5"/>
  <c r="DR15" i="5" s="1"/>
  <c r="FH15" i="5" s="1"/>
  <c r="FJ15" i="5" s="1"/>
  <c r="FK15" i="5" s="1"/>
  <c r="GO15" i="5" s="1"/>
  <c r="EO90" i="5"/>
  <c r="EP90" i="5" s="1"/>
  <c r="BW90" i="5" s="1"/>
  <c r="CM90" i="5" s="1"/>
  <c r="EO92" i="5"/>
  <c r="EP92" i="5" s="1"/>
  <c r="DB30" i="5"/>
  <c r="DR30" i="5" s="1"/>
  <c r="FH30" i="5" s="1"/>
  <c r="FJ30" i="5" s="1"/>
  <c r="FK30" i="5" s="1"/>
  <c r="GO30" i="5" s="1"/>
  <c r="BW24" i="5"/>
  <c r="CM24" i="5" s="1"/>
  <c r="BW30" i="5"/>
  <c r="CM30" i="5" s="1"/>
  <c r="BV24" i="5"/>
  <c r="CL24" i="5" s="1"/>
  <c r="FT24" i="5" s="1"/>
  <c r="EO82" i="5"/>
  <c r="EP82" i="5" s="1"/>
  <c r="GH30" i="5"/>
  <c r="BV30" i="5"/>
  <c r="CL30" i="5" s="1"/>
  <c r="FM30" i="5" s="1"/>
  <c r="DC24" i="5"/>
  <c r="DS24" i="5" s="1"/>
  <c r="DC15" i="5"/>
  <c r="DS15" i="5" s="1"/>
  <c r="DC30" i="5"/>
  <c r="DS30" i="5" s="1"/>
  <c r="GH15" i="5"/>
  <c r="DC83" i="5"/>
  <c r="DS83" i="5" s="1"/>
  <c r="GH83" i="5"/>
  <c r="DC44" i="5"/>
  <c r="DS44" i="5" s="1"/>
  <c r="BW44" i="5"/>
  <c r="CM44" i="5" s="1"/>
  <c r="BV44" i="5"/>
  <c r="CL44" i="5" s="1"/>
  <c r="FM44" i="5" s="1"/>
  <c r="GH44" i="5"/>
  <c r="BW83" i="5"/>
  <c r="CM83" i="5" s="1"/>
  <c r="GI49" i="5"/>
  <c r="GI55" i="5"/>
  <c r="BV83" i="5"/>
  <c r="CL83" i="5" s="1"/>
  <c r="FT83" i="5" s="1"/>
  <c r="GJ83" i="5" s="1"/>
  <c r="GI52" i="5"/>
  <c r="GI56" i="5"/>
  <c r="DB83" i="5"/>
  <c r="DR83" i="5" s="1"/>
  <c r="FH83" i="5" s="1"/>
  <c r="FJ83" i="5" s="1"/>
  <c r="FK83" i="5" s="1"/>
  <c r="GO83" i="5" s="1"/>
  <c r="GI54" i="5"/>
  <c r="EO64" i="5"/>
  <c r="EP64" i="5" s="1"/>
  <c r="GI58" i="5"/>
  <c r="GI48" i="5"/>
  <c r="GI57" i="5"/>
  <c r="EN94" i="5"/>
  <c r="EO94" i="5" s="1"/>
  <c r="EP94" i="5" s="1"/>
  <c r="GH27" i="5"/>
  <c r="DB27" i="5"/>
  <c r="DR27" i="5" s="1"/>
  <c r="FH27" i="5" s="1"/>
  <c r="FJ27" i="5" s="1"/>
  <c r="FK27" i="5" s="1"/>
  <c r="GO27" i="5" s="1"/>
  <c r="DC27" i="5"/>
  <c r="DS27" i="5" s="1"/>
  <c r="BV27" i="5"/>
  <c r="CL27" i="5" s="1"/>
  <c r="BW27" i="5"/>
  <c r="CM27" i="5" s="1"/>
  <c r="GH13" i="5"/>
  <c r="DB13" i="5"/>
  <c r="DR13" i="5" s="1"/>
  <c r="FH13" i="5" s="1"/>
  <c r="FJ13" i="5" s="1"/>
  <c r="FK13" i="5" s="1"/>
  <c r="GO13" i="5" s="1"/>
  <c r="BW13" i="5"/>
  <c r="CM13" i="5" s="1"/>
  <c r="DC13" i="5"/>
  <c r="DS13" i="5" s="1"/>
  <c r="BV13" i="5"/>
  <c r="CL13" i="5" s="1"/>
  <c r="GH17" i="5"/>
  <c r="DB17" i="5"/>
  <c r="DR17" i="5" s="1"/>
  <c r="FH17" i="5" s="1"/>
  <c r="FJ17" i="5" s="1"/>
  <c r="FK17" i="5" s="1"/>
  <c r="GO17" i="5" s="1"/>
  <c r="DC17" i="5"/>
  <c r="DS17" i="5" s="1"/>
  <c r="BV17" i="5"/>
  <c r="CL17" i="5" s="1"/>
  <c r="BW17" i="5"/>
  <c r="CM17" i="5" s="1"/>
  <c r="BF93" i="5"/>
  <c r="DC93" i="5"/>
  <c r="DS93" i="5" s="1"/>
  <c r="BV93" i="5"/>
  <c r="CL93" i="5" s="1"/>
  <c r="DB93" i="5"/>
  <c r="DR93" i="5" s="1"/>
  <c r="FH93" i="5" s="1"/>
  <c r="FJ93" i="5" s="1"/>
  <c r="FK93" i="5" s="1"/>
  <c r="GO93" i="5" s="1"/>
  <c r="BW93" i="5"/>
  <c r="CM93" i="5" s="1"/>
  <c r="GH21" i="5"/>
  <c r="DB21" i="5"/>
  <c r="DR21" i="5" s="1"/>
  <c r="FH21" i="5" s="1"/>
  <c r="FJ21" i="5" s="1"/>
  <c r="FK21" i="5" s="1"/>
  <c r="GO21" i="5" s="1"/>
  <c r="DC21" i="5"/>
  <c r="DS21" i="5" s="1"/>
  <c r="BV21" i="5"/>
  <c r="CL21" i="5" s="1"/>
  <c r="BW21" i="5"/>
  <c r="CM21" i="5" s="1"/>
  <c r="GH31" i="5"/>
  <c r="BW31" i="5"/>
  <c r="CM31" i="5" s="1"/>
  <c r="DC31" i="5"/>
  <c r="DS31" i="5" s="1"/>
  <c r="DB31" i="5"/>
  <c r="DR31" i="5" s="1"/>
  <c r="FH31" i="5" s="1"/>
  <c r="FJ31" i="5" s="1"/>
  <c r="FK31" i="5" s="1"/>
  <c r="GO31" i="5" s="1"/>
  <c r="BV31" i="5"/>
  <c r="CL31" i="5" s="1"/>
  <c r="BW85" i="5"/>
  <c r="CM85" i="5" s="1"/>
  <c r="DC85" i="5"/>
  <c r="DS85" i="5" s="1"/>
  <c r="BV85" i="5"/>
  <c r="CL85" i="5" s="1"/>
  <c r="DB85" i="5"/>
  <c r="DR85" i="5" s="1"/>
  <c r="FH85" i="5" s="1"/>
  <c r="FJ85" i="5" s="1"/>
  <c r="FK85" i="5" s="1"/>
  <c r="GO85" i="5" s="1"/>
  <c r="GH45" i="5"/>
  <c r="BV45" i="5"/>
  <c r="CL45" i="5" s="1"/>
  <c r="DB45" i="5"/>
  <c r="DR45" i="5" s="1"/>
  <c r="FH45" i="5" s="1"/>
  <c r="FJ45" i="5" s="1"/>
  <c r="FK45" i="5" s="1"/>
  <c r="GO45" i="5" s="1"/>
  <c r="BW45" i="5"/>
  <c r="CM45" i="5" s="1"/>
  <c r="DC45" i="5"/>
  <c r="DS45" i="5" s="1"/>
  <c r="GH9" i="5"/>
  <c r="AY9" i="5"/>
  <c r="DB9" i="5"/>
  <c r="DR9" i="5" s="1"/>
  <c r="FH9" i="5" s="1"/>
  <c r="FJ9" i="5" s="1"/>
  <c r="FK9" i="5" s="1"/>
  <c r="GO9" i="5" s="1"/>
  <c r="AX9" i="5"/>
  <c r="BF9" i="5" s="1"/>
  <c r="DC9" i="5"/>
  <c r="DS9" i="5" s="1"/>
  <c r="BV29" i="5"/>
  <c r="CL29" i="5" s="1"/>
  <c r="DC29" i="5"/>
  <c r="DS29" i="5" s="1"/>
  <c r="GH29" i="5"/>
  <c r="BW29" i="5"/>
  <c r="CM29" i="5" s="1"/>
  <c r="DB29" i="5"/>
  <c r="DR29" i="5" s="1"/>
  <c r="FH29" i="5" s="1"/>
  <c r="FJ29" i="5" s="1"/>
  <c r="FK29" i="5" s="1"/>
  <c r="GO29" i="5" s="1"/>
  <c r="DC72" i="5"/>
  <c r="DS72" i="5" s="1"/>
  <c r="DB72" i="5"/>
  <c r="DR72" i="5" s="1"/>
  <c r="FH72" i="5" s="1"/>
  <c r="FJ72" i="5" s="1"/>
  <c r="FK72" i="5" s="1"/>
  <c r="GO72" i="5" s="1"/>
  <c r="BW72" i="5"/>
  <c r="CM72" i="5" s="1"/>
  <c r="BV72" i="5"/>
  <c r="CL72" i="5" s="1"/>
  <c r="DC74" i="5"/>
  <c r="DS74" i="5" s="1"/>
  <c r="DB74" i="5"/>
  <c r="DR74" i="5" s="1"/>
  <c r="FH74" i="5" s="1"/>
  <c r="FJ74" i="5" s="1"/>
  <c r="FK74" i="5" s="1"/>
  <c r="GO74" i="5" s="1"/>
  <c r="BV74" i="5"/>
  <c r="CL74" i="5" s="1"/>
  <c r="BW74" i="5"/>
  <c r="CM74" i="5" s="1"/>
  <c r="GH26" i="5"/>
  <c r="DC26" i="5"/>
  <c r="DS26" i="5" s="1"/>
  <c r="DB26" i="5"/>
  <c r="DR26" i="5" s="1"/>
  <c r="FH26" i="5" s="1"/>
  <c r="FJ26" i="5" s="1"/>
  <c r="FK26" i="5" s="1"/>
  <c r="GO26" i="5" s="1"/>
  <c r="BV26" i="5"/>
  <c r="CL26" i="5" s="1"/>
  <c r="BW26" i="5"/>
  <c r="CM26" i="5" s="1"/>
  <c r="GH47" i="5"/>
  <c r="DC47" i="5"/>
  <c r="DS47" i="5" s="1"/>
  <c r="DB47" i="5"/>
  <c r="DR47" i="5" s="1"/>
  <c r="FH47" i="5" s="1"/>
  <c r="FJ47" i="5" s="1"/>
  <c r="FK47" i="5" s="1"/>
  <c r="GO47" i="5" s="1"/>
  <c r="BV47" i="5"/>
  <c r="CL47" i="5" s="1"/>
  <c r="BW47" i="5"/>
  <c r="CM47" i="5" s="1"/>
  <c r="GH25" i="5"/>
  <c r="BW25" i="5"/>
  <c r="CM25" i="5" s="1"/>
  <c r="BV25" i="5"/>
  <c r="CL25" i="5" s="1"/>
  <c r="DB25" i="5"/>
  <c r="DR25" i="5" s="1"/>
  <c r="FH25" i="5" s="1"/>
  <c r="FJ25" i="5" s="1"/>
  <c r="FK25" i="5" s="1"/>
  <c r="GO25" i="5" s="1"/>
  <c r="DC25" i="5"/>
  <c r="DS25" i="5" s="1"/>
  <c r="GH50" i="5"/>
  <c r="BV50" i="5"/>
  <c r="CL50" i="5" s="1"/>
  <c r="DC50" i="5"/>
  <c r="DS50" i="5" s="1"/>
  <c r="BW50" i="5"/>
  <c r="CM50" i="5" s="1"/>
  <c r="DB50" i="5"/>
  <c r="DR50" i="5" s="1"/>
  <c r="FH50" i="5" s="1"/>
  <c r="FJ50" i="5" s="1"/>
  <c r="FK50" i="5" s="1"/>
  <c r="GO50" i="5" s="1"/>
  <c r="GJ61" i="5"/>
  <c r="FT88" i="5"/>
  <c r="GJ88" i="5" s="1"/>
  <c r="FM88" i="5"/>
  <c r="DB77" i="5"/>
  <c r="DR77" i="5" s="1"/>
  <c r="FH77" i="5" s="1"/>
  <c r="FJ77" i="5" s="1"/>
  <c r="FK77" i="5" s="1"/>
  <c r="GO77" i="5" s="1"/>
  <c r="BV77" i="5"/>
  <c r="CL77" i="5" s="1"/>
  <c r="DC77" i="5"/>
  <c r="DS77" i="5" s="1"/>
  <c r="BW77" i="5"/>
  <c r="CM77" i="5" s="1"/>
  <c r="FT35" i="5"/>
  <c r="FM35" i="5"/>
  <c r="FM39" i="5"/>
  <c r="FT39" i="5"/>
  <c r="GQ61" i="5"/>
  <c r="EP58" i="5"/>
  <c r="EP95" i="5"/>
  <c r="FT46" i="5"/>
  <c r="FM46" i="5"/>
  <c r="FM16" i="5"/>
  <c r="GH40" i="5"/>
  <c r="BW40" i="5"/>
  <c r="CM40" i="5" s="1"/>
  <c r="BV40" i="5"/>
  <c r="CL40" i="5" s="1"/>
  <c r="DB40" i="5"/>
  <c r="DR40" i="5" s="1"/>
  <c r="FH40" i="5" s="1"/>
  <c r="FJ40" i="5" s="1"/>
  <c r="FK40" i="5" s="1"/>
  <c r="GO40" i="5" s="1"/>
  <c r="DC40" i="5"/>
  <c r="DS40" i="5" s="1"/>
  <c r="EP71" i="5"/>
  <c r="FM23" i="5"/>
  <c r="FT23" i="5"/>
  <c r="EQ20" i="5"/>
  <c r="ER20" i="5" s="1"/>
  <c r="ES20" i="5" s="1"/>
  <c r="BG20" i="5"/>
  <c r="FA20" i="5" s="1"/>
  <c r="FB20" i="5" s="1"/>
  <c r="FT42" i="5"/>
  <c r="FM42" i="5"/>
  <c r="EP80" i="5"/>
  <c r="DC87" i="5"/>
  <c r="DS87" i="5" s="1"/>
  <c r="BW87" i="5"/>
  <c r="CM87" i="5" s="1"/>
  <c r="BV87" i="5"/>
  <c r="CL87" i="5" s="1"/>
  <c r="DB87" i="5"/>
  <c r="DR87" i="5" s="1"/>
  <c r="FH87" i="5" s="1"/>
  <c r="FJ87" i="5" s="1"/>
  <c r="FK87" i="5" s="1"/>
  <c r="GO87" i="5" s="1"/>
  <c r="FM11" i="5"/>
  <c r="FT11" i="5"/>
  <c r="FM22" i="5"/>
  <c r="FT22" i="5"/>
  <c r="EQ46" i="5"/>
  <c r="ER46" i="5" s="1"/>
  <c r="ES46" i="5" s="1"/>
  <c r="BG46" i="5"/>
  <c r="FA46" i="5" s="1"/>
  <c r="FB46" i="5" s="1"/>
  <c r="EP56" i="5"/>
  <c r="EO91" i="5"/>
  <c r="EP91" i="5" s="1"/>
  <c r="BW75" i="5"/>
  <c r="CM75" i="5" s="1"/>
  <c r="DC75" i="5"/>
  <c r="DS75" i="5" s="1"/>
  <c r="BV75" i="5"/>
  <c r="CL75" i="5" s="1"/>
  <c r="DB75" i="5"/>
  <c r="DR75" i="5" s="1"/>
  <c r="FH75" i="5" s="1"/>
  <c r="FJ75" i="5" s="1"/>
  <c r="FK75" i="5" s="1"/>
  <c r="GO75" i="5" s="1"/>
  <c r="FM19" i="5"/>
  <c r="FT19" i="5"/>
  <c r="EO78" i="5"/>
  <c r="EP78" i="5" s="1"/>
  <c r="EQ11" i="5"/>
  <c r="ER11" i="5" s="1"/>
  <c r="ES11" i="5" s="1"/>
  <c r="BG11" i="5"/>
  <c r="FA11" i="5" s="1"/>
  <c r="FB11" i="5" s="1"/>
  <c r="EQ39" i="5"/>
  <c r="ER39" i="5" s="1"/>
  <c r="ES39" i="5" s="1"/>
  <c r="BG39" i="5"/>
  <c r="FA39" i="5" s="1"/>
  <c r="FB39" i="5" s="1"/>
  <c r="EP79" i="5"/>
  <c r="EP68" i="5"/>
  <c r="EP89" i="5"/>
  <c r="GH51" i="5"/>
  <c r="DC51" i="5"/>
  <c r="DS51" i="5" s="1"/>
  <c r="BW51" i="5"/>
  <c r="CM51" i="5" s="1"/>
  <c r="DB51" i="5"/>
  <c r="DR51" i="5" s="1"/>
  <c r="FH51" i="5" s="1"/>
  <c r="FJ51" i="5" s="1"/>
  <c r="FK51" i="5" s="1"/>
  <c r="GO51" i="5" s="1"/>
  <c r="BV51" i="5"/>
  <c r="CL51" i="5" s="1"/>
  <c r="EP70" i="5"/>
  <c r="FT28" i="5"/>
  <c r="FM28" i="5"/>
  <c r="EP73" i="5"/>
  <c r="EQ19" i="5"/>
  <c r="ER19" i="5" s="1"/>
  <c r="ES19" i="5" s="1"/>
  <c r="BG19" i="5"/>
  <c r="FA19" i="5" s="1"/>
  <c r="FB19" i="5" s="1"/>
  <c r="EP67" i="5"/>
  <c r="FM18" i="5"/>
  <c r="FT18" i="5"/>
  <c r="EQ14" i="5"/>
  <c r="ER14" i="5" s="1"/>
  <c r="ES14" i="5" s="1"/>
  <c r="BG14" i="5"/>
  <c r="FA14" i="5" s="1"/>
  <c r="FB14" i="5" s="1"/>
  <c r="EP76" i="5"/>
  <c r="EQ34" i="5"/>
  <c r="ER34" i="5" s="1"/>
  <c r="ES34" i="5" s="1"/>
  <c r="BG34" i="5"/>
  <c r="FA34" i="5" s="1"/>
  <c r="FB34" i="5" s="1"/>
  <c r="DC86" i="5"/>
  <c r="DS86" i="5" s="1"/>
  <c r="DB86" i="5"/>
  <c r="DR86" i="5" s="1"/>
  <c r="FH86" i="5" s="1"/>
  <c r="FJ86" i="5" s="1"/>
  <c r="FK86" i="5" s="1"/>
  <c r="GO86" i="5" s="1"/>
  <c r="BW86" i="5"/>
  <c r="CM86" i="5" s="1"/>
  <c r="BV86" i="5"/>
  <c r="CL86" i="5" s="1"/>
  <c r="EQ22" i="5"/>
  <c r="ER22" i="5" s="1"/>
  <c r="ES22" i="5" s="1"/>
  <c r="BG22" i="5"/>
  <c r="FA22" i="5" s="1"/>
  <c r="FB22" i="5" s="1"/>
  <c r="FT34" i="5"/>
  <c r="FM34" i="5"/>
  <c r="BV33" i="5"/>
  <c r="CL33" i="5" s="1"/>
  <c r="GH33" i="5"/>
  <c r="DC33" i="5"/>
  <c r="DS33" i="5" s="1"/>
  <c r="BF33" i="5"/>
  <c r="DB33" i="5"/>
  <c r="DR33" i="5" s="1"/>
  <c r="FH33" i="5" s="1"/>
  <c r="FJ33" i="5" s="1"/>
  <c r="FK33" i="5" s="1"/>
  <c r="GO33" i="5" s="1"/>
  <c r="BW33" i="5"/>
  <c r="CM33" i="5" s="1"/>
  <c r="EP49" i="5"/>
  <c r="EO36" i="5"/>
  <c r="EP36" i="5" s="1"/>
  <c r="FT14" i="5"/>
  <c r="FM14" i="5"/>
  <c r="EQ32" i="5"/>
  <c r="ER32" i="5" s="1"/>
  <c r="ES32" i="5" s="1"/>
  <c r="BG32" i="5"/>
  <c r="FA32" i="5" s="1"/>
  <c r="FB32" i="5" s="1"/>
  <c r="EO10" i="5"/>
  <c r="EP10" i="5" s="1"/>
  <c r="EP62" i="5"/>
  <c r="BW66" i="5"/>
  <c r="CM66" i="5" s="1"/>
  <c r="BV66" i="5"/>
  <c r="CL66" i="5" s="1"/>
  <c r="DC66" i="5"/>
  <c r="DS66" i="5" s="1"/>
  <c r="DB66" i="5"/>
  <c r="DR66" i="5" s="1"/>
  <c r="FH66" i="5" s="1"/>
  <c r="FJ66" i="5" s="1"/>
  <c r="FK66" i="5" s="1"/>
  <c r="GO66" i="5" s="1"/>
  <c r="EQ28" i="5"/>
  <c r="ER28" i="5" s="1"/>
  <c r="ES28" i="5" s="1"/>
  <c r="BG28" i="5"/>
  <c r="FA28" i="5" s="1"/>
  <c r="FB28" i="5" s="1"/>
  <c r="FT20" i="5"/>
  <c r="FM20" i="5"/>
  <c r="DC81" i="5"/>
  <c r="DS81" i="5" s="1"/>
  <c r="BV81" i="5"/>
  <c r="CL81" i="5" s="1"/>
  <c r="DB81" i="5"/>
  <c r="DR81" i="5" s="1"/>
  <c r="FH81" i="5" s="1"/>
  <c r="FJ81" i="5" s="1"/>
  <c r="FK81" i="5" s="1"/>
  <c r="GO81" i="5" s="1"/>
  <c r="BW81" i="5"/>
  <c r="CM81" i="5" s="1"/>
  <c r="EQ18" i="5"/>
  <c r="ER18" i="5" s="1"/>
  <c r="ES18" i="5" s="1"/>
  <c r="BG18" i="5"/>
  <c r="FA18" i="5" s="1"/>
  <c r="FB18" i="5" s="1"/>
  <c r="GH53" i="5"/>
  <c r="DB53" i="5"/>
  <c r="DR53" i="5" s="1"/>
  <c r="FH53" i="5" s="1"/>
  <c r="FJ53" i="5" s="1"/>
  <c r="FK53" i="5" s="1"/>
  <c r="GO53" i="5" s="1"/>
  <c r="BW53" i="5"/>
  <c r="CM53" i="5" s="1"/>
  <c r="BV53" i="5"/>
  <c r="CL53" i="5" s="1"/>
  <c r="DC53" i="5"/>
  <c r="DS53" i="5" s="1"/>
  <c r="EO57" i="5"/>
  <c r="EP57" i="5" s="1"/>
  <c r="FM32" i="5"/>
  <c r="FT32" i="5"/>
  <c r="EP59" i="5"/>
  <c r="EQ16" i="5"/>
  <c r="ER16" i="5" s="1"/>
  <c r="ES16" i="5" s="1"/>
  <c r="BG16" i="5"/>
  <c r="FA16" i="5" s="1"/>
  <c r="FB16" i="5" s="1"/>
  <c r="EO48" i="5"/>
  <c r="EP48" i="5" s="1"/>
  <c r="GH38" i="5"/>
  <c r="BW38" i="5"/>
  <c r="CM38" i="5" s="1"/>
  <c r="BV38" i="5"/>
  <c r="CL38" i="5" s="1"/>
  <c r="DC38" i="5"/>
  <c r="DS38" i="5" s="1"/>
  <c r="DB38" i="5"/>
  <c r="DR38" i="5" s="1"/>
  <c r="FH38" i="5" s="1"/>
  <c r="FJ38" i="5" s="1"/>
  <c r="FK38" i="5" s="1"/>
  <c r="GO38" i="5" s="1"/>
  <c r="EP63" i="5"/>
  <c r="EP41" i="5"/>
  <c r="EQ88" i="5"/>
  <c r="ER88" i="5" s="1"/>
  <c r="ES88" i="5" s="1"/>
  <c r="BG88" i="5"/>
  <c r="FA88" i="5" s="1"/>
  <c r="FB88" i="5" s="1"/>
  <c r="EO65" i="5"/>
  <c r="EP65" i="5" s="1"/>
  <c r="EO37" i="5"/>
  <c r="EP37" i="5" s="1"/>
  <c r="EO54" i="5"/>
  <c r="EP54" i="5" s="1"/>
  <c r="EQ23" i="5"/>
  <c r="ER23" i="5" s="1"/>
  <c r="ES23" i="5" s="1"/>
  <c r="BG23" i="5"/>
  <c r="FA23" i="5" s="1"/>
  <c r="FB23" i="5" s="1"/>
  <c r="EQ42" i="5"/>
  <c r="ER42" i="5" s="1"/>
  <c r="ES42" i="5" s="1"/>
  <c r="BG42" i="5"/>
  <c r="FA42" i="5" s="1"/>
  <c r="FB42" i="5" s="1"/>
  <c r="EO55" i="5"/>
  <c r="EP55" i="5" s="1"/>
  <c r="EO52" i="5"/>
  <c r="EP52" i="5" s="1"/>
  <c r="GH43" i="5"/>
  <c r="DC43" i="5"/>
  <c r="DS43" i="5" s="1"/>
  <c r="DB43" i="5"/>
  <c r="DR43" i="5" s="1"/>
  <c r="FH43" i="5" s="1"/>
  <c r="FJ43" i="5" s="1"/>
  <c r="FK43" i="5" s="1"/>
  <c r="GO43" i="5" s="1"/>
  <c r="BV43" i="5"/>
  <c r="CL43" i="5" s="1"/>
  <c r="BW43" i="5"/>
  <c r="CM43" i="5" s="1"/>
  <c r="EQ35" i="5"/>
  <c r="ER35" i="5" s="1"/>
  <c r="ES35" i="5" s="1"/>
  <c r="BG35" i="5"/>
  <c r="FA35" i="5" s="1"/>
  <c r="FB35" i="5" s="1"/>
  <c r="GQ18" i="5" l="1"/>
  <c r="GQ22" i="5"/>
  <c r="GQ14" i="5"/>
  <c r="GQ46" i="5"/>
  <c r="GQ35" i="5"/>
  <c r="GQ88" i="5"/>
  <c r="GQ39" i="5"/>
  <c r="GQ42" i="5"/>
  <c r="GQ28" i="5"/>
  <c r="GQ16" i="5"/>
  <c r="GQ34" i="5"/>
  <c r="GQ19" i="5"/>
  <c r="GQ11" i="5"/>
  <c r="GQ20" i="5"/>
  <c r="GQ32" i="5"/>
  <c r="GQ23" i="5"/>
  <c r="DC84" i="5"/>
  <c r="DS84" i="5" s="1"/>
  <c r="DB84" i="5"/>
  <c r="DR84" i="5" s="1"/>
  <c r="FH84" i="5" s="1"/>
  <c r="FJ84" i="5" s="1"/>
  <c r="FK84" i="5" s="1"/>
  <c r="GO84" i="5" s="1"/>
  <c r="BW84" i="5"/>
  <c r="CM84" i="5" s="1"/>
  <c r="BV84" i="5"/>
  <c r="CL84" i="5" s="1"/>
  <c r="AY84" i="5"/>
  <c r="GH84" i="5"/>
  <c r="BG12" i="5"/>
  <c r="FA12" i="5" s="1"/>
  <c r="FB12" i="5" s="1"/>
  <c r="FT44" i="5"/>
  <c r="GJ44" i="5" s="1"/>
  <c r="FA83" i="5"/>
  <c r="FB83" i="5" s="1"/>
  <c r="FT12" i="5"/>
  <c r="FW12" i="5" s="1"/>
  <c r="GH69" i="5"/>
  <c r="DC69" i="5"/>
  <c r="DS69" i="5" s="1"/>
  <c r="BW69" i="5"/>
  <c r="CM69" i="5" s="1"/>
  <c r="DB69" i="5"/>
  <c r="DR69" i="5" s="1"/>
  <c r="FH69" i="5" s="1"/>
  <c r="FJ69" i="5" s="1"/>
  <c r="FK69" i="5" s="1"/>
  <c r="GO69" i="5" s="1"/>
  <c r="AY69" i="5"/>
  <c r="BG69" i="5" s="1"/>
  <c r="FA69" i="5" s="1"/>
  <c r="FB69" i="5" s="1"/>
  <c r="BV69" i="5"/>
  <c r="CL69" i="5" s="1"/>
  <c r="FT69" i="5" s="1"/>
  <c r="GJ69" i="5" s="1"/>
  <c r="EQ30" i="5"/>
  <c r="ER30" i="5" s="1"/>
  <c r="ES30" i="5" s="1"/>
  <c r="FM24" i="5"/>
  <c r="FP24" i="5" s="1"/>
  <c r="GM24" i="5" s="1"/>
  <c r="FT15" i="5"/>
  <c r="GA15" i="5" s="1"/>
  <c r="EQ83" i="5"/>
  <c r="ER83" i="5" s="1"/>
  <c r="ES83" i="5" s="1"/>
  <c r="EQ24" i="5"/>
  <c r="ER24" i="5" s="1"/>
  <c r="ES24" i="5" s="1"/>
  <c r="FA15" i="5"/>
  <c r="FB15" i="5" s="1"/>
  <c r="BG30" i="5"/>
  <c r="FA30" i="5" s="1"/>
  <c r="FB30" i="5" s="1"/>
  <c r="DC90" i="5"/>
  <c r="DS90" i="5" s="1"/>
  <c r="EQ9" i="5"/>
  <c r="ER9" i="5" s="1"/>
  <c r="ES9" i="5" s="1"/>
  <c r="FU9" i="5"/>
  <c r="FV9" i="5" s="1"/>
  <c r="FW9" i="5"/>
  <c r="FX9" i="5" s="1"/>
  <c r="GA9" i="5"/>
  <c r="FY9" i="5"/>
  <c r="GH91" i="5"/>
  <c r="AY91" i="5"/>
  <c r="AX91" i="5"/>
  <c r="BF91" i="5" s="1"/>
  <c r="GH92" i="5"/>
  <c r="AY92" i="5"/>
  <c r="BG92" i="5" s="1"/>
  <c r="AX92" i="5"/>
  <c r="BF92" i="5" s="1"/>
  <c r="GH62" i="5"/>
  <c r="AX62" i="5"/>
  <c r="BF62" i="5" s="1"/>
  <c r="AY62" i="5"/>
  <c r="GH89" i="5"/>
  <c r="AY89" i="5"/>
  <c r="AX89" i="5"/>
  <c r="GH90" i="5"/>
  <c r="AX90" i="5"/>
  <c r="BF90" i="5" s="1"/>
  <c r="AY90" i="5"/>
  <c r="BG90" i="5" s="1"/>
  <c r="GH70" i="5"/>
  <c r="AX70" i="5"/>
  <c r="BF70" i="5" s="1"/>
  <c r="AY70" i="5"/>
  <c r="BV90" i="5"/>
  <c r="CL90" i="5" s="1"/>
  <c r="FM90" i="5" s="1"/>
  <c r="DB90" i="5"/>
  <c r="DR90" i="5" s="1"/>
  <c r="FH90" i="5" s="1"/>
  <c r="FJ90" i="5" s="1"/>
  <c r="FK90" i="5" s="1"/>
  <c r="GO90" i="5" s="1"/>
  <c r="GH82" i="5"/>
  <c r="AX82" i="5"/>
  <c r="BF82" i="5" s="1"/>
  <c r="AY82" i="5"/>
  <c r="BG82" i="5" s="1"/>
  <c r="AX41" i="5"/>
  <c r="BF41" i="5" s="1"/>
  <c r="AY41" i="5"/>
  <c r="AY48" i="5"/>
  <c r="AX48" i="5"/>
  <c r="BF48" i="5" s="1"/>
  <c r="AX57" i="5"/>
  <c r="AY57" i="5"/>
  <c r="GH67" i="5"/>
  <c r="AX67" i="5"/>
  <c r="BF67" i="5" s="1"/>
  <c r="AY67" i="5"/>
  <c r="GH94" i="5"/>
  <c r="AX94" i="5"/>
  <c r="BF94" i="5" s="1"/>
  <c r="AY94" i="5"/>
  <c r="AX55" i="5"/>
  <c r="AY55" i="5"/>
  <c r="GH95" i="5"/>
  <c r="AX95" i="5"/>
  <c r="BF95" i="5" s="1"/>
  <c r="AY95" i="5"/>
  <c r="GH63" i="5"/>
  <c r="AX63" i="5"/>
  <c r="BF63" i="5" s="1"/>
  <c r="AY63" i="5"/>
  <c r="BG24" i="5"/>
  <c r="AX49" i="5"/>
  <c r="BF49" i="5" s="1"/>
  <c r="AY49" i="5"/>
  <c r="GH65" i="5"/>
  <c r="AX65" i="5"/>
  <c r="AY65" i="5"/>
  <c r="AY56" i="5"/>
  <c r="AX56" i="5"/>
  <c r="BF56" i="5" s="1"/>
  <c r="AX58" i="5"/>
  <c r="AY58" i="5"/>
  <c r="GH71" i="5"/>
  <c r="AX71" i="5"/>
  <c r="BF71" i="5" s="1"/>
  <c r="AY71" i="5"/>
  <c r="AX37" i="5"/>
  <c r="BF37" i="5" s="1"/>
  <c r="AY37" i="5"/>
  <c r="GH78" i="5"/>
  <c r="AX78" i="5"/>
  <c r="AY78" i="5"/>
  <c r="BV64" i="5"/>
  <c r="CL64" i="5" s="1"/>
  <c r="FM64" i="5" s="1"/>
  <c r="AY64" i="5"/>
  <c r="AX64" i="5"/>
  <c r="AX10" i="5"/>
  <c r="BF10" i="5" s="1"/>
  <c r="AY10" i="5"/>
  <c r="GH76" i="5"/>
  <c r="AY76" i="5"/>
  <c r="AX76" i="5"/>
  <c r="BF76" i="5" s="1"/>
  <c r="GH68" i="5"/>
  <c r="AY68" i="5"/>
  <c r="AX68" i="5"/>
  <c r="BF68" i="5" s="1"/>
  <c r="GH79" i="5"/>
  <c r="AX79" i="5"/>
  <c r="BF79" i="5" s="1"/>
  <c r="AY79" i="5"/>
  <c r="AY52" i="5"/>
  <c r="AX52" i="5"/>
  <c r="BF52" i="5" s="1"/>
  <c r="AX54" i="5"/>
  <c r="BF54" i="5" s="1"/>
  <c r="AY54" i="5"/>
  <c r="AY59" i="5"/>
  <c r="AX59" i="5"/>
  <c r="BF59" i="5" s="1"/>
  <c r="AX36" i="5"/>
  <c r="BF36" i="5" s="1"/>
  <c r="AY36" i="5"/>
  <c r="GH73" i="5"/>
  <c r="AX73" i="5"/>
  <c r="BF73" i="5" s="1"/>
  <c r="AY73" i="5"/>
  <c r="GH80" i="5"/>
  <c r="AY80" i="5"/>
  <c r="AX80" i="5"/>
  <c r="BF80" i="5" s="1"/>
  <c r="BV92" i="5"/>
  <c r="CL92" i="5" s="1"/>
  <c r="FT92" i="5" s="1"/>
  <c r="GJ92" i="5" s="1"/>
  <c r="BW92" i="5"/>
  <c r="CM92" i="5" s="1"/>
  <c r="BV82" i="5"/>
  <c r="CL82" i="5" s="1"/>
  <c r="FM82" i="5" s="1"/>
  <c r="DC82" i="5"/>
  <c r="DS82" i="5" s="1"/>
  <c r="DB92" i="5"/>
  <c r="DR92" i="5" s="1"/>
  <c r="FH92" i="5" s="1"/>
  <c r="FJ92" i="5" s="1"/>
  <c r="FK92" i="5" s="1"/>
  <c r="GO92" i="5" s="1"/>
  <c r="FA44" i="5"/>
  <c r="FB44" i="5" s="1"/>
  <c r="DC92" i="5"/>
  <c r="DS92" i="5" s="1"/>
  <c r="FT30" i="5"/>
  <c r="GJ30" i="5" s="1"/>
  <c r="EQ44" i="5"/>
  <c r="ER44" i="5" s="1"/>
  <c r="ES44" i="5" s="1"/>
  <c r="EQ15" i="5"/>
  <c r="ER15" i="5" s="1"/>
  <c r="ES15" i="5" s="1"/>
  <c r="DB82" i="5"/>
  <c r="DR82" i="5" s="1"/>
  <c r="FH82" i="5" s="1"/>
  <c r="FJ82" i="5" s="1"/>
  <c r="FK82" i="5" s="1"/>
  <c r="GO82" i="5" s="1"/>
  <c r="FA24" i="5"/>
  <c r="FB24" i="5" s="1"/>
  <c r="BW82" i="5"/>
  <c r="CM82" i="5" s="1"/>
  <c r="FM83" i="5"/>
  <c r="FP83" i="5" s="1"/>
  <c r="GM83" i="5" s="1"/>
  <c r="BF64" i="5"/>
  <c r="DB64" i="5"/>
  <c r="DR64" i="5" s="1"/>
  <c r="FH64" i="5" s="1"/>
  <c r="FJ64" i="5" s="1"/>
  <c r="FK64" i="5" s="1"/>
  <c r="GO64" i="5" s="1"/>
  <c r="GH64" i="5"/>
  <c r="DC64" i="5"/>
  <c r="DS64" i="5" s="1"/>
  <c r="GJ14" i="5"/>
  <c r="FY14" i="5"/>
  <c r="GJ34" i="5"/>
  <c r="FY34" i="5"/>
  <c r="GJ42" i="5"/>
  <c r="FY42" i="5"/>
  <c r="GJ39" i="5"/>
  <c r="FY39" i="5"/>
  <c r="GJ20" i="5"/>
  <c r="FY20" i="5"/>
  <c r="GJ22" i="5"/>
  <c r="FY22" i="5"/>
  <c r="GJ32" i="5"/>
  <c r="FY32" i="5"/>
  <c r="GJ19" i="5"/>
  <c r="FY19" i="5"/>
  <c r="GJ16" i="5"/>
  <c r="FY16" i="5"/>
  <c r="FY83" i="5"/>
  <c r="GJ18" i="5"/>
  <c r="FY18" i="5"/>
  <c r="GJ11" i="5"/>
  <c r="FY11" i="5"/>
  <c r="GJ46" i="5"/>
  <c r="FY46" i="5"/>
  <c r="GJ24" i="5"/>
  <c r="FY24" i="5"/>
  <c r="GJ28" i="5"/>
  <c r="FY28" i="5"/>
  <c r="BW64" i="5"/>
  <c r="CM64" i="5" s="1"/>
  <c r="GJ23" i="5"/>
  <c r="FY23" i="5"/>
  <c r="GJ35" i="5"/>
  <c r="FY35" i="5"/>
  <c r="FY88" i="5"/>
  <c r="GA14" i="5"/>
  <c r="GB14" i="5" s="1"/>
  <c r="FW14" i="5"/>
  <c r="FU14" i="5"/>
  <c r="FW15" i="5"/>
  <c r="FU15" i="5"/>
  <c r="FV15" i="5" s="1"/>
  <c r="GK15" i="5" s="1"/>
  <c r="FU28" i="5"/>
  <c r="FV28" i="5" s="1"/>
  <c r="GK28" i="5" s="1"/>
  <c r="GA28" i="5"/>
  <c r="FW28" i="5"/>
  <c r="GA42" i="5"/>
  <c r="GB42" i="5" s="1"/>
  <c r="FU42" i="5"/>
  <c r="FV42" i="5" s="1"/>
  <c r="GK42" i="5" s="1"/>
  <c r="FW42" i="5"/>
  <c r="GA35" i="5"/>
  <c r="FU35" i="5"/>
  <c r="FV35" i="5" s="1"/>
  <c r="GK35" i="5" s="1"/>
  <c r="FW35" i="5"/>
  <c r="GA22" i="5"/>
  <c r="GB22" i="5" s="1"/>
  <c r="FU22" i="5"/>
  <c r="FV22" i="5" s="1"/>
  <c r="GK22" i="5" s="1"/>
  <c r="FW22" i="5"/>
  <c r="FU83" i="5"/>
  <c r="FV83" i="5" s="1"/>
  <c r="GK83" i="5" s="1"/>
  <c r="FW83" i="5"/>
  <c r="FX83" i="5" s="1"/>
  <c r="GL83" i="5" s="1"/>
  <c r="GA83" i="5"/>
  <c r="GB83" i="5" s="1"/>
  <c r="GA24" i="5"/>
  <c r="FU24" i="5"/>
  <c r="FV24" i="5" s="1"/>
  <c r="GK24" i="5" s="1"/>
  <c r="FW24" i="5"/>
  <c r="FW88" i="5"/>
  <c r="FX88" i="5" s="1"/>
  <c r="GL88" i="5" s="1"/>
  <c r="GA88" i="5"/>
  <c r="GA20" i="5"/>
  <c r="FU20" i="5"/>
  <c r="FV20" i="5" s="1"/>
  <c r="GK20" i="5" s="1"/>
  <c r="FW20" i="5"/>
  <c r="GA34" i="5"/>
  <c r="GB34" i="5" s="1"/>
  <c r="FU34" i="5"/>
  <c r="FV34" i="5" s="1"/>
  <c r="GK34" i="5" s="1"/>
  <c r="FW34" i="5"/>
  <c r="FW39" i="5"/>
  <c r="FU39" i="5"/>
  <c r="FV39" i="5" s="1"/>
  <c r="GK39" i="5" s="1"/>
  <c r="GA39" i="5"/>
  <c r="FU11" i="5"/>
  <c r="FV11" i="5" s="1"/>
  <c r="GK11" i="5" s="1"/>
  <c r="FW11" i="5"/>
  <c r="GA11" i="5"/>
  <c r="FU16" i="5"/>
  <c r="FV16" i="5" s="1"/>
  <c r="GK16" i="5" s="1"/>
  <c r="GA16" i="5"/>
  <c r="FW16" i="5"/>
  <c r="GL61" i="5"/>
  <c r="FU12" i="5"/>
  <c r="FV12" i="5" s="1"/>
  <c r="GK12" i="5" s="1"/>
  <c r="FW46" i="5"/>
  <c r="FU46" i="5"/>
  <c r="FV46" i="5" s="1"/>
  <c r="GK46" i="5" s="1"/>
  <c r="GA46" i="5"/>
  <c r="GB46" i="5" s="1"/>
  <c r="FW32" i="5"/>
  <c r="GA32" i="5"/>
  <c r="FU32" i="5"/>
  <c r="FV32" i="5" s="1"/>
  <c r="GK32" i="5" s="1"/>
  <c r="FU18" i="5"/>
  <c r="FV18" i="5" s="1"/>
  <c r="GK18" i="5" s="1"/>
  <c r="FW18" i="5"/>
  <c r="GA18" i="5"/>
  <c r="GB18" i="5" s="1"/>
  <c r="FU19" i="5"/>
  <c r="FV19" i="5" s="1"/>
  <c r="GK19" i="5" s="1"/>
  <c r="FW19" i="5"/>
  <c r="GA19" i="5"/>
  <c r="FW23" i="5"/>
  <c r="GA23" i="5"/>
  <c r="FU23" i="5"/>
  <c r="FV23" i="5" s="1"/>
  <c r="GK23" i="5" s="1"/>
  <c r="GH36" i="5"/>
  <c r="BW36" i="5"/>
  <c r="CM36" i="5" s="1"/>
  <c r="DB36" i="5"/>
  <c r="DR36" i="5" s="1"/>
  <c r="FH36" i="5" s="1"/>
  <c r="FJ36" i="5" s="1"/>
  <c r="FK36" i="5" s="1"/>
  <c r="GO36" i="5" s="1"/>
  <c r="DC36" i="5"/>
  <c r="DS36" i="5" s="1"/>
  <c r="BV36" i="5"/>
  <c r="CL36" i="5" s="1"/>
  <c r="BV65" i="5"/>
  <c r="CL65" i="5" s="1"/>
  <c r="DC65" i="5"/>
  <c r="DS65" i="5" s="1"/>
  <c r="BW65" i="5"/>
  <c r="CM65" i="5" s="1"/>
  <c r="BF65" i="5"/>
  <c r="DB65" i="5"/>
  <c r="DR65" i="5" s="1"/>
  <c r="FH65" i="5" s="1"/>
  <c r="FJ65" i="5" s="1"/>
  <c r="FK65" i="5" s="1"/>
  <c r="GO65" i="5" s="1"/>
  <c r="GH52" i="5"/>
  <c r="DB52" i="5"/>
  <c r="DR52" i="5" s="1"/>
  <c r="FH52" i="5" s="1"/>
  <c r="FJ52" i="5" s="1"/>
  <c r="FK52" i="5" s="1"/>
  <c r="GO52" i="5" s="1"/>
  <c r="BW52" i="5"/>
  <c r="CM52" i="5" s="1"/>
  <c r="DC52" i="5"/>
  <c r="DS52" i="5" s="1"/>
  <c r="BV52" i="5"/>
  <c r="CL52" i="5" s="1"/>
  <c r="GH54" i="5"/>
  <c r="BW54" i="5"/>
  <c r="CM54" i="5" s="1"/>
  <c r="BV54" i="5"/>
  <c r="CL54" i="5" s="1"/>
  <c r="DB54" i="5"/>
  <c r="DR54" i="5" s="1"/>
  <c r="FH54" i="5" s="1"/>
  <c r="FJ54" i="5" s="1"/>
  <c r="FK54" i="5" s="1"/>
  <c r="GO54" i="5" s="1"/>
  <c r="DC54" i="5"/>
  <c r="DS54" i="5" s="1"/>
  <c r="GH10" i="5"/>
  <c r="DB10" i="5"/>
  <c r="DR10" i="5" s="1"/>
  <c r="FH10" i="5" s="1"/>
  <c r="FJ10" i="5" s="1"/>
  <c r="FK10" i="5" s="1"/>
  <c r="GO10" i="5" s="1"/>
  <c r="BW10" i="5"/>
  <c r="CM10" i="5" s="1"/>
  <c r="BV10" i="5"/>
  <c r="CL10" i="5" s="1"/>
  <c r="FT10" i="5" s="1"/>
  <c r="DC10" i="5"/>
  <c r="DS10" i="5" s="1"/>
  <c r="GH57" i="5"/>
  <c r="BF57" i="5"/>
  <c r="BW57" i="5"/>
  <c r="CM57" i="5" s="1"/>
  <c r="DC57" i="5"/>
  <c r="DS57" i="5" s="1"/>
  <c r="BV57" i="5"/>
  <c r="CL57" i="5" s="1"/>
  <c r="DB57" i="5"/>
  <c r="DR57" i="5" s="1"/>
  <c r="FH57" i="5" s="1"/>
  <c r="FJ57" i="5" s="1"/>
  <c r="FK57" i="5" s="1"/>
  <c r="GO57" i="5" s="1"/>
  <c r="GH37" i="5"/>
  <c r="BV37" i="5"/>
  <c r="CL37" i="5" s="1"/>
  <c r="DC37" i="5"/>
  <c r="DS37" i="5" s="1"/>
  <c r="BW37" i="5"/>
  <c r="CM37" i="5" s="1"/>
  <c r="DB37" i="5"/>
  <c r="DR37" i="5" s="1"/>
  <c r="FH37" i="5" s="1"/>
  <c r="FJ37" i="5" s="1"/>
  <c r="FK37" i="5" s="1"/>
  <c r="GO37" i="5" s="1"/>
  <c r="FM75" i="5"/>
  <c r="FT75" i="5"/>
  <c r="GJ75" i="5" s="1"/>
  <c r="FM72" i="5"/>
  <c r="FT72" i="5"/>
  <c r="GJ72" i="5" s="1"/>
  <c r="FM31" i="5"/>
  <c r="FT31" i="5"/>
  <c r="FM92" i="5"/>
  <c r="BW71" i="5"/>
  <c r="CM71" i="5" s="1"/>
  <c r="DC71" i="5"/>
  <c r="DS71" i="5" s="1"/>
  <c r="BV71" i="5"/>
  <c r="CL71" i="5" s="1"/>
  <c r="DB71" i="5"/>
  <c r="DR71" i="5" s="1"/>
  <c r="FH71" i="5" s="1"/>
  <c r="FJ71" i="5" s="1"/>
  <c r="FK71" i="5" s="1"/>
  <c r="GO71" i="5" s="1"/>
  <c r="FP39" i="5"/>
  <c r="GM39" i="5" s="1"/>
  <c r="FQ39" i="5"/>
  <c r="GN39" i="5" s="1"/>
  <c r="GK61" i="5"/>
  <c r="EQ47" i="5"/>
  <c r="ER47" i="5" s="1"/>
  <c r="ES47" i="5" s="1"/>
  <c r="BG47" i="5"/>
  <c r="FA47" i="5" s="1"/>
  <c r="FB47" i="5" s="1"/>
  <c r="FT74" i="5"/>
  <c r="GJ74" i="5" s="1"/>
  <c r="FM74" i="5"/>
  <c r="FT21" i="5"/>
  <c r="FM21" i="5"/>
  <c r="FM13" i="5"/>
  <c r="FT13" i="5"/>
  <c r="FT27" i="5"/>
  <c r="FM27" i="5"/>
  <c r="FM25" i="5"/>
  <c r="FT25" i="5"/>
  <c r="FM9" i="5"/>
  <c r="FP9" i="5" s="1"/>
  <c r="EQ31" i="5"/>
  <c r="ER31" i="5" s="1"/>
  <c r="ES31" i="5" s="1"/>
  <c r="BG31" i="5"/>
  <c r="FA31" i="5" s="1"/>
  <c r="FB31" i="5" s="1"/>
  <c r="EQ93" i="5"/>
  <c r="ER93" i="5" s="1"/>
  <c r="ES93" i="5" s="1"/>
  <c r="BG93" i="5"/>
  <c r="FA93" i="5" s="1"/>
  <c r="FB93" i="5" s="1"/>
  <c r="FM17" i="5"/>
  <c r="FT17" i="5"/>
  <c r="FT82" i="5"/>
  <c r="GJ82" i="5" s="1"/>
  <c r="FP12" i="5"/>
  <c r="GM12" i="5" s="1"/>
  <c r="FQ12" i="5"/>
  <c r="GN12" i="5" s="1"/>
  <c r="EQ85" i="5"/>
  <c r="ER85" i="5" s="1"/>
  <c r="ES85" i="5" s="1"/>
  <c r="BG85" i="5"/>
  <c r="FA85" i="5" s="1"/>
  <c r="FB85" i="5" s="1"/>
  <c r="FT93" i="5"/>
  <c r="GJ93" i="5" s="1"/>
  <c r="FM93" i="5"/>
  <c r="FM38" i="5"/>
  <c r="FT38" i="5"/>
  <c r="FP32" i="5"/>
  <c r="GM32" i="5" s="1"/>
  <c r="FQ32" i="5"/>
  <c r="GN32" i="5" s="1"/>
  <c r="GH55" i="5"/>
  <c r="BF55" i="5"/>
  <c r="BW55" i="5"/>
  <c r="CM55" i="5" s="1"/>
  <c r="DC55" i="5"/>
  <c r="DS55" i="5" s="1"/>
  <c r="BV55" i="5"/>
  <c r="CL55" i="5" s="1"/>
  <c r="DB55" i="5"/>
  <c r="DR55" i="5" s="1"/>
  <c r="FH55" i="5" s="1"/>
  <c r="FJ55" i="5" s="1"/>
  <c r="FK55" i="5" s="1"/>
  <c r="GO55" i="5" s="1"/>
  <c r="BV78" i="5"/>
  <c r="CL78" i="5" s="1"/>
  <c r="BF78" i="5"/>
  <c r="DC78" i="5"/>
  <c r="DS78" i="5" s="1"/>
  <c r="BW78" i="5"/>
  <c r="CM78" i="5" s="1"/>
  <c r="DB78" i="5"/>
  <c r="DR78" i="5" s="1"/>
  <c r="FH78" i="5" s="1"/>
  <c r="FJ78" i="5" s="1"/>
  <c r="FK78" i="5" s="1"/>
  <c r="GO78" i="5" s="1"/>
  <c r="FM66" i="5"/>
  <c r="FT66" i="5"/>
  <c r="GJ66" i="5" s="1"/>
  <c r="DB76" i="5"/>
  <c r="DR76" i="5" s="1"/>
  <c r="FH76" i="5" s="1"/>
  <c r="FJ76" i="5" s="1"/>
  <c r="FK76" i="5" s="1"/>
  <c r="GO76" i="5" s="1"/>
  <c r="BV76" i="5"/>
  <c r="CL76" i="5" s="1"/>
  <c r="DC76" i="5"/>
  <c r="DS76" i="5" s="1"/>
  <c r="BW76" i="5"/>
  <c r="CM76" i="5" s="1"/>
  <c r="FP15" i="5"/>
  <c r="GM15" i="5" s="1"/>
  <c r="FQ15" i="5"/>
  <c r="GN15" i="5" s="1"/>
  <c r="DB94" i="5"/>
  <c r="DR94" i="5" s="1"/>
  <c r="FH94" i="5" s="1"/>
  <c r="FJ94" i="5" s="1"/>
  <c r="FK94" i="5" s="1"/>
  <c r="GO94" i="5" s="1"/>
  <c r="DC94" i="5"/>
  <c r="DS94" i="5" s="1"/>
  <c r="BW94" i="5"/>
  <c r="CM94" i="5" s="1"/>
  <c r="BV94" i="5"/>
  <c r="CL94" i="5" s="1"/>
  <c r="GH56" i="5"/>
  <c r="BW56" i="5"/>
  <c r="CM56" i="5" s="1"/>
  <c r="BV56" i="5"/>
  <c r="CL56" i="5" s="1"/>
  <c r="DC56" i="5"/>
  <c r="DS56" i="5" s="1"/>
  <c r="DB56" i="5"/>
  <c r="DR56" i="5" s="1"/>
  <c r="FH56" i="5" s="1"/>
  <c r="FJ56" i="5" s="1"/>
  <c r="FK56" i="5" s="1"/>
  <c r="GO56" i="5" s="1"/>
  <c r="EQ40" i="5"/>
  <c r="ER40" i="5" s="1"/>
  <c r="ES40" i="5" s="1"/>
  <c r="BG40" i="5"/>
  <c r="FA40" i="5" s="1"/>
  <c r="FB40" i="5" s="1"/>
  <c r="DB63" i="5"/>
  <c r="DR63" i="5" s="1"/>
  <c r="FH63" i="5" s="1"/>
  <c r="FJ63" i="5" s="1"/>
  <c r="FK63" i="5" s="1"/>
  <c r="GO63" i="5" s="1"/>
  <c r="BW63" i="5"/>
  <c r="CM63" i="5" s="1"/>
  <c r="DC63" i="5"/>
  <c r="DS63" i="5" s="1"/>
  <c r="BV63" i="5"/>
  <c r="CL63" i="5" s="1"/>
  <c r="GH49" i="5"/>
  <c r="BW49" i="5"/>
  <c r="CM49" i="5" s="1"/>
  <c r="DC49" i="5"/>
  <c r="DS49" i="5" s="1"/>
  <c r="BV49" i="5"/>
  <c r="CL49" i="5" s="1"/>
  <c r="DB49" i="5"/>
  <c r="DR49" i="5" s="1"/>
  <c r="FH49" i="5" s="1"/>
  <c r="FJ49" i="5" s="1"/>
  <c r="FK49" i="5" s="1"/>
  <c r="GO49" i="5" s="1"/>
  <c r="FM33" i="5"/>
  <c r="FT33" i="5"/>
  <c r="FM86" i="5"/>
  <c r="FT86" i="5"/>
  <c r="GJ86" i="5" s="1"/>
  <c r="DB67" i="5"/>
  <c r="DR67" i="5" s="1"/>
  <c r="FH67" i="5" s="1"/>
  <c r="FJ67" i="5" s="1"/>
  <c r="FK67" i="5" s="1"/>
  <c r="GO67" i="5" s="1"/>
  <c r="BW67" i="5"/>
  <c r="CM67" i="5" s="1"/>
  <c r="DC67" i="5"/>
  <c r="DS67" i="5" s="1"/>
  <c r="BV67" i="5"/>
  <c r="CL67" i="5" s="1"/>
  <c r="DB70" i="5"/>
  <c r="DR70" i="5" s="1"/>
  <c r="FH70" i="5" s="1"/>
  <c r="FJ70" i="5" s="1"/>
  <c r="FK70" i="5" s="1"/>
  <c r="GO70" i="5" s="1"/>
  <c r="BW70" i="5"/>
  <c r="CM70" i="5" s="1"/>
  <c r="BV70" i="5"/>
  <c r="CL70" i="5" s="1"/>
  <c r="DC70" i="5"/>
  <c r="DS70" i="5" s="1"/>
  <c r="FP16" i="5"/>
  <c r="GM16" i="5" s="1"/>
  <c r="FQ16" i="5"/>
  <c r="GN16" i="5" s="1"/>
  <c r="FP35" i="5"/>
  <c r="GM35" i="5" s="1"/>
  <c r="FQ35" i="5"/>
  <c r="GN35" i="5" s="1"/>
  <c r="EQ74" i="5"/>
  <c r="ER74" i="5" s="1"/>
  <c r="ES74" i="5" s="1"/>
  <c r="BG74" i="5"/>
  <c r="FA74" i="5" s="1"/>
  <c r="FB74" i="5" s="1"/>
  <c r="FT85" i="5"/>
  <c r="GJ85" i="5" s="1"/>
  <c r="FM85" i="5"/>
  <c r="BW89" i="5"/>
  <c r="CM89" i="5" s="1"/>
  <c r="BV89" i="5"/>
  <c r="CL89" i="5" s="1"/>
  <c r="DB89" i="5"/>
  <c r="DR89" i="5" s="1"/>
  <c r="FH89" i="5" s="1"/>
  <c r="FJ89" i="5" s="1"/>
  <c r="FK89" i="5" s="1"/>
  <c r="GO89" i="5" s="1"/>
  <c r="DC89" i="5"/>
  <c r="DS89" i="5" s="1"/>
  <c r="BF89" i="5"/>
  <c r="FM87" i="5"/>
  <c r="FT87" i="5"/>
  <c r="GJ87" i="5" s="1"/>
  <c r="FP20" i="5"/>
  <c r="GM20" i="5" s="1"/>
  <c r="FQ20" i="5"/>
  <c r="GN20" i="5" s="1"/>
  <c r="EQ84" i="5"/>
  <c r="ER84" i="5" s="1"/>
  <c r="ES84" i="5" s="1"/>
  <c r="BG84" i="5"/>
  <c r="FA84" i="5" s="1"/>
  <c r="FB84" i="5" s="1"/>
  <c r="EQ26" i="5"/>
  <c r="ER26" i="5" s="1"/>
  <c r="ES26" i="5" s="1"/>
  <c r="BG26" i="5"/>
  <c r="FA26" i="5" s="1"/>
  <c r="FB26" i="5" s="1"/>
  <c r="EQ53" i="5"/>
  <c r="ER53" i="5" s="1"/>
  <c r="ES53" i="5" s="1"/>
  <c r="BG53" i="5"/>
  <c r="FA53" i="5" s="1"/>
  <c r="FB53" i="5" s="1"/>
  <c r="FT81" i="5"/>
  <c r="GJ81" i="5" s="1"/>
  <c r="FM81" i="5"/>
  <c r="GH48" i="5"/>
  <c r="BW48" i="5"/>
  <c r="CM48" i="5" s="1"/>
  <c r="DB48" i="5"/>
  <c r="DR48" i="5" s="1"/>
  <c r="FH48" i="5" s="1"/>
  <c r="FJ48" i="5" s="1"/>
  <c r="FK48" i="5" s="1"/>
  <c r="GO48" i="5" s="1"/>
  <c r="DC48" i="5"/>
  <c r="DS48" i="5" s="1"/>
  <c r="BV48" i="5"/>
  <c r="CL48" i="5" s="1"/>
  <c r="FP30" i="5"/>
  <c r="GM30" i="5" s="1"/>
  <c r="FQ30" i="5"/>
  <c r="GN30" i="5" s="1"/>
  <c r="EQ81" i="5"/>
  <c r="ER81" i="5" s="1"/>
  <c r="ES81" i="5" s="1"/>
  <c r="BG81" i="5"/>
  <c r="FA81" i="5" s="1"/>
  <c r="FB81" i="5" s="1"/>
  <c r="DC62" i="5"/>
  <c r="DS62" i="5" s="1"/>
  <c r="BV62" i="5"/>
  <c r="CL62" i="5" s="1"/>
  <c r="BW62" i="5"/>
  <c r="CM62" i="5" s="1"/>
  <c r="DB62" i="5"/>
  <c r="DR62" i="5" s="1"/>
  <c r="FH62" i="5" s="1"/>
  <c r="FJ62" i="5" s="1"/>
  <c r="FK62" i="5" s="1"/>
  <c r="GO62" i="5" s="1"/>
  <c r="FM51" i="5"/>
  <c r="FT51" i="5"/>
  <c r="EQ75" i="5"/>
  <c r="ER75" i="5" s="1"/>
  <c r="ES75" i="5" s="1"/>
  <c r="BG75" i="5"/>
  <c r="FA75" i="5" s="1"/>
  <c r="FB75" i="5" s="1"/>
  <c r="FP22" i="5"/>
  <c r="GM22" i="5" s="1"/>
  <c r="FQ22" i="5"/>
  <c r="GN22" i="5" s="1"/>
  <c r="EQ45" i="5"/>
  <c r="ER45" i="5" s="1"/>
  <c r="ES45" i="5" s="1"/>
  <c r="BG45" i="5"/>
  <c r="FA45" i="5" s="1"/>
  <c r="FB45" i="5" s="1"/>
  <c r="FT43" i="5"/>
  <c r="FM43" i="5"/>
  <c r="BW68" i="5"/>
  <c r="CM68" i="5" s="1"/>
  <c r="BV68" i="5"/>
  <c r="CL68" i="5" s="1"/>
  <c r="DC68" i="5"/>
  <c r="DS68" i="5" s="1"/>
  <c r="DB68" i="5"/>
  <c r="DR68" i="5" s="1"/>
  <c r="FH68" i="5" s="1"/>
  <c r="FJ68" i="5" s="1"/>
  <c r="FK68" i="5" s="1"/>
  <c r="GO68" i="5" s="1"/>
  <c r="EQ87" i="5"/>
  <c r="ER87" i="5" s="1"/>
  <c r="ES87" i="5" s="1"/>
  <c r="BG87" i="5"/>
  <c r="FA87" i="5" s="1"/>
  <c r="FB87" i="5" s="1"/>
  <c r="FP28" i="5"/>
  <c r="GM28" i="5" s="1"/>
  <c r="FQ28" i="5"/>
  <c r="GN28" i="5" s="1"/>
  <c r="BW79" i="5"/>
  <c r="CM79" i="5" s="1"/>
  <c r="DB79" i="5"/>
  <c r="DR79" i="5" s="1"/>
  <c r="FH79" i="5" s="1"/>
  <c r="FJ79" i="5" s="1"/>
  <c r="FK79" i="5" s="1"/>
  <c r="GO79" i="5" s="1"/>
  <c r="BV79" i="5"/>
  <c r="CL79" i="5" s="1"/>
  <c r="DC79" i="5"/>
  <c r="DS79" i="5" s="1"/>
  <c r="DC91" i="5"/>
  <c r="DS91" i="5" s="1"/>
  <c r="DB91" i="5"/>
  <c r="DR91" i="5" s="1"/>
  <c r="FH91" i="5" s="1"/>
  <c r="FJ91" i="5" s="1"/>
  <c r="FK91" i="5" s="1"/>
  <c r="GO91" i="5" s="1"/>
  <c r="BV91" i="5"/>
  <c r="CL91" i="5" s="1"/>
  <c r="BW91" i="5"/>
  <c r="CM91" i="5" s="1"/>
  <c r="EQ77" i="5"/>
  <c r="ER77" i="5" s="1"/>
  <c r="ES77" i="5" s="1"/>
  <c r="BG77" i="5"/>
  <c r="FA77" i="5" s="1"/>
  <c r="FB77" i="5" s="1"/>
  <c r="GM61" i="5"/>
  <c r="GN61" i="5"/>
  <c r="GH41" i="5"/>
  <c r="BV41" i="5"/>
  <c r="CL41" i="5" s="1"/>
  <c r="DB41" i="5"/>
  <c r="DR41" i="5" s="1"/>
  <c r="FH41" i="5" s="1"/>
  <c r="FJ41" i="5" s="1"/>
  <c r="FK41" i="5" s="1"/>
  <c r="GO41" i="5" s="1"/>
  <c r="BW41" i="5"/>
  <c r="CM41" i="5" s="1"/>
  <c r="DC41" i="5"/>
  <c r="DS41" i="5" s="1"/>
  <c r="FM47" i="5"/>
  <c r="FT47" i="5"/>
  <c r="FT26" i="5"/>
  <c r="FM26" i="5"/>
  <c r="EQ72" i="5"/>
  <c r="ER72" i="5" s="1"/>
  <c r="ES72" i="5" s="1"/>
  <c r="BG72" i="5"/>
  <c r="FA72" i="5" s="1"/>
  <c r="FB72" i="5" s="1"/>
  <c r="EQ29" i="5"/>
  <c r="ER29" i="5" s="1"/>
  <c r="ES29" i="5" s="1"/>
  <c r="BG29" i="5"/>
  <c r="FA29" i="5" s="1"/>
  <c r="FB29" i="5" s="1"/>
  <c r="FT45" i="5"/>
  <c r="FM45" i="5"/>
  <c r="EQ27" i="5"/>
  <c r="ER27" i="5" s="1"/>
  <c r="ES27" i="5" s="1"/>
  <c r="BG27" i="5"/>
  <c r="FA27" i="5" s="1"/>
  <c r="FB27" i="5" s="1"/>
  <c r="EQ43" i="5"/>
  <c r="ER43" i="5" s="1"/>
  <c r="ES43" i="5" s="1"/>
  <c r="BG43" i="5"/>
  <c r="FA43" i="5" s="1"/>
  <c r="FB43" i="5" s="1"/>
  <c r="GH59" i="5"/>
  <c r="DB59" i="5"/>
  <c r="DR59" i="5" s="1"/>
  <c r="FH59" i="5" s="1"/>
  <c r="FJ59" i="5" s="1"/>
  <c r="FK59" i="5" s="1"/>
  <c r="GO59" i="5" s="1"/>
  <c r="BV59" i="5"/>
  <c r="CL59" i="5" s="1"/>
  <c r="DC59" i="5"/>
  <c r="DS59" i="5" s="1"/>
  <c r="BW59" i="5"/>
  <c r="CM59" i="5" s="1"/>
  <c r="FT84" i="5"/>
  <c r="GJ84" i="5" s="1"/>
  <c r="FM84" i="5"/>
  <c r="EQ66" i="5"/>
  <c r="ER66" i="5" s="1"/>
  <c r="ES66" i="5" s="1"/>
  <c r="BG66" i="5"/>
  <c r="FA66" i="5" s="1"/>
  <c r="FB66" i="5" s="1"/>
  <c r="FP14" i="5"/>
  <c r="GM14" i="5" s="1"/>
  <c r="FQ14" i="5"/>
  <c r="GN14" i="5" s="1"/>
  <c r="FP44" i="5"/>
  <c r="GM44" i="5" s="1"/>
  <c r="FQ44" i="5"/>
  <c r="GN44" i="5" s="1"/>
  <c r="DB80" i="5"/>
  <c r="DR80" i="5" s="1"/>
  <c r="FH80" i="5" s="1"/>
  <c r="FJ80" i="5" s="1"/>
  <c r="FK80" i="5" s="1"/>
  <c r="GO80" i="5" s="1"/>
  <c r="DC80" i="5"/>
  <c r="DS80" i="5" s="1"/>
  <c r="BV80" i="5"/>
  <c r="CL80" i="5" s="1"/>
  <c r="BW80" i="5"/>
  <c r="CM80" i="5" s="1"/>
  <c r="FP23" i="5"/>
  <c r="GM23" i="5" s="1"/>
  <c r="FQ23" i="5"/>
  <c r="GN23" i="5" s="1"/>
  <c r="FM40" i="5"/>
  <c r="FT40" i="5"/>
  <c r="FT77" i="5"/>
  <c r="GJ77" i="5" s="1"/>
  <c r="FM77" i="5"/>
  <c r="FP88" i="5"/>
  <c r="GM88" i="5" s="1"/>
  <c r="FQ88" i="5"/>
  <c r="GN88" i="5" s="1"/>
  <c r="EQ25" i="5"/>
  <c r="ER25" i="5" s="1"/>
  <c r="ES25" i="5" s="1"/>
  <c r="BG25" i="5"/>
  <c r="FA25" i="5" s="1"/>
  <c r="FB25" i="5" s="1"/>
  <c r="FM29" i="5"/>
  <c r="FT29" i="5"/>
  <c r="BG9" i="5"/>
  <c r="FA9" i="5" s="1"/>
  <c r="EQ21" i="5"/>
  <c r="ER21" i="5" s="1"/>
  <c r="ES21" i="5" s="1"/>
  <c r="BG21" i="5"/>
  <c r="FA21" i="5" s="1"/>
  <c r="FB21" i="5" s="1"/>
  <c r="EQ17" i="5"/>
  <c r="ER17" i="5" s="1"/>
  <c r="ES17" i="5" s="1"/>
  <c r="BG17" i="5"/>
  <c r="FA17" i="5" s="1"/>
  <c r="FB17" i="5" s="1"/>
  <c r="EQ13" i="5"/>
  <c r="ER13" i="5" s="1"/>
  <c r="ES13" i="5" s="1"/>
  <c r="BG13" i="5"/>
  <c r="FA13" i="5" s="1"/>
  <c r="FB13" i="5" s="1"/>
  <c r="FT53" i="5"/>
  <c r="FM53" i="5"/>
  <c r="EQ33" i="5"/>
  <c r="ER33" i="5" s="1"/>
  <c r="ES33" i="5" s="1"/>
  <c r="BG33" i="5"/>
  <c r="FA33" i="5" s="1"/>
  <c r="FB33" i="5" s="1"/>
  <c r="FP18" i="5"/>
  <c r="GM18" i="5" s="1"/>
  <c r="FQ18" i="5"/>
  <c r="GN18" i="5" s="1"/>
  <c r="EQ51" i="5"/>
  <c r="ER51" i="5" s="1"/>
  <c r="ES51" i="5" s="1"/>
  <c r="BG51" i="5"/>
  <c r="FA51" i="5" s="1"/>
  <c r="FB51" i="5" s="1"/>
  <c r="FP19" i="5"/>
  <c r="GM19" i="5" s="1"/>
  <c r="FQ19" i="5"/>
  <c r="GN19" i="5" s="1"/>
  <c r="FP46" i="5"/>
  <c r="GM46" i="5" s="1"/>
  <c r="FQ46" i="5"/>
  <c r="GN46" i="5" s="1"/>
  <c r="GH58" i="5"/>
  <c r="BV58" i="5"/>
  <c r="CL58" i="5" s="1"/>
  <c r="BW58" i="5"/>
  <c r="CM58" i="5" s="1"/>
  <c r="BF58" i="5"/>
  <c r="DC58" i="5"/>
  <c r="DS58" i="5" s="1"/>
  <c r="DB58" i="5"/>
  <c r="DR58" i="5" s="1"/>
  <c r="FH58" i="5" s="1"/>
  <c r="FJ58" i="5" s="1"/>
  <c r="FK58" i="5" s="1"/>
  <c r="GO58" i="5" s="1"/>
  <c r="FT50" i="5"/>
  <c r="FM50" i="5"/>
  <c r="EQ38" i="5"/>
  <c r="ER38" i="5" s="1"/>
  <c r="ES38" i="5" s="1"/>
  <c r="BG38" i="5"/>
  <c r="FA38" i="5" s="1"/>
  <c r="FB38" i="5" s="1"/>
  <c r="FP34" i="5"/>
  <c r="GM34" i="5" s="1"/>
  <c r="FQ34" i="5"/>
  <c r="GN34" i="5" s="1"/>
  <c r="EQ86" i="5"/>
  <c r="ER86" i="5" s="1"/>
  <c r="ES86" i="5" s="1"/>
  <c r="BG86" i="5"/>
  <c r="FA86" i="5" s="1"/>
  <c r="FB86" i="5" s="1"/>
  <c r="DB73" i="5"/>
  <c r="DR73" i="5" s="1"/>
  <c r="FH73" i="5" s="1"/>
  <c r="FJ73" i="5" s="1"/>
  <c r="FK73" i="5" s="1"/>
  <c r="GO73" i="5" s="1"/>
  <c r="BV73" i="5"/>
  <c r="CL73" i="5" s="1"/>
  <c r="BW73" i="5"/>
  <c r="CM73" i="5" s="1"/>
  <c r="DC73" i="5"/>
  <c r="DS73" i="5" s="1"/>
  <c r="FP11" i="5"/>
  <c r="GM11" i="5" s="1"/>
  <c r="FQ11" i="5"/>
  <c r="GN11" i="5" s="1"/>
  <c r="FP42" i="5"/>
  <c r="GM42" i="5" s="1"/>
  <c r="FQ42" i="5"/>
  <c r="GN42" i="5" s="1"/>
  <c r="DC95" i="5"/>
  <c r="DS95" i="5" s="1"/>
  <c r="BW95" i="5"/>
  <c r="CM95" i="5" s="1"/>
  <c r="BV95" i="5"/>
  <c r="CL95" i="5" s="1"/>
  <c r="DB95" i="5"/>
  <c r="DR95" i="5" s="1"/>
  <c r="FH95" i="5" s="1"/>
  <c r="FJ95" i="5" s="1"/>
  <c r="FK95" i="5" s="1"/>
  <c r="GO95" i="5" s="1"/>
  <c r="FU88" i="5"/>
  <c r="FV88" i="5" s="1"/>
  <c r="GK88" i="5" s="1"/>
  <c r="EQ50" i="5"/>
  <c r="ER50" i="5" s="1"/>
  <c r="ES50" i="5" s="1"/>
  <c r="BG50" i="5"/>
  <c r="FA50" i="5" s="1"/>
  <c r="FB50" i="5" s="1"/>
  <c r="GQ33" i="5" l="1"/>
  <c r="GQ21" i="5"/>
  <c r="GQ43" i="5"/>
  <c r="GQ72" i="5"/>
  <c r="GQ53" i="5"/>
  <c r="GQ85" i="5"/>
  <c r="GQ15" i="5"/>
  <c r="GQ30" i="5"/>
  <c r="GQ87" i="5"/>
  <c r="GQ45" i="5"/>
  <c r="GQ74" i="5"/>
  <c r="GQ31" i="5"/>
  <c r="GQ47" i="5"/>
  <c r="GQ93" i="5"/>
  <c r="GQ86" i="5"/>
  <c r="GQ9" i="5"/>
  <c r="GQ27" i="5"/>
  <c r="GQ26" i="5"/>
  <c r="GQ44" i="5"/>
  <c r="GQ17" i="5"/>
  <c r="GQ29" i="5"/>
  <c r="GQ66" i="5"/>
  <c r="GQ69" i="5"/>
  <c r="GQ51" i="5"/>
  <c r="GQ13" i="5"/>
  <c r="GQ84" i="5"/>
  <c r="GQ40" i="5"/>
  <c r="GQ24" i="5"/>
  <c r="GQ38" i="5"/>
  <c r="GQ12" i="5"/>
  <c r="GQ50" i="5"/>
  <c r="GQ25" i="5"/>
  <c r="GQ77" i="5"/>
  <c r="GQ75" i="5"/>
  <c r="GQ81" i="5"/>
  <c r="GQ83" i="5"/>
  <c r="EQ69" i="5"/>
  <c r="ER69" i="5" s="1"/>
  <c r="ES69" i="5" s="1"/>
  <c r="FW44" i="5"/>
  <c r="FX44" i="5" s="1"/>
  <c r="GL44" i="5" s="1"/>
  <c r="EQ92" i="5"/>
  <c r="ER92" i="5" s="1"/>
  <c r="ES92" i="5" s="1"/>
  <c r="FY44" i="5"/>
  <c r="FZ44" i="5" s="1"/>
  <c r="GA44" i="5"/>
  <c r="FU44" i="5"/>
  <c r="FV44" i="5" s="1"/>
  <c r="GK44" i="5" s="1"/>
  <c r="FY15" i="5"/>
  <c r="FA92" i="5"/>
  <c r="FB92" i="5" s="1"/>
  <c r="GJ15" i="5"/>
  <c r="FA82" i="5"/>
  <c r="FB82" i="5" s="1"/>
  <c r="FY12" i="5"/>
  <c r="GJ12" i="5"/>
  <c r="GA12" i="5"/>
  <c r="FQ24" i="5"/>
  <c r="GN24" i="5" s="1"/>
  <c r="FW30" i="5"/>
  <c r="FU30" i="5"/>
  <c r="FV30" i="5" s="1"/>
  <c r="GK30" i="5" s="1"/>
  <c r="GA30" i="5"/>
  <c r="GB30" i="5" s="1"/>
  <c r="FT90" i="5"/>
  <c r="GJ90" i="5" s="1"/>
  <c r="FM69" i="5"/>
  <c r="FP69" i="5" s="1"/>
  <c r="GM69" i="5" s="1"/>
  <c r="EQ64" i="5"/>
  <c r="ER64" i="5" s="1"/>
  <c r="ES64" i="5" s="1"/>
  <c r="FA90" i="5"/>
  <c r="FB90" i="5" s="1"/>
  <c r="FY30" i="5"/>
  <c r="FZ9" i="5"/>
  <c r="EQ90" i="5"/>
  <c r="ER90" i="5" s="1"/>
  <c r="ES90" i="5" s="1"/>
  <c r="FT64" i="5"/>
  <c r="GJ64" i="5" s="1"/>
  <c r="EQ82" i="5"/>
  <c r="ER82" i="5" s="1"/>
  <c r="ES82" i="5" s="1"/>
  <c r="BG64" i="5"/>
  <c r="FA64" i="5" s="1"/>
  <c r="FB64" i="5" s="1"/>
  <c r="FQ83" i="5"/>
  <c r="GN83" i="5" s="1"/>
  <c r="GJ43" i="5"/>
  <c r="FY43" i="5"/>
  <c r="GJ33" i="5"/>
  <c r="FY33" i="5"/>
  <c r="FY77" i="5"/>
  <c r="GJ25" i="5"/>
  <c r="FY25" i="5"/>
  <c r="FY92" i="5"/>
  <c r="GB12" i="5"/>
  <c r="GB88" i="5"/>
  <c r="FZ88" i="5"/>
  <c r="GB24" i="5"/>
  <c r="FZ24" i="5"/>
  <c r="FZ46" i="5"/>
  <c r="FZ83" i="5"/>
  <c r="GJ40" i="5"/>
  <c r="FY40" i="5"/>
  <c r="GJ26" i="5"/>
  <c r="FY26" i="5"/>
  <c r="FY81" i="5"/>
  <c r="GJ21" i="5"/>
  <c r="FY21" i="5"/>
  <c r="GB16" i="5"/>
  <c r="FZ16" i="5"/>
  <c r="GB39" i="5"/>
  <c r="FZ39" i="5"/>
  <c r="GB44" i="5"/>
  <c r="GB28" i="5"/>
  <c r="FZ28" i="5"/>
  <c r="GJ50" i="5"/>
  <c r="FY50" i="5"/>
  <c r="FY84" i="5"/>
  <c r="GJ47" i="5"/>
  <c r="FY47" i="5"/>
  <c r="FY85" i="5"/>
  <c r="FY82" i="5"/>
  <c r="GJ31" i="5"/>
  <c r="FY31" i="5"/>
  <c r="FZ34" i="5"/>
  <c r="GJ45" i="5"/>
  <c r="FY45" i="5"/>
  <c r="FY93" i="5"/>
  <c r="GJ27" i="5"/>
  <c r="FY27" i="5"/>
  <c r="FY74" i="5"/>
  <c r="FY75" i="5"/>
  <c r="GB23" i="5"/>
  <c r="FZ23" i="5"/>
  <c r="GB11" i="5"/>
  <c r="FZ11" i="5"/>
  <c r="GB35" i="5"/>
  <c r="FZ35" i="5"/>
  <c r="GB15" i="5"/>
  <c r="FZ15" i="5"/>
  <c r="FY66" i="5"/>
  <c r="GJ17" i="5"/>
  <c r="FY17" i="5"/>
  <c r="GJ13" i="5"/>
  <c r="FY13" i="5"/>
  <c r="FZ14" i="5"/>
  <c r="GB19" i="5"/>
  <c r="FZ19" i="5"/>
  <c r="GJ51" i="5"/>
  <c r="FY51" i="5"/>
  <c r="FY86" i="5"/>
  <c r="GJ38" i="5"/>
  <c r="FY38" i="5"/>
  <c r="GJ9" i="5"/>
  <c r="GB32" i="5"/>
  <c r="FZ32" i="5"/>
  <c r="FZ18" i="5"/>
  <c r="FZ22" i="5"/>
  <c r="FZ42" i="5"/>
  <c r="FY69" i="5"/>
  <c r="FY72" i="5"/>
  <c r="GJ53" i="5"/>
  <c r="FY53" i="5"/>
  <c r="GJ29" i="5"/>
  <c r="FY29" i="5"/>
  <c r="FY87" i="5"/>
  <c r="GB20" i="5"/>
  <c r="FZ20" i="5"/>
  <c r="FU17" i="5"/>
  <c r="FV17" i="5" s="1"/>
  <c r="GK17" i="5" s="1"/>
  <c r="FW17" i="5"/>
  <c r="GA17" i="5"/>
  <c r="FW72" i="5"/>
  <c r="FX72" i="5" s="1"/>
  <c r="GL72" i="5" s="1"/>
  <c r="GA72" i="5"/>
  <c r="FW86" i="5"/>
  <c r="FX86" i="5" s="1"/>
  <c r="GL86" i="5" s="1"/>
  <c r="GA86" i="5"/>
  <c r="GB86" i="5" s="1"/>
  <c r="FW87" i="5"/>
  <c r="FX87" i="5" s="1"/>
  <c r="GL87" i="5" s="1"/>
  <c r="GA87" i="5"/>
  <c r="GB87" i="5" s="1"/>
  <c r="GA38" i="5"/>
  <c r="GB38" i="5" s="1"/>
  <c r="FW38" i="5"/>
  <c r="FU38" i="5"/>
  <c r="FV38" i="5" s="1"/>
  <c r="GK38" i="5" s="1"/>
  <c r="GK9" i="5"/>
  <c r="GB9" i="5"/>
  <c r="FW25" i="5"/>
  <c r="FU25" i="5"/>
  <c r="FV25" i="5" s="1"/>
  <c r="GK25" i="5" s="1"/>
  <c r="GA25" i="5"/>
  <c r="FW92" i="5"/>
  <c r="FX92" i="5" s="1"/>
  <c r="GL92" i="5" s="1"/>
  <c r="GA92" i="5"/>
  <c r="FU43" i="5"/>
  <c r="FV43" i="5" s="1"/>
  <c r="GK43" i="5" s="1"/>
  <c r="FW43" i="5"/>
  <c r="GA43" i="5"/>
  <c r="FW66" i="5"/>
  <c r="FX66" i="5" s="1"/>
  <c r="GL66" i="5" s="1"/>
  <c r="GA66" i="5"/>
  <c r="GB66" i="5" s="1"/>
  <c r="FW29" i="5"/>
  <c r="GA29" i="5"/>
  <c r="FU29" i="5"/>
  <c r="FV29" i="5" s="1"/>
  <c r="GK29" i="5" s="1"/>
  <c r="FW77" i="5"/>
  <c r="FX77" i="5" s="1"/>
  <c r="GL77" i="5" s="1"/>
  <c r="GA77" i="5"/>
  <c r="FW50" i="5"/>
  <c r="GA50" i="5"/>
  <c r="GB50" i="5" s="1"/>
  <c r="FU50" i="5"/>
  <c r="FV50" i="5" s="1"/>
  <c r="GK50" i="5" s="1"/>
  <c r="GA84" i="5"/>
  <c r="FW84" i="5"/>
  <c r="FX84" i="5" s="1"/>
  <c r="GL84" i="5" s="1"/>
  <c r="FU26" i="5"/>
  <c r="FV26" i="5" s="1"/>
  <c r="GK26" i="5" s="1"/>
  <c r="FW26" i="5"/>
  <c r="GA26" i="5"/>
  <c r="GB26" i="5" s="1"/>
  <c r="GA47" i="5"/>
  <c r="FW47" i="5"/>
  <c r="FU47" i="5"/>
  <c r="FV47" i="5" s="1"/>
  <c r="GK47" i="5" s="1"/>
  <c r="FW85" i="5"/>
  <c r="FX85" i="5" s="1"/>
  <c r="GL85" i="5" s="1"/>
  <c r="GA85" i="5"/>
  <c r="FW21" i="5"/>
  <c r="FU21" i="5"/>
  <c r="FV21" i="5" s="1"/>
  <c r="GK21" i="5" s="1"/>
  <c r="GA21" i="5"/>
  <c r="GA81" i="5"/>
  <c r="FW81" i="5"/>
  <c r="FX81" i="5" s="1"/>
  <c r="GL81" i="5" s="1"/>
  <c r="FW69" i="5"/>
  <c r="FX69" i="5" s="1"/>
  <c r="GL69" i="5" s="1"/>
  <c r="GA69" i="5"/>
  <c r="FW45" i="5"/>
  <c r="FU45" i="5"/>
  <c r="FV45" i="5" s="1"/>
  <c r="GK45" i="5" s="1"/>
  <c r="GA45" i="5"/>
  <c r="FW82" i="5"/>
  <c r="FX82" i="5" s="1"/>
  <c r="GL82" i="5" s="1"/>
  <c r="GA82" i="5"/>
  <c r="GB82" i="5" s="1"/>
  <c r="FW31" i="5"/>
  <c r="GA31" i="5"/>
  <c r="FU31" i="5"/>
  <c r="FV31" i="5" s="1"/>
  <c r="GK31" i="5" s="1"/>
  <c r="FW53" i="5"/>
  <c r="FU53" i="5"/>
  <c r="FV53" i="5" s="1"/>
  <c r="GK53" i="5" s="1"/>
  <c r="GA53" i="5"/>
  <c r="FW13" i="5"/>
  <c r="FU13" i="5"/>
  <c r="FV13" i="5" s="1"/>
  <c r="GK13" i="5" s="1"/>
  <c r="GA13" i="5"/>
  <c r="FW51" i="5"/>
  <c r="GA51" i="5"/>
  <c r="FU51" i="5"/>
  <c r="FV51" i="5" s="1"/>
  <c r="GK51" i="5" s="1"/>
  <c r="FU40" i="5"/>
  <c r="FV40" i="5" s="1"/>
  <c r="GK40" i="5" s="1"/>
  <c r="FW40" i="5"/>
  <c r="GA40" i="5"/>
  <c r="GA33" i="5"/>
  <c r="FU33" i="5"/>
  <c r="FV33" i="5" s="1"/>
  <c r="GK33" i="5" s="1"/>
  <c r="FW33" i="5"/>
  <c r="FW93" i="5"/>
  <c r="FX93" i="5" s="1"/>
  <c r="GL93" i="5" s="1"/>
  <c r="GA93" i="5"/>
  <c r="FU27" i="5"/>
  <c r="FV27" i="5" s="1"/>
  <c r="GK27" i="5" s="1"/>
  <c r="GA27" i="5"/>
  <c r="FW27" i="5"/>
  <c r="GA74" i="5"/>
  <c r="GB74" i="5" s="1"/>
  <c r="FW74" i="5"/>
  <c r="FX74" i="5" s="1"/>
  <c r="GL74" i="5" s="1"/>
  <c r="GA75" i="5"/>
  <c r="GB75" i="5" s="1"/>
  <c r="FW75" i="5"/>
  <c r="FX75" i="5" s="1"/>
  <c r="GL75" i="5" s="1"/>
  <c r="FX18" i="5"/>
  <c r="GL18" i="5" s="1"/>
  <c r="FM80" i="5"/>
  <c r="FT80" i="5"/>
  <c r="GJ80" i="5" s="1"/>
  <c r="FU84" i="5"/>
  <c r="FV84" i="5" s="1"/>
  <c r="GK84" i="5" s="1"/>
  <c r="FM78" i="5"/>
  <c r="FT78" i="5"/>
  <c r="GJ78" i="5" s="1"/>
  <c r="FP53" i="5"/>
  <c r="GM53" i="5" s="1"/>
  <c r="FQ53" i="5"/>
  <c r="GN53" i="5" s="1"/>
  <c r="FP26" i="5"/>
  <c r="GM26" i="5" s="1"/>
  <c r="FQ26" i="5"/>
  <c r="GN26" i="5" s="1"/>
  <c r="FT76" i="5"/>
  <c r="GJ76" i="5" s="1"/>
  <c r="FM76" i="5"/>
  <c r="EQ10" i="5"/>
  <c r="ER10" i="5" s="1"/>
  <c r="ES10" i="5" s="1"/>
  <c r="BG10" i="5"/>
  <c r="FA10" i="5" s="1"/>
  <c r="FB10" i="5" s="1"/>
  <c r="FM73" i="5"/>
  <c r="FT73" i="5"/>
  <c r="GJ73" i="5" s="1"/>
  <c r="FP77" i="5"/>
  <c r="GM77" i="5" s="1"/>
  <c r="FQ77" i="5"/>
  <c r="GN77" i="5" s="1"/>
  <c r="EQ80" i="5"/>
  <c r="ER80" i="5" s="1"/>
  <c r="ES80" i="5" s="1"/>
  <c r="BG80" i="5"/>
  <c r="FA80" i="5" s="1"/>
  <c r="FB80" i="5" s="1"/>
  <c r="FP84" i="5"/>
  <c r="GM84" i="5" s="1"/>
  <c r="FQ84" i="5"/>
  <c r="GN84" i="5" s="1"/>
  <c r="EQ41" i="5"/>
  <c r="ER41" i="5" s="1"/>
  <c r="ES41" i="5" s="1"/>
  <c r="BG41" i="5"/>
  <c r="FA41" i="5" s="1"/>
  <c r="FB41" i="5" s="1"/>
  <c r="FT68" i="5"/>
  <c r="GJ68" i="5" s="1"/>
  <c r="FM68" i="5"/>
  <c r="FP43" i="5"/>
  <c r="GM43" i="5" s="1"/>
  <c r="FQ43" i="5"/>
  <c r="GN43" i="5" s="1"/>
  <c r="FM48" i="5"/>
  <c r="FT48" i="5"/>
  <c r="EQ56" i="5"/>
  <c r="ER56" i="5" s="1"/>
  <c r="ES56" i="5" s="1"/>
  <c r="BG56" i="5"/>
  <c r="FA56" i="5" s="1"/>
  <c r="FB56" i="5" s="1"/>
  <c r="EQ55" i="5"/>
  <c r="ER55" i="5" s="1"/>
  <c r="ES55" i="5" s="1"/>
  <c r="BG55" i="5"/>
  <c r="FA55" i="5" s="1"/>
  <c r="FB55" i="5" s="1"/>
  <c r="FM36" i="5"/>
  <c r="FT36" i="5"/>
  <c r="FX16" i="5"/>
  <c r="GL16" i="5" s="1"/>
  <c r="FP51" i="5"/>
  <c r="GM51" i="5" s="1"/>
  <c r="FQ51" i="5"/>
  <c r="GN51" i="5" s="1"/>
  <c r="FX30" i="5"/>
  <c r="GL30" i="5" s="1"/>
  <c r="EQ89" i="5"/>
  <c r="ER89" i="5" s="1"/>
  <c r="ES89" i="5" s="1"/>
  <c r="BG89" i="5"/>
  <c r="FA89" i="5" s="1"/>
  <c r="FB89" i="5" s="1"/>
  <c r="FM70" i="5"/>
  <c r="FT70" i="5"/>
  <c r="GJ70" i="5" s="1"/>
  <c r="FT67" i="5"/>
  <c r="GJ67" i="5" s="1"/>
  <c r="FM67" i="5"/>
  <c r="FP33" i="5"/>
  <c r="GM33" i="5" s="1"/>
  <c r="FQ33" i="5"/>
  <c r="GN33" i="5" s="1"/>
  <c r="EQ94" i="5"/>
  <c r="ER94" i="5" s="1"/>
  <c r="ES94" i="5" s="1"/>
  <c r="BG94" i="5"/>
  <c r="FA94" i="5" s="1"/>
  <c r="FB94" i="5" s="1"/>
  <c r="FP38" i="5"/>
  <c r="GM38" i="5" s="1"/>
  <c r="FQ38" i="5"/>
  <c r="GN38" i="5" s="1"/>
  <c r="FP17" i="5"/>
  <c r="GM17" i="5" s="1"/>
  <c r="FQ17" i="5"/>
  <c r="GN17" i="5" s="1"/>
  <c r="FP13" i="5"/>
  <c r="GM13" i="5" s="1"/>
  <c r="FQ13" i="5"/>
  <c r="GN13" i="5" s="1"/>
  <c r="FM71" i="5"/>
  <c r="FT71" i="5"/>
  <c r="GJ71" i="5" s="1"/>
  <c r="FP31" i="5"/>
  <c r="GM31" i="5" s="1"/>
  <c r="FQ31" i="5"/>
  <c r="GN31" i="5" s="1"/>
  <c r="FX39" i="5"/>
  <c r="GL39" i="5" s="1"/>
  <c r="FM57" i="5"/>
  <c r="FT57" i="5"/>
  <c r="FM10" i="5"/>
  <c r="FT52" i="5"/>
  <c r="FM52" i="5"/>
  <c r="FP85" i="5"/>
  <c r="GM85" i="5" s="1"/>
  <c r="FQ85" i="5"/>
  <c r="GN85" i="5" s="1"/>
  <c r="EQ70" i="5"/>
  <c r="ER70" i="5" s="1"/>
  <c r="ES70" i="5" s="1"/>
  <c r="BG70" i="5"/>
  <c r="FA70" i="5" s="1"/>
  <c r="FB70" i="5" s="1"/>
  <c r="EQ67" i="5"/>
  <c r="ER67" i="5" s="1"/>
  <c r="ES67" i="5" s="1"/>
  <c r="BG67" i="5"/>
  <c r="FA67" i="5" s="1"/>
  <c r="FB67" i="5" s="1"/>
  <c r="FU86" i="5"/>
  <c r="FV86" i="5" s="1"/>
  <c r="GK86" i="5" s="1"/>
  <c r="EQ49" i="5"/>
  <c r="ER49" i="5" s="1"/>
  <c r="ES49" i="5" s="1"/>
  <c r="BG49" i="5"/>
  <c r="FA49" i="5" s="1"/>
  <c r="FB49" i="5" s="1"/>
  <c r="FM94" i="5"/>
  <c r="FT94" i="5"/>
  <c r="GJ94" i="5" s="1"/>
  <c r="EQ78" i="5"/>
  <c r="ER78" i="5" s="1"/>
  <c r="ES78" i="5" s="1"/>
  <c r="BG78" i="5"/>
  <c r="FA78" i="5" s="1"/>
  <c r="FB78" i="5" s="1"/>
  <c r="FU72" i="5"/>
  <c r="FV72" i="5" s="1"/>
  <c r="GK72" i="5" s="1"/>
  <c r="FU75" i="5"/>
  <c r="FV75" i="5" s="1"/>
  <c r="GK75" i="5" s="1"/>
  <c r="EQ65" i="5"/>
  <c r="ER65" i="5" s="1"/>
  <c r="ES65" i="5" s="1"/>
  <c r="BG65" i="5"/>
  <c r="FA65" i="5" s="1"/>
  <c r="FB65" i="5" s="1"/>
  <c r="EQ63" i="5"/>
  <c r="ER63" i="5" s="1"/>
  <c r="ES63" i="5" s="1"/>
  <c r="BG63" i="5"/>
  <c r="FA63" i="5" s="1"/>
  <c r="FB63" i="5" s="1"/>
  <c r="GM9" i="5"/>
  <c r="FQ9" i="5"/>
  <c r="GN9" i="5" s="1"/>
  <c r="FP72" i="5"/>
  <c r="GM72" i="5" s="1"/>
  <c r="FQ72" i="5"/>
  <c r="GN72" i="5" s="1"/>
  <c r="FP75" i="5"/>
  <c r="GM75" i="5" s="1"/>
  <c r="FQ75" i="5"/>
  <c r="GN75" i="5" s="1"/>
  <c r="FT37" i="5"/>
  <c r="FM37" i="5"/>
  <c r="EQ57" i="5"/>
  <c r="ER57" i="5" s="1"/>
  <c r="ES57" i="5" s="1"/>
  <c r="BG57" i="5"/>
  <c r="FA57" i="5" s="1"/>
  <c r="FB57" i="5" s="1"/>
  <c r="EQ54" i="5"/>
  <c r="ER54" i="5" s="1"/>
  <c r="ES54" i="5" s="1"/>
  <c r="BG54" i="5"/>
  <c r="FA54" i="5" s="1"/>
  <c r="FB54" i="5" s="1"/>
  <c r="FU77" i="5"/>
  <c r="FV77" i="5" s="1"/>
  <c r="GK77" i="5" s="1"/>
  <c r="EQ68" i="5"/>
  <c r="ER68" i="5" s="1"/>
  <c r="ES68" i="5" s="1"/>
  <c r="BG68" i="5"/>
  <c r="FA68" i="5" s="1"/>
  <c r="FB68" i="5" s="1"/>
  <c r="FX46" i="5"/>
  <c r="GL46" i="5" s="1"/>
  <c r="EQ58" i="5"/>
  <c r="ER58" i="5" s="1"/>
  <c r="ES58" i="5" s="1"/>
  <c r="BG58" i="5"/>
  <c r="FA58" i="5" s="1"/>
  <c r="FB58" i="5" s="1"/>
  <c r="FT79" i="5"/>
  <c r="GJ79" i="5" s="1"/>
  <c r="FM79" i="5"/>
  <c r="FX23" i="5"/>
  <c r="GL23" i="5" s="1"/>
  <c r="FM95" i="5"/>
  <c r="FT95" i="5"/>
  <c r="GJ95" i="5" s="1"/>
  <c r="FX14" i="5"/>
  <c r="GL14" i="5" s="1"/>
  <c r="FX32" i="5"/>
  <c r="GL32" i="5" s="1"/>
  <c r="FX34" i="5"/>
  <c r="GL34" i="5" s="1"/>
  <c r="FU69" i="5"/>
  <c r="FV69" i="5" s="1"/>
  <c r="GK69" i="5" s="1"/>
  <c r="EQ59" i="5"/>
  <c r="ER59" i="5" s="1"/>
  <c r="ES59" i="5" s="1"/>
  <c r="BG59" i="5"/>
  <c r="FA59" i="5" s="1"/>
  <c r="FB59" i="5" s="1"/>
  <c r="FP64" i="5"/>
  <c r="GM64" i="5" s="1"/>
  <c r="FQ64" i="5"/>
  <c r="GN64" i="5" s="1"/>
  <c r="EQ79" i="5"/>
  <c r="ER79" i="5" s="1"/>
  <c r="ES79" i="5" s="1"/>
  <c r="BG79" i="5"/>
  <c r="FA79" i="5" s="1"/>
  <c r="FB79" i="5" s="1"/>
  <c r="FX35" i="5"/>
  <c r="GL35" i="5" s="1"/>
  <c r="FX12" i="5"/>
  <c r="GL12" i="5" s="1"/>
  <c r="FX24" i="5"/>
  <c r="GL24" i="5" s="1"/>
  <c r="FM56" i="5"/>
  <c r="FT56" i="5"/>
  <c r="FP66" i="5"/>
  <c r="GM66" i="5" s="1"/>
  <c r="FQ66" i="5"/>
  <c r="GN66" i="5" s="1"/>
  <c r="FU93" i="5"/>
  <c r="FV93" i="5" s="1"/>
  <c r="GK93" i="5" s="1"/>
  <c r="FP25" i="5"/>
  <c r="GM25" i="5" s="1"/>
  <c r="FQ25" i="5"/>
  <c r="GN25" i="5" s="1"/>
  <c r="EQ71" i="5"/>
  <c r="ER71" i="5" s="1"/>
  <c r="ES71" i="5" s="1"/>
  <c r="BG71" i="5"/>
  <c r="FA71" i="5" s="1"/>
  <c r="FB71" i="5" s="1"/>
  <c r="EQ37" i="5"/>
  <c r="ER37" i="5" s="1"/>
  <c r="ES37" i="5" s="1"/>
  <c r="BG37" i="5"/>
  <c r="FA37" i="5" s="1"/>
  <c r="FB37" i="5" s="1"/>
  <c r="EQ52" i="5"/>
  <c r="ER52" i="5" s="1"/>
  <c r="ES52" i="5" s="1"/>
  <c r="BG52" i="5"/>
  <c r="FA52" i="5" s="1"/>
  <c r="FB52" i="5" s="1"/>
  <c r="FT65" i="5"/>
  <c r="GJ65" i="5" s="1"/>
  <c r="FM65" i="5"/>
  <c r="FP40" i="5"/>
  <c r="GM40" i="5" s="1"/>
  <c r="FQ40" i="5"/>
  <c r="GN40" i="5" s="1"/>
  <c r="FX15" i="5"/>
  <c r="GL15" i="5" s="1"/>
  <c r="FX28" i="5"/>
  <c r="GL28" i="5" s="1"/>
  <c r="FM49" i="5"/>
  <c r="FT49" i="5"/>
  <c r="FT54" i="5"/>
  <c r="FM54" i="5"/>
  <c r="EQ73" i="5"/>
  <c r="ER73" i="5" s="1"/>
  <c r="ES73" i="5" s="1"/>
  <c r="BG73" i="5"/>
  <c r="FA73" i="5" s="1"/>
  <c r="FB73" i="5" s="1"/>
  <c r="FT59" i="5"/>
  <c r="FM59" i="5"/>
  <c r="FP45" i="5"/>
  <c r="GM45" i="5" s="1"/>
  <c r="FQ45" i="5"/>
  <c r="GN45" i="5" s="1"/>
  <c r="EQ62" i="5"/>
  <c r="ER62" i="5" s="1"/>
  <c r="ES62" i="5" s="1"/>
  <c r="BG62" i="5"/>
  <c r="FA62" i="5" s="1"/>
  <c r="FB62" i="5" s="1"/>
  <c r="FP81" i="5"/>
  <c r="GM81" i="5" s="1"/>
  <c r="FQ81" i="5"/>
  <c r="GN81" i="5" s="1"/>
  <c r="FU87" i="5"/>
  <c r="FV87" i="5" s="1"/>
  <c r="GK87" i="5" s="1"/>
  <c r="FT63" i="5"/>
  <c r="GJ63" i="5" s="1"/>
  <c r="FM63" i="5"/>
  <c r="EQ76" i="5"/>
  <c r="ER76" i="5" s="1"/>
  <c r="ES76" i="5" s="1"/>
  <c r="BG76" i="5"/>
  <c r="FA76" i="5" s="1"/>
  <c r="FB76" i="5" s="1"/>
  <c r="FU82" i="5"/>
  <c r="FV82" i="5" s="1"/>
  <c r="GK82" i="5" s="1"/>
  <c r="FP27" i="5"/>
  <c r="GM27" i="5" s="1"/>
  <c r="FQ27" i="5"/>
  <c r="GN27" i="5" s="1"/>
  <c r="FP74" i="5"/>
  <c r="GM74" i="5" s="1"/>
  <c r="FQ74" i="5"/>
  <c r="GN74" i="5" s="1"/>
  <c r="FU92" i="5"/>
  <c r="FV92" i="5" s="1"/>
  <c r="GK92" i="5" s="1"/>
  <c r="EQ36" i="5"/>
  <c r="ER36" i="5" s="1"/>
  <c r="ES36" i="5" s="1"/>
  <c r="BG36" i="5"/>
  <c r="FA36" i="5" s="1"/>
  <c r="FB36" i="5" s="1"/>
  <c r="EQ95" i="5"/>
  <c r="ER95" i="5" s="1"/>
  <c r="ES95" i="5" s="1"/>
  <c r="BG95" i="5"/>
  <c r="FA95" i="5" s="1"/>
  <c r="FB95" i="5" s="1"/>
  <c r="FP29" i="5"/>
  <c r="GM29" i="5" s="1"/>
  <c r="FQ29" i="5"/>
  <c r="GN29" i="5" s="1"/>
  <c r="FT58" i="5"/>
  <c r="FM58" i="5"/>
  <c r="EQ91" i="5"/>
  <c r="ER91" i="5" s="1"/>
  <c r="ES91" i="5" s="1"/>
  <c r="BG91" i="5"/>
  <c r="FA91" i="5" s="1"/>
  <c r="FB91" i="5" s="1"/>
  <c r="FU85" i="5"/>
  <c r="FV85" i="5" s="1"/>
  <c r="GK85" i="5" s="1"/>
  <c r="FP86" i="5"/>
  <c r="GM86" i="5" s="1"/>
  <c r="FQ86" i="5"/>
  <c r="GN86" i="5" s="1"/>
  <c r="FP50" i="5"/>
  <c r="GM50" i="5" s="1"/>
  <c r="FQ50" i="5"/>
  <c r="GN50" i="5" s="1"/>
  <c r="FM91" i="5"/>
  <c r="FT91" i="5"/>
  <c r="GJ91" i="5" s="1"/>
  <c r="FT89" i="5"/>
  <c r="GJ89" i="5" s="1"/>
  <c r="FM89" i="5"/>
  <c r="FU66" i="5"/>
  <c r="FV66" i="5" s="1"/>
  <c r="GK66" i="5" s="1"/>
  <c r="FP93" i="5"/>
  <c r="GM93" i="5" s="1"/>
  <c r="FQ93" i="5"/>
  <c r="GN93" i="5" s="1"/>
  <c r="FP21" i="5"/>
  <c r="GM21" i="5" s="1"/>
  <c r="FQ21" i="5"/>
  <c r="GN21" i="5" s="1"/>
  <c r="FX20" i="5"/>
  <c r="GL20" i="5" s="1"/>
  <c r="FX42" i="5"/>
  <c r="GL42" i="5" s="1"/>
  <c r="FX11" i="5"/>
  <c r="GL11" i="5" s="1"/>
  <c r="FP47" i="5"/>
  <c r="GM47" i="5" s="1"/>
  <c r="FQ47" i="5"/>
  <c r="GN47" i="5" s="1"/>
  <c r="FM41" i="5"/>
  <c r="FT41" i="5"/>
  <c r="FM62" i="5"/>
  <c r="FT62" i="5"/>
  <c r="GJ62" i="5" s="1"/>
  <c r="EQ48" i="5"/>
  <c r="ER48" i="5" s="1"/>
  <c r="ES48" i="5" s="1"/>
  <c r="BG48" i="5"/>
  <c r="FA48" i="5" s="1"/>
  <c r="FB48" i="5" s="1"/>
  <c r="FU81" i="5"/>
  <c r="FV81" i="5" s="1"/>
  <c r="GK81" i="5" s="1"/>
  <c r="FP87" i="5"/>
  <c r="GM87" i="5" s="1"/>
  <c r="FQ87" i="5"/>
  <c r="GN87" i="5" s="1"/>
  <c r="FP90" i="5"/>
  <c r="GM90" i="5" s="1"/>
  <c r="FQ90" i="5"/>
  <c r="GN90" i="5" s="1"/>
  <c r="FX22" i="5"/>
  <c r="GL22" i="5" s="1"/>
  <c r="FX19" i="5"/>
  <c r="GL19" i="5" s="1"/>
  <c r="FM55" i="5"/>
  <c r="FT55" i="5"/>
  <c r="FP82" i="5"/>
  <c r="GM82" i="5" s="1"/>
  <c r="FQ82" i="5"/>
  <c r="GN82" i="5" s="1"/>
  <c r="FU74" i="5"/>
  <c r="FV74" i="5" s="1"/>
  <c r="GK74" i="5" s="1"/>
  <c r="FP92" i="5"/>
  <c r="GM92" i="5" s="1"/>
  <c r="FQ92" i="5"/>
  <c r="GN92" i="5" s="1"/>
  <c r="GQ56" i="5" l="1"/>
  <c r="GQ92" i="5"/>
  <c r="GQ91" i="5"/>
  <c r="GQ36" i="5"/>
  <c r="GQ76" i="5"/>
  <c r="GQ58" i="5"/>
  <c r="GQ57" i="5"/>
  <c r="GQ78" i="5"/>
  <c r="GQ62" i="5"/>
  <c r="GQ41" i="5"/>
  <c r="GQ63" i="5"/>
  <c r="GQ90" i="5"/>
  <c r="GQ52" i="5"/>
  <c r="GQ37" i="5"/>
  <c r="GQ68" i="5"/>
  <c r="GQ80" i="5"/>
  <c r="GQ67" i="5"/>
  <c r="GQ70" i="5"/>
  <c r="GQ65" i="5"/>
  <c r="GQ49" i="5"/>
  <c r="GQ64" i="5"/>
  <c r="GQ73" i="5"/>
  <c r="GQ71" i="5"/>
  <c r="GQ59" i="5"/>
  <c r="GQ94" i="5"/>
  <c r="GQ89" i="5"/>
  <c r="GQ55" i="5"/>
  <c r="GQ82" i="5"/>
  <c r="GQ79" i="5"/>
  <c r="GQ10" i="5"/>
  <c r="GQ48" i="5"/>
  <c r="GQ95" i="5"/>
  <c r="GQ54" i="5"/>
  <c r="FZ12" i="5"/>
  <c r="FQ69" i="5"/>
  <c r="GN69" i="5" s="1"/>
  <c r="FW90" i="5"/>
  <c r="FX90" i="5" s="1"/>
  <c r="GL90" i="5" s="1"/>
  <c r="FZ30" i="5"/>
  <c r="FU90" i="5"/>
  <c r="FV90" i="5" s="1"/>
  <c r="GK90" i="5" s="1"/>
  <c r="FU64" i="5"/>
  <c r="FV64" i="5" s="1"/>
  <c r="GK64" i="5" s="1"/>
  <c r="GA64" i="5"/>
  <c r="GB64" i="5" s="1"/>
  <c r="FW64" i="5"/>
  <c r="FX64" i="5" s="1"/>
  <c r="GL64" i="5" s="1"/>
  <c r="GA90" i="5"/>
  <c r="GB90" i="5" s="1"/>
  <c r="FY90" i="5"/>
  <c r="FY64" i="5"/>
  <c r="FZ82" i="5"/>
  <c r="FZ50" i="5"/>
  <c r="FZ26" i="5"/>
  <c r="GJ52" i="5"/>
  <c r="FY52" i="5"/>
  <c r="FY71" i="5"/>
  <c r="FY73" i="5"/>
  <c r="GB85" i="5"/>
  <c r="FZ85" i="5"/>
  <c r="GB43" i="5"/>
  <c r="FZ43" i="5"/>
  <c r="GB17" i="5"/>
  <c r="FZ17" i="5"/>
  <c r="FZ38" i="5"/>
  <c r="GJ37" i="5"/>
  <c r="FY37" i="5"/>
  <c r="GJ10" i="5"/>
  <c r="FY10" i="5"/>
  <c r="GB13" i="5"/>
  <c r="FZ13" i="5"/>
  <c r="GB84" i="5"/>
  <c r="FZ84" i="5"/>
  <c r="GB77" i="5"/>
  <c r="FZ77" i="5"/>
  <c r="FZ75" i="5"/>
  <c r="FY94" i="5"/>
  <c r="GB93" i="5"/>
  <c r="FZ93" i="5"/>
  <c r="GB31" i="5"/>
  <c r="FZ31" i="5"/>
  <c r="FZ86" i="5"/>
  <c r="GJ58" i="5"/>
  <c r="FY58" i="5"/>
  <c r="GJ57" i="5"/>
  <c r="FY57" i="5"/>
  <c r="GB40" i="5"/>
  <c r="FZ40" i="5"/>
  <c r="GB92" i="5"/>
  <c r="FZ92" i="5"/>
  <c r="FZ74" i="5"/>
  <c r="FY63" i="5"/>
  <c r="FY62" i="5"/>
  <c r="GJ54" i="5"/>
  <c r="FY54" i="5"/>
  <c r="FY79" i="5"/>
  <c r="GJ41" i="5"/>
  <c r="FY41" i="5"/>
  <c r="FY91" i="5"/>
  <c r="FY65" i="5"/>
  <c r="FY68" i="5"/>
  <c r="GB53" i="5"/>
  <c r="FZ53" i="5"/>
  <c r="GB45" i="5"/>
  <c r="FZ45" i="5"/>
  <c r="GB81" i="5"/>
  <c r="FZ81" i="5"/>
  <c r="GB47" i="5"/>
  <c r="FZ47" i="5"/>
  <c r="GB29" i="5"/>
  <c r="FZ29" i="5"/>
  <c r="GJ56" i="5"/>
  <c r="FY56" i="5"/>
  <c r="GJ49" i="5"/>
  <c r="FY49" i="5"/>
  <c r="FY89" i="5"/>
  <c r="GJ59" i="5"/>
  <c r="FY59" i="5"/>
  <c r="FY67" i="5"/>
  <c r="FY76" i="5"/>
  <c r="GB21" i="5"/>
  <c r="FZ21" i="5"/>
  <c r="GB25" i="5"/>
  <c r="FZ25" i="5"/>
  <c r="FZ66" i="5"/>
  <c r="GJ55" i="5"/>
  <c r="FY55" i="5"/>
  <c r="FY95" i="5"/>
  <c r="FY70" i="5"/>
  <c r="GJ36" i="5"/>
  <c r="FY36" i="5"/>
  <c r="FY80" i="5"/>
  <c r="GB27" i="5"/>
  <c r="FZ27" i="5"/>
  <c r="GB33" i="5"/>
  <c r="FZ33" i="5"/>
  <c r="GB72" i="5"/>
  <c r="FZ72" i="5"/>
  <c r="GJ48" i="5"/>
  <c r="FY48" i="5"/>
  <c r="FY78" i="5"/>
  <c r="GB51" i="5"/>
  <c r="FZ51" i="5"/>
  <c r="GB69" i="5"/>
  <c r="FZ69" i="5"/>
  <c r="FZ87" i="5"/>
  <c r="GA10" i="5"/>
  <c r="GB10" i="5" s="1"/>
  <c r="FU10" i="5"/>
  <c r="FV10" i="5" s="1"/>
  <c r="GK10" i="5" s="1"/>
  <c r="FW10" i="5"/>
  <c r="FU57" i="5"/>
  <c r="FV57" i="5" s="1"/>
  <c r="GK57" i="5" s="1"/>
  <c r="FW57" i="5"/>
  <c r="GA57" i="5"/>
  <c r="FW76" i="5"/>
  <c r="FX76" i="5" s="1"/>
  <c r="GL76" i="5" s="1"/>
  <c r="GA76" i="5"/>
  <c r="GA62" i="5"/>
  <c r="GB62" i="5" s="1"/>
  <c r="FW62" i="5"/>
  <c r="FX62" i="5" s="1"/>
  <c r="GL62" i="5" s="1"/>
  <c r="FU59" i="5"/>
  <c r="FV59" i="5" s="1"/>
  <c r="GK59" i="5" s="1"/>
  <c r="GA59" i="5"/>
  <c r="FW59" i="5"/>
  <c r="GA56" i="5"/>
  <c r="FU56" i="5"/>
  <c r="FV56" i="5" s="1"/>
  <c r="GK56" i="5" s="1"/>
  <c r="FW56" i="5"/>
  <c r="FU48" i="5"/>
  <c r="FV48" i="5" s="1"/>
  <c r="GK48" i="5" s="1"/>
  <c r="GA48" i="5"/>
  <c r="FW48" i="5"/>
  <c r="GA71" i="5"/>
  <c r="GB71" i="5" s="1"/>
  <c r="FW71" i="5"/>
  <c r="FX71" i="5" s="1"/>
  <c r="GL71" i="5" s="1"/>
  <c r="FU36" i="5"/>
  <c r="FV36" i="5" s="1"/>
  <c r="GK36" i="5" s="1"/>
  <c r="GA36" i="5"/>
  <c r="FW36" i="5"/>
  <c r="FW91" i="5"/>
  <c r="FX91" i="5" s="1"/>
  <c r="GL91" i="5" s="1"/>
  <c r="GA91" i="5"/>
  <c r="GB91" i="5" s="1"/>
  <c r="GA65" i="5"/>
  <c r="FW65" i="5"/>
  <c r="FX65" i="5" s="1"/>
  <c r="GL65" i="5" s="1"/>
  <c r="GA79" i="5"/>
  <c r="GB79" i="5" s="1"/>
  <c r="FW79" i="5"/>
  <c r="FX79" i="5" s="1"/>
  <c r="GL79" i="5" s="1"/>
  <c r="FW78" i="5"/>
  <c r="FX78" i="5" s="1"/>
  <c r="GL78" i="5" s="1"/>
  <c r="GA78" i="5"/>
  <c r="GB78" i="5" s="1"/>
  <c r="FU55" i="5"/>
  <c r="FV55" i="5" s="1"/>
  <c r="GK55" i="5" s="1"/>
  <c r="FW55" i="5"/>
  <c r="GA55" i="5"/>
  <c r="GB55" i="5" s="1"/>
  <c r="FU52" i="5"/>
  <c r="FV52" i="5" s="1"/>
  <c r="GK52" i="5" s="1"/>
  <c r="GA52" i="5"/>
  <c r="FW52" i="5"/>
  <c r="FU41" i="5"/>
  <c r="FV41" i="5" s="1"/>
  <c r="GK41" i="5" s="1"/>
  <c r="FW41" i="5"/>
  <c r="GA41" i="5"/>
  <c r="FW89" i="5"/>
  <c r="FX89" i="5" s="1"/>
  <c r="GL89" i="5" s="1"/>
  <c r="GA89" i="5"/>
  <c r="FW95" i="5"/>
  <c r="FX95" i="5" s="1"/>
  <c r="GL95" i="5" s="1"/>
  <c r="GA95" i="5"/>
  <c r="GB95" i="5" s="1"/>
  <c r="FW37" i="5"/>
  <c r="FU37" i="5"/>
  <c r="FV37" i="5" s="1"/>
  <c r="GK37" i="5" s="1"/>
  <c r="GA37" i="5"/>
  <c r="GA67" i="5"/>
  <c r="GB67" i="5" s="1"/>
  <c r="FW67" i="5"/>
  <c r="FX67" i="5" s="1"/>
  <c r="GL67" i="5" s="1"/>
  <c r="FW73" i="5"/>
  <c r="FX73" i="5" s="1"/>
  <c r="GL73" i="5" s="1"/>
  <c r="GA73" i="5"/>
  <c r="FW80" i="5"/>
  <c r="FX80" i="5" s="1"/>
  <c r="GL80" i="5" s="1"/>
  <c r="GA80" i="5"/>
  <c r="FW54" i="5"/>
  <c r="GA54" i="5"/>
  <c r="GB54" i="5" s="1"/>
  <c r="FU54" i="5"/>
  <c r="FV54" i="5" s="1"/>
  <c r="GK54" i="5" s="1"/>
  <c r="FU49" i="5"/>
  <c r="FV49" i="5" s="1"/>
  <c r="GK49" i="5" s="1"/>
  <c r="GA49" i="5"/>
  <c r="FW49" i="5"/>
  <c r="FU58" i="5"/>
  <c r="FV58" i="5" s="1"/>
  <c r="GK58" i="5" s="1"/>
  <c r="FW58" i="5"/>
  <c r="GA58" i="5"/>
  <c r="GB58" i="5" s="1"/>
  <c r="FW94" i="5"/>
  <c r="FX94" i="5" s="1"/>
  <c r="GL94" i="5" s="1"/>
  <c r="GA94" i="5"/>
  <c r="GB94" i="5" s="1"/>
  <c r="FW68" i="5"/>
  <c r="FX68" i="5" s="1"/>
  <c r="GL68" i="5" s="1"/>
  <c r="GA68" i="5"/>
  <c r="FW63" i="5"/>
  <c r="FX63" i="5" s="1"/>
  <c r="GL63" i="5" s="1"/>
  <c r="GA63" i="5"/>
  <c r="GB63" i="5" s="1"/>
  <c r="FW70" i="5"/>
  <c r="FX70" i="5" s="1"/>
  <c r="GL70" i="5" s="1"/>
  <c r="GA70" i="5"/>
  <c r="GB70" i="5" s="1"/>
  <c r="FP56" i="5"/>
  <c r="GM56" i="5" s="1"/>
  <c r="FQ56" i="5"/>
  <c r="GN56" i="5" s="1"/>
  <c r="FP57" i="5"/>
  <c r="GM57" i="5" s="1"/>
  <c r="FQ57" i="5"/>
  <c r="GN57" i="5" s="1"/>
  <c r="FX51" i="5"/>
  <c r="GL51" i="5" s="1"/>
  <c r="FP80" i="5"/>
  <c r="GM80" i="5" s="1"/>
  <c r="FQ80" i="5"/>
  <c r="GN80" i="5" s="1"/>
  <c r="FU73" i="5"/>
  <c r="FV73" i="5" s="1"/>
  <c r="GK73" i="5" s="1"/>
  <c r="FX53" i="5"/>
  <c r="GL53" i="5" s="1"/>
  <c r="FU67" i="5"/>
  <c r="FV67" i="5" s="1"/>
  <c r="GK67" i="5" s="1"/>
  <c r="FX13" i="5"/>
  <c r="GL13" i="5" s="1"/>
  <c r="FU62" i="5"/>
  <c r="FV62" i="5" s="1"/>
  <c r="GK62" i="5" s="1"/>
  <c r="FU80" i="5"/>
  <c r="FV80" i="5" s="1"/>
  <c r="GK80" i="5" s="1"/>
  <c r="FX27" i="5"/>
  <c r="GL27" i="5" s="1"/>
  <c r="FP78" i="5"/>
  <c r="GM78" i="5" s="1"/>
  <c r="FQ78" i="5"/>
  <c r="GN78" i="5" s="1"/>
  <c r="FU94" i="5"/>
  <c r="FV94" i="5" s="1"/>
  <c r="GK94" i="5" s="1"/>
  <c r="FP68" i="5"/>
  <c r="GM68" i="5" s="1"/>
  <c r="FQ68" i="5"/>
  <c r="GN68" i="5" s="1"/>
  <c r="FP62" i="5"/>
  <c r="GM62" i="5" s="1"/>
  <c r="FQ62" i="5"/>
  <c r="GN62" i="5" s="1"/>
  <c r="FX25" i="5"/>
  <c r="GL25" i="5" s="1"/>
  <c r="FP91" i="5"/>
  <c r="GM91" i="5" s="1"/>
  <c r="FQ91" i="5"/>
  <c r="GN91" i="5" s="1"/>
  <c r="FP49" i="5"/>
  <c r="GM49" i="5" s="1"/>
  <c r="FQ49" i="5"/>
  <c r="GN49" i="5" s="1"/>
  <c r="FU65" i="5"/>
  <c r="FV65" i="5" s="1"/>
  <c r="GK65" i="5" s="1"/>
  <c r="FX50" i="5"/>
  <c r="GL50" i="5" s="1"/>
  <c r="FP95" i="5"/>
  <c r="GM95" i="5" s="1"/>
  <c r="FQ95" i="5"/>
  <c r="GN95" i="5" s="1"/>
  <c r="FU79" i="5"/>
  <c r="FV79" i="5" s="1"/>
  <c r="GK79" i="5" s="1"/>
  <c r="FP94" i="5"/>
  <c r="GM94" i="5" s="1"/>
  <c r="FQ94" i="5"/>
  <c r="GN94" i="5" s="1"/>
  <c r="FP70" i="5"/>
  <c r="GM70" i="5" s="1"/>
  <c r="FQ70" i="5"/>
  <c r="GN70" i="5" s="1"/>
  <c r="FX17" i="5"/>
  <c r="GL17" i="5" s="1"/>
  <c r="FX33" i="5"/>
  <c r="GL33" i="5" s="1"/>
  <c r="FU68" i="5"/>
  <c r="FV68" i="5" s="1"/>
  <c r="GK68" i="5" s="1"/>
  <c r="FX43" i="5"/>
  <c r="GL43" i="5" s="1"/>
  <c r="FX21" i="5"/>
  <c r="GL21" i="5" s="1"/>
  <c r="FP37" i="5"/>
  <c r="GM37" i="5" s="1"/>
  <c r="FQ37" i="5"/>
  <c r="GN37" i="5" s="1"/>
  <c r="FP67" i="5"/>
  <c r="GM67" i="5" s="1"/>
  <c r="FQ67" i="5"/>
  <c r="GN67" i="5" s="1"/>
  <c r="FP41" i="5"/>
  <c r="GM41" i="5" s="1"/>
  <c r="FQ41" i="5"/>
  <c r="GN41" i="5" s="1"/>
  <c r="FU89" i="5"/>
  <c r="FV89" i="5" s="1"/>
  <c r="GK89" i="5" s="1"/>
  <c r="FX47" i="5"/>
  <c r="GL47" i="5" s="1"/>
  <c r="FX40" i="5"/>
  <c r="GL40" i="5" s="1"/>
  <c r="FP65" i="5"/>
  <c r="GM65" i="5" s="1"/>
  <c r="FQ65" i="5"/>
  <c r="GN65" i="5" s="1"/>
  <c r="FU95" i="5"/>
  <c r="FV95" i="5" s="1"/>
  <c r="GK95" i="5" s="1"/>
  <c r="FP58" i="5"/>
  <c r="GM58" i="5" s="1"/>
  <c r="FQ58" i="5"/>
  <c r="GN58" i="5" s="1"/>
  <c r="FP63" i="5"/>
  <c r="GM63" i="5" s="1"/>
  <c r="FQ63" i="5"/>
  <c r="GN63" i="5" s="1"/>
  <c r="FP59" i="5"/>
  <c r="GM59" i="5" s="1"/>
  <c r="FQ59" i="5"/>
  <c r="GN59" i="5" s="1"/>
  <c r="FU71" i="5"/>
  <c r="FV71" i="5" s="1"/>
  <c r="GK71" i="5" s="1"/>
  <c r="FP76" i="5"/>
  <c r="GM76" i="5" s="1"/>
  <c r="FQ76" i="5"/>
  <c r="GN76" i="5" s="1"/>
  <c r="FX31" i="5"/>
  <c r="GL31" i="5" s="1"/>
  <c r="FP89" i="5"/>
  <c r="GM89" i="5" s="1"/>
  <c r="FQ89" i="5"/>
  <c r="GN89" i="5" s="1"/>
  <c r="FP54" i="5"/>
  <c r="GM54" i="5" s="1"/>
  <c r="FQ54" i="5"/>
  <c r="GN54" i="5" s="1"/>
  <c r="FU78" i="5"/>
  <c r="FV78" i="5" s="1"/>
  <c r="GK78" i="5" s="1"/>
  <c r="FP73" i="5"/>
  <c r="GM73" i="5" s="1"/>
  <c r="FQ73" i="5"/>
  <c r="GN73" i="5" s="1"/>
  <c r="FU91" i="5"/>
  <c r="FV91" i="5" s="1"/>
  <c r="GK91" i="5" s="1"/>
  <c r="FP79" i="5"/>
  <c r="GM79" i="5" s="1"/>
  <c r="FQ79" i="5"/>
  <c r="GN79" i="5" s="1"/>
  <c r="FP52" i="5"/>
  <c r="GM52" i="5" s="1"/>
  <c r="FQ52" i="5"/>
  <c r="GN52" i="5" s="1"/>
  <c r="FU70" i="5"/>
  <c r="FV70" i="5" s="1"/>
  <c r="GK70" i="5" s="1"/>
  <c r="FP55" i="5"/>
  <c r="GM55" i="5" s="1"/>
  <c r="FQ55" i="5"/>
  <c r="GN55" i="5" s="1"/>
  <c r="FX45" i="5"/>
  <c r="GL45" i="5" s="1"/>
  <c r="FU63" i="5"/>
  <c r="FV63" i="5" s="1"/>
  <c r="GK63" i="5" s="1"/>
  <c r="FX26" i="5"/>
  <c r="GL26" i="5" s="1"/>
  <c r="FP10" i="5"/>
  <c r="GM10" i="5" s="1"/>
  <c r="FQ10" i="5"/>
  <c r="GN10" i="5" s="1"/>
  <c r="FP71" i="5"/>
  <c r="GM71" i="5" s="1"/>
  <c r="FQ71" i="5"/>
  <c r="GN71" i="5" s="1"/>
  <c r="FP36" i="5"/>
  <c r="GM36" i="5" s="1"/>
  <c r="FQ36" i="5"/>
  <c r="GN36" i="5" s="1"/>
  <c r="FX38" i="5"/>
  <c r="GL38" i="5" s="1"/>
  <c r="FP48" i="5"/>
  <c r="GM48" i="5" s="1"/>
  <c r="FQ48" i="5"/>
  <c r="GN48" i="5" s="1"/>
  <c r="FX29" i="5"/>
  <c r="GL29" i="5" s="1"/>
  <c r="FU76" i="5"/>
  <c r="FV76" i="5" s="1"/>
  <c r="GK76" i="5" s="1"/>
  <c r="FZ90" i="5" l="1"/>
  <c r="FZ64" i="5"/>
  <c r="FZ63" i="5"/>
  <c r="FZ70" i="5"/>
  <c r="FZ79" i="5"/>
  <c r="FZ78" i="5"/>
  <c r="FZ95" i="5"/>
  <c r="FZ10" i="5"/>
  <c r="FZ58" i="5"/>
  <c r="GB56" i="5"/>
  <c r="FZ56" i="5"/>
  <c r="GB76" i="5"/>
  <c r="FZ76" i="5"/>
  <c r="FZ67" i="5"/>
  <c r="GB57" i="5"/>
  <c r="FZ57" i="5"/>
  <c r="GB41" i="5"/>
  <c r="FZ41" i="5"/>
  <c r="FZ71" i="5"/>
  <c r="GB89" i="5"/>
  <c r="FZ89" i="5"/>
  <c r="GB65" i="5"/>
  <c r="FZ65" i="5"/>
  <c r="GB59" i="5"/>
  <c r="FZ59" i="5"/>
  <c r="GB48" i="5"/>
  <c r="FZ48" i="5"/>
  <c r="FZ54" i="5"/>
  <c r="GB73" i="5"/>
  <c r="FZ73" i="5"/>
  <c r="FZ55" i="5"/>
  <c r="FZ94" i="5"/>
  <c r="GB37" i="5"/>
  <c r="FZ37" i="5"/>
  <c r="GB80" i="5"/>
  <c r="FZ80" i="5"/>
  <c r="GB68" i="5"/>
  <c r="FZ68" i="5"/>
  <c r="GB49" i="5"/>
  <c r="FZ49" i="5"/>
  <c r="GB52" i="5"/>
  <c r="FZ52" i="5"/>
  <c r="GB36" i="5"/>
  <c r="FZ36" i="5"/>
  <c r="FZ91" i="5"/>
  <c r="FZ62" i="5"/>
  <c r="GL9" i="5"/>
  <c r="FX54" i="5"/>
  <c r="GL54" i="5" s="1"/>
  <c r="FX58" i="5"/>
  <c r="GL58" i="5" s="1"/>
  <c r="FX52" i="5"/>
  <c r="GL52" i="5" s="1"/>
  <c r="FX57" i="5"/>
  <c r="GL57" i="5" s="1"/>
  <c r="FX55" i="5"/>
  <c r="GL55" i="5" s="1"/>
  <c r="FX37" i="5"/>
  <c r="GL37" i="5" s="1"/>
  <c r="FX56" i="5"/>
  <c r="GL56" i="5" s="1"/>
  <c r="FX49" i="5"/>
  <c r="GL49" i="5" s="1"/>
  <c r="FX48" i="5"/>
  <c r="GL48" i="5" s="1"/>
  <c r="FX59" i="5"/>
  <c r="GL59" i="5" s="1"/>
  <c r="FX36" i="5"/>
  <c r="GL36" i="5" s="1"/>
  <c r="FX10" i="5"/>
  <c r="GL10" i="5" s="1"/>
  <c r="FX41" i="5"/>
  <c r="GL41" i="5" s="1"/>
  <c r="FV14" i="5" l="1"/>
  <c r="GK14" i="5" s="1"/>
</calcChain>
</file>

<file path=xl/sharedStrings.xml><?xml version="1.0" encoding="utf-8"?>
<sst xmlns="http://schemas.openxmlformats.org/spreadsheetml/2006/main" count="341" uniqueCount="151">
  <si>
    <t xml:space="preserve">--&gt; </t>
  </si>
  <si>
    <t>&lt;--</t>
  </si>
  <si>
    <t xml:space="preserve">unhide cells to see calcs </t>
  </si>
  <si>
    <t>Inputs</t>
  </si>
  <si>
    <t>Results Summary</t>
  </si>
  <si>
    <r>
      <t>Major oxides (wt. %), Temperature (°C), Pressure (GPa), and log</t>
    </r>
    <r>
      <rPr>
        <b/>
        <i/>
        <sz val="18"/>
        <color theme="1"/>
        <rFont val="Calibri"/>
        <family val="2"/>
      </rPr>
      <t>f</t>
    </r>
    <r>
      <rPr>
        <b/>
        <sz val="18"/>
        <color theme="1"/>
        <rFont val="Calibri"/>
        <family val="2"/>
      </rPr>
      <t>O</t>
    </r>
    <r>
      <rPr>
        <b/>
        <vertAlign val="subscript"/>
        <sz val="18"/>
        <color theme="1"/>
        <rFont val="Calibri"/>
        <family val="2"/>
      </rPr>
      <t>2</t>
    </r>
    <r>
      <rPr>
        <b/>
        <sz val="18"/>
        <color theme="1"/>
        <rFont val="Calibri"/>
        <family val="2"/>
      </rPr>
      <t>ΔQFM</t>
    </r>
  </si>
  <si>
    <t>Buffers - Frost 1991</t>
  </si>
  <si>
    <t>Kress and Carmichael 1991 - Ferric/Ferrous from fO2</t>
  </si>
  <si>
    <t>fO2 from Ferric/Ferrous</t>
  </si>
  <si>
    <t>Nash et al. 19</t>
  </si>
  <si>
    <t>Jugo et al. 10</t>
  </si>
  <si>
    <t>O'Neill 21; O'Neill &amp; Mavrogenes 22</t>
  </si>
  <si>
    <t xml:space="preserve">Boulliung &amp; Wood 23 </t>
  </si>
  <si>
    <r>
      <t>logf</t>
    </r>
    <r>
      <rPr>
        <b/>
        <sz val="12"/>
        <color theme="1"/>
        <rFont val="Calibri"/>
        <family val="2"/>
      </rPr>
      <t>O</t>
    </r>
    <r>
      <rPr>
        <b/>
        <i/>
        <vertAlign val="subscript"/>
        <sz val="12"/>
        <color theme="1"/>
        <rFont val="Calibri"/>
        <family val="2"/>
      </rPr>
      <t>2</t>
    </r>
    <r>
      <rPr>
        <b/>
        <i/>
        <sz val="12"/>
        <color theme="1"/>
        <rFont val="Calibri"/>
        <family val="2"/>
      </rPr>
      <t xml:space="preserve"> Buffers - Frost 1991</t>
    </r>
  </si>
  <si>
    <t>Kress and Carmichael 1991</t>
  </si>
  <si>
    <t>Gorojovsky &amp; Wood 2025</t>
  </si>
  <si>
    <t>Boulliung &amp; Wood 23 - eq. 7 &amp; 9</t>
  </si>
  <si>
    <t>Boulliung &amp; Wood 23 - eq. 7 &amp; 11</t>
  </si>
  <si>
    <t>Renormalise to 100 - hydrous basis</t>
  </si>
  <si>
    <t>wt.% / MW</t>
  </si>
  <si>
    <t>X mol frac</t>
  </si>
  <si>
    <t>wt. % / Single Oxygen molar</t>
  </si>
  <si>
    <t>X single Oxygen</t>
  </si>
  <si>
    <t>wt.% / single cation</t>
  </si>
  <si>
    <t>X Single Cation</t>
  </si>
  <si>
    <t>Sample I.D.</t>
  </si>
  <si>
    <t>T °C</t>
  </si>
  <si>
    <t>P (Gpa)</t>
  </si>
  <si>
    <t>QFM</t>
  </si>
  <si>
    <t>SiO2</t>
  </si>
  <si>
    <t>TiO2</t>
  </si>
  <si>
    <t>FeOt</t>
  </si>
  <si>
    <t>MnO</t>
  </si>
  <si>
    <t>MgO</t>
  </si>
  <si>
    <t>CaO</t>
  </si>
  <si>
    <t>Na2O</t>
  </si>
  <si>
    <t>K2O</t>
  </si>
  <si>
    <t>H2O</t>
  </si>
  <si>
    <t>Total</t>
  </si>
  <si>
    <t>sum</t>
  </si>
  <si>
    <t>FeO</t>
  </si>
  <si>
    <t>Sum</t>
  </si>
  <si>
    <t>Si0.5O</t>
  </si>
  <si>
    <t>Ti0.5O</t>
  </si>
  <si>
    <t>Al0.6O</t>
  </si>
  <si>
    <t>Cr0.6O</t>
  </si>
  <si>
    <t>Fe0.6O</t>
  </si>
  <si>
    <t>P0.4O</t>
  </si>
  <si>
    <t>AlO1.5</t>
  </si>
  <si>
    <t>CrO1.5</t>
  </si>
  <si>
    <t>FeO1.5</t>
  </si>
  <si>
    <t>NaO0.5</t>
  </si>
  <si>
    <t>KO0.5</t>
  </si>
  <si>
    <t>PO2.5</t>
  </si>
  <si>
    <t>T (K)</t>
  </si>
  <si>
    <t>P (Pa)</t>
  </si>
  <si>
    <t>logfO2</t>
  </si>
  <si>
    <t>NNO</t>
  </si>
  <si>
    <t>IW</t>
  </si>
  <si>
    <r>
      <t>lnXFe</t>
    </r>
    <r>
      <rPr>
        <b/>
        <vertAlign val="subscript"/>
        <sz val="10"/>
        <color rgb="FF000000"/>
        <rFont val="Calibri"/>
        <family val="2"/>
      </rPr>
      <t>2</t>
    </r>
    <r>
      <rPr>
        <b/>
        <sz val="10"/>
        <color indexed="8"/>
        <rFont val="Calibri"/>
        <family val="2"/>
      </rPr>
      <t>O</t>
    </r>
    <r>
      <rPr>
        <b/>
        <vertAlign val="subscript"/>
        <sz val="10"/>
        <color rgb="FF000000"/>
        <rFont val="Calibri"/>
        <family val="2"/>
      </rPr>
      <t>3</t>
    </r>
    <r>
      <rPr>
        <b/>
        <sz val="10"/>
        <color indexed="8"/>
        <rFont val="Calibri"/>
        <family val="2"/>
      </rPr>
      <t>/XFeO</t>
    </r>
  </si>
  <si>
    <r>
      <t>logXFe</t>
    </r>
    <r>
      <rPr>
        <b/>
        <vertAlign val="subscript"/>
        <sz val="10"/>
        <color rgb="FF000000"/>
        <rFont val="Calibri"/>
        <family val="2"/>
      </rPr>
      <t>2</t>
    </r>
    <r>
      <rPr>
        <b/>
        <sz val="10"/>
        <color indexed="8"/>
        <rFont val="Calibri"/>
        <family val="2"/>
      </rPr>
      <t>O</t>
    </r>
    <r>
      <rPr>
        <b/>
        <vertAlign val="subscript"/>
        <sz val="10"/>
        <color rgb="FF000000"/>
        <rFont val="Calibri"/>
        <family val="2"/>
      </rPr>
      <t>3</t>
    </r>
    <r>
      <rPr>
        <b/>
        <sz val="10"/>
        <color indexed="8"/>
        <rFont val="Calibri"/>
        <family val="2"/>
      </rPr>
      <t>/XFeO</t>
    </r>
  </si>
  <si>
    <r>
      <t>XFe</t>
    </r>
    <r>
      <rPr>
        <b/>
        <vertAlign val="subscript"/>
        <sz val="10"/>
        <color rgb="FF000000"/>
        <rFont val="Calibri"/>
        <family val="2"/>
      </rPr>
      <t>2</t>
    </r>
    <r>
      <rPr>
        <b/>
        <sz val="10"/>
        <color indexed="8"/>
        <rFont val="Calibri"/>
        <family val="2"/>
      </rPr>
      <t>O</t>
    </r>
    <r>
      <rPr>
        <b/>
        <vertAlign val="subscript"/>
        <sz val="10"/>
        <color rgb="FF000000"/>
        <rFont val="Calibri"/>
        <family val="2"/>
      </rPr>
      <t>3</t>
    </r>
    <r>
      <rPr>
        <b/>
        <sz val="10"/>
        <color indexed="8"/>
        <rFont val="Calibri"/>
        <family val="2"/>
      </rPr>
      <t>/XFeO</t>
    </r>
  </si>
  <si>
    <t>XFeO</t>
  </si>
  <si>
    <t>XFe2O3</t>
  </si>
  <si>
    <r>
      <t>Fe</t>
    </r>
    <r>
      <rPr>
        <b/>
        <vertAlign val="superscript"/>
        <sz val="11"/>
        <color theme="1"/>
        <rFont val="Calibri"/>
        <family val="2"/>
      </rPr>
      <t>3+</t>
    </r>
    <r>
      <rPr>
        <b/>
        <sz val="11"/>
        <color theme="1"/>
        <rFont val="Calibri"/>
        <family val="2"/>
      </rPr>
      <t>/ΣFe</t>
    </r>
  </si>
  <si>
    <t>lnFe203/XFeO</t>
  </si>
  <si>
    <r>
      <t>logS</t>
    </r>
    <r>
      <rPr>
        <b/>
        <vertAlign val="superscript"/>
        <sz val="10"/>
        <color rgb="FF000000"/>
        <rFont val="Calibri"/>
        <family val="2"/>
      </rPr>
      <t>6+</t>
    </r>
    <r>
      <rPr>
        <b/>
        <sz val="10"/>
        <color indexed="8"/>
        <rFont val="Calibri"/>
        <family val="2"/>
      </rPr>
      <t>/S</t>
    </r>
    <r>
      <rPr>
        <b/>
        <vertAlign val="superscript"/>
        <sz val="10"/>
        <color rgb="FF000000"/>
        <rFont val="Calibri"/>
        <family val="2"/>
      </rPr>
      <t>2-</t>
    </r>
  </si>
  <si>
    <r>
      <t>S</t>
    </r>
    <r>
      <rPr>
        <b/>
        <vertAlign val="superscript"/>
        <sz val="10"/>
        <color rgb="FF000000"/>
        <rFont val="Calibri"/>
        <family val="2"/>
      </rPr>
      <t>6+</t>
    </r>
    <r>
      <rPr>
        <b/>
        <sz val="10"/>
        <color indexed="8"/>
        <rFont val="Calibri"/>
        <family val="2"/>
      </rPr>
      <t>/ΣS</t>
    </r>
  </si>
  <si>
    <r>
      <t>lnC</t>
    </r>
    <r>
      <rPr>
        <b/>
        <vertAlign val="subscript"/>
        <sz val="10"/>
        <color rgb="FF000000"/>
        <rFont val="Calibri"/>
        <family val="2"/>
      </rPr>
      <t>S2-</t>
    </r>
  </si>
  <si>
    <r>
      <t>lnC</t>
    </r>
    <r>
      <rPr>
        <b/>
        <vertAlign val="subscript"/>
        <sz val="10"/>
        <color rgb="FF000000"/>
        <rFont val="Calibri"/>
        <family val="2"/>
      </rPr>
      <t>S6+</t>
    </r>
  </si>
  <si>
    <t>lnK</t>
  </si>
  <si>
    <t>lnS6+/S2-</t>
  </si>
  <si>
    <t>logCs2- eq. 7</t>
  </si>
  <si>
    <t>logCs6+ eq. 9</t>
  </si>
  <si>
    <t>logCs6+ logT - eq. 11</t>
  </si>
  <si>
    <r>
      <t>S</t>
    </r>
    <r>
      <rPr>
        <b/>
        <vertAlign val="superscript"/>
        <sz val="10"/>
        <color rgb="FF000000"/>
        <rFont val="Calibri"/>
        <family val="2"/>
      </rPr>
      <t>6+</t>
    </r>
    <r>
      <rPr>
        <b/>
        <sz val="10"/>
        <color indexed="8"/>
        <rFont val="Calibri"/>
        <family val="2"/>
      </rPr>
      <t>/ΣS non-linear</t>
    </r>
  </si>
  <si>
    <t>logCs6+</t>
  </si>
  <si>
    <t>logCs2-</t>
  </si>
  <si>
    <r>
      <t>log</t>
    </r>
    <r>
      <rPr>
        <b/>
        <i/>
        <sz val="11"/>
        <color theme="1"/>
        <rFont val="Calibri"/>
        <family val="2"/>
      </rPr>
      <t>f</t>
    </r>
    <r>
      <rPr>
        <b/>
        <sz val="11"/>
        <color theme="1"/>
        <rFont val="Calibri"/>
        <family val="2"/>
      </rPr>
      <t>O</t>
    </r>
    <r>
      <rPr>
        <b/>
        <vertAlign val="subscript"/>
        <sz val="11"/>
        <color theme="1"/>
        <rFont val="Calibri"/>
        <family val="2"/>
      </rPr>
      <t>2</t>
    </r>
  </si>
  <si>
    <r>
      <t>Fe</t>
    </r>
    <r>
      <rPr>
        <b/>
        <vertAlign val="superscript"/>
        <sz val="10"/>
        <color rgb="FF000000"/>
        <rFont val="Calibri"/>
        <family val="2"/>
      </rPr>
      <t>3+</t>
    </r>
    <r>
      <rPr>
        <b/>
        <sz val="10"/>
        <color indexed="8"/>
        <rFont val="Calibri"/>
        <family val="2"/>
      </rPr>
      <t>/ΣFe</t>
    </r>
  </si>
  <si>
    <r>
      <t>logC</t>
    </r>
    <r>
      <rPr>
        <b/>
        <vertAlign val="subscript"/>
        <sz val="10"/>
        <color rgb="FF000000"/>
        <rFont val="Calibri"/>
        <family val="2"/>
      </rPr>
      <t>S6+</t>
    </r>
  </si>
  <si>
    <r>
      <t>logC</t>
    </r>
    <r>
      <rPr>
        <b/>
        <vertAlign val="subscript"/>
        <sz val="10"/>
        <color rgb="FF000000"/>
        <rFont val="Calibri"/>
        <family val="2"/>
      </rPr>
      <t>S2-</t>
    </r>
  </si>
  <si>
    <t>Icelandic Basalt - 1050°C, 1 atm</t>
  </si>
  <si>
    <t>Phonolite - 1050°C, 1 atm</t>
  </si>
  <si>
    <t>Trachyandesite - Fig. 5b - Matjuschkin16</t>
  </si>
  <si>
    <t>Parameterisation</t>
  </si>
  <si>
    <t>Study</t>
  </si>
  <si>
    <t>Calibration P</t>
  </si>
  <si>
    <t>Calibration T</t>
  </si>
  <si>
    <r>
      <t>logC</t>
    </r>
    <r>
      <rPr>
        <vertAlign val="subscript"/>
        <sz val="11"/>
        <color rgb="FF000000"/>
        <rFont val="Arial"/>
        <family val="2"/>
      </rPr>
      <t>S2-</t>
    </r>
    <r>
      <rPr>
        <sz val="11"/>
        <color rgb="FF000000"/>
        <rFont val="Arial"/>
        <family val="2"/>
      </rPr>
      <t>,logC</t>
    </r>
    <r>
      <rPr>
        <vertAlign val="subscript"/>
        <sz val="11"/>
        <color rgb="FF000000"/>
        <rFont val="Arial"/>
        <family val="2"/>
      </rPr>
      <t>S6+</t>
    </r>
    <r>
      <rPr>
        <sz val="11"/>
        <color rgb="FF000000"/>
        <rFont val="Arial"/>
        <family val="2"/>
      </rPr>
      <t>, S</t>
    </r>
    <r>
      <rPr>
        <vertAlign val="superscript"/>
        <sz val="11"/>
        <color rgb="FF000000"/>
        <rFont val="Arial"/>
        <family val="2"/>
      </rPr>
      <t>6+</t>
    </r>
    <r>
      <rPr>
        <sz val="11"/>
        <color rgb="FF000000"/>
        <rFont val="Arial"/>
        <family val="2"/>
      </rPr>
      <t xml:space="preserve">/ΣS </t>
    </r>
  </si>
  <si>
    <t>Gorojovsky and Wood</t>
  </si>
  <si>
    <t>1050 - 1500 °C</t>
  </si>
  <si>
    <t>1 atm</t>
  </si>
  <si>
    <t>1200 - 1500 °C</t>
  </si>
  <si>
    <r>
      <t>S</t>
    </r>
    <r>
      <rPr>
        <vertAlign val="superscript"/>
        <sz val="11"/>
        <color rgb="FF000000"/>
        <rFont val="Arial"/>
        <family val="2"/>
      </rPr>
      <t>6+</t>
    </r>
    <r>
      <rPr>
        <sz val="11"/>
        <color rgb="FF000000"/>
        <rFont val="Arial"/>
        <family val="2"/>
      </rPr>
      <t xml:space="preserve">/ΣS </t>
    </r>
  </si>
  <si>
    <t>Jugo et al, 2010</t>
  </si>
  <si>
    <t>2 kbar</t>
  </si>
  <si>
    <t>1050 °C</t>
  </si>
  <si>
    <t>Nash et al. 2019</t>
  </si>
  <si>
    <t>1300 °C</t>
  </si>
  <si>
    <r>
      <t>Fe</t>
    </r>
    <r>
      <rPr>
        <vertAlign val="superscript"/>
        <sz val="11"/>
        <color rgb="FF000000"/>
        <rFont val="Arial"/>
        <family val="2"/>
      </rPr>
      <t>3+</t>
    </r>
    <r>
      <rPr>
        <sz val="11"/>
        <color rgb="FF000000"/>
        <rFont val="Arial"/>
        <family val="2"/>
      </rPr>
      <t xml:space="preserve">/ΣFe </t>
    </r>
  </si>
  <si>
    <t>996 - 1541 °C</t>
  </si>
  <si>
    <r>
      <t>Sulfur solubility, speciation, and log</t>
    </r>
    <r>
      <rPr>
        <b/>
        <i/>
        <sz val="14"/>
        <color rgb="FF000000"/>
        <rFont val="Arial"/>
        <family val="2"/>
      </rPr>
      <t>f</t>
    </r>
    <r>
      <rPr>
        <b/>
        <sz val="14"/>
        <color rgb="FF000000"/>
        <rFont val="Arial"/>
        <family val="2"/>
      </rPr>
      <t>O</t>
    </r>
    <r>
      <rPr>
        <b/>
        <vertAlign val="subscript"/>
        <sz val="14"/>
        <color rgb="FF000000"/>
        <rFont val="Arial"/>
        <family val="2"/>
      </rPr>
      <t>2</t>
    </r>
    <r>
      <rPr>
        <b/>
        <sz val="14"/>
        <color rgb="FF000000"/>
        <rFont val="Arial"/>
        <family val="2"/>
      </rPr>
      <t xml:space="preserve"> calculator </t>
    </r>
  </si>
  <si>
    <t>Summary of parameterisations available in this workbook:</t>
  </si>
  <si>
    <t>Lauren.gorojovsky@earth.ox.ac.uk</t>
  </si>
  <si>
    <r>
      <t>This excel-based calculator computes logC</t>
    </r>
    <r>
      <rPr>
        <vertAlign val="subscript"/>
        <sz val="12"/>
        <color rgb="FF000000"/>
        <rFont val="Arial"/>
        <family val="2"/>
      </rPr>
      <t>S2-</t>
    </r>
    <r>
      <rPr>
        <sz val="12"/>
        <color rgb="FF000000"/>
        <rFont val="Arial"/>
        <family val="2"/>
      </rPr>
      <t>, logC</t>
    </r>
    <r>
      <rPr>
        <vertAlign val="subscript"/>
        <sz val="12"/>
        <color rgb="FF000000"/>
        <rFont val="Arial"/>
        <family val="2"/>
      </rPr>
      <t>S6+</t>
    </r>
    <r>
      <rPr>
        <sz val="12"/>
        <color rgb="FF000000"/>
        <rFont val="Arial"/>
        <family val="2"/>
      </rPr>
      <t>, S</t>
    </r>
    <r>
      <rPr>
        <vertAlign val="superscript"/>
        <sz val="12"/>
        <color rgb="FF000000"/>
        <rFont val="Arial"/>
        <family val="2"/>
      </rPr>
      <t>6+</t>
    </r>
    <r>
      <rPr>
        <sz val="12"/>
        <color rgb="FF000000"/>
        <rFont val="Arial"/>
        <family val="2"/>
      </rPr>
      <t>/ΣS ± P, Fe</t>
    </r>
    <r>
      <rPr>
        <vertAlign val="superscript"/>
        <sz val="12"/>
        <color rgb="FF000000"/>
        <rFont val="Arial"/>
        <family val="2"/>
      </rPr>
      <t>3+</t>
    </r>
    <r>
      <rPr>
        <sz val="12"/>
        <color rgb="FF000000"/>
        <rFont val="Arial"/>
        <family val="2"/>
      </rPr>
      <t>/ΣFe, log</t>
    </r>
    <r>
      <rPr>
        <i/>
        <sz val="12"/>
        <color rgb="FF000000"/>
        <rFont val="Arial"/>
        <family val="2"/>
      </rPr>
      <t>f</t>
    </r>
    <r>
      <rPr>
        <sz val="12"/>
        <color rgb="FF000000"/>
        <rFont val="Arial"/>
        <family val="2"/>
      </rPr>
      <t>O</t>
    </r>
    <r>
      <rPr>
        <vertAlign val="subscript"/>
        <sz val="12"/>
        <color rgb="FF000000"/>
        <rFont val="Arial"/>
        <family val="2"/>
      </rPr>
      <t>2</t>
    </r>
    <r>
      <rPr>
        <sz val="12"/>
        <color rgb="FF000000"/>
        <rFont val="Arial"/>
        <family val="2"/>
      </rPr>
      <t xml:space="preserve"> and mineral buffers (ΔFMQ, ΔNNO, ΔIW ) </t>
    </r>
  </si>
  <si>
    <t xml:space="preserve">Workbook accompanying the manuscript: </t>
  </si>
  <si>
    <t xml:space="preserve">Please contact Lauren Gorojovsky if you have any inquiries regarding this notebook. </t>
  </si>
  <si>
    <t>ΔFMQ</t>
  </si>
  <si>
    <t>ΔNNO</t>
  </si>
  <si>
    <t>ΔIW</t>
  </si>
  <si>
    <t>Gorojovsky &amp; Wood, 1 atm</t>
  </si>
  <si>
    <t>Fe2+O</t>
  </si>
  <si>
    <t>HO0.5</t>
  </si>
  <si>
    <r>
      <t>S</t>
    </r>
    <r>
      <rPr>
        <b/>
        <vertAlign val="superscript"/>
        <sz val="10"/>
        <color rgb="FF000000"/>
        <rFont val="Calibri"/>
        <family val="2"/>
      </rPr>
      <t>6+</t>
    </r>
    <r>
      <rPr>
        <b/>
        <sz val="10"/>
        <color indexed="8"/>
        <rFont val="Calibri"/>
        <family val="2"/>
      </rPr>
      <t>/ΣS w/ logT</t>
    </r>
  </si>
  <si>
    <r>
      <t>logS</t>
    </r>
    <r>
      <rPr>
        <b/>
        <vertAlign val="superscript"/>
        <sz val="10"/>
        <color rgb="FF000000"/>
        <rFont val="Calibri"/>
        <family val="2"/>
      </rPr>
      <t>6+</t>
    </r>
    <r>
      <rPr>
        <b/>
        <sz val="10"/>
        <color indexed="8"/>
        <rFont val="Calibri"/>
        <family val="2"/>
      </rPr>
      <t>/S</t>
    </r>
    <r>
      <rPr>
        <b/>
        <vertAlign val="superscript"/>
        <sz val="10"/>
        <color rgb="FF000000"/>
        <rFont val="Calibri"/>
        <family val="2"/>
      </rPr>
      <t>2- (T&amp;W26)</t>
    </r>
  </si>
  <si>
    <r>
      <t>S</t>
    </r>
    <r>
      <rPr>
        <b/>
        <vertAlign val="superscript"/>
        <sz val="10"/>
        <color rgb="FF000000"/>
        <rFont val="Calibri"/>
        <family val="2"/>
      </rPr>
      <t>6+</t>
    </r>
    <r>
      <rPr>
        <b/>
        <sz val="10"/>
        <color indexed="8"/>
        <rFont val="Calibri"/>
        <family val="2"/>
      </rPr>
      <t xml:space="preserve">/ΣS </t>
    </r>
    <r>
      <rPr>
        <b/>
        <vertAlign val="superscript"/>
        <sz val="10"/>
        <color rgb="FF000000"/>
        <rFont val="Calibri"/>
        <family val="2"/>
      </rPr>
      <t>(T&amp;W26)</t>
    </r>
  </si>
  <si>
    <r>
      <t>logS</t>
    </r>
    <r>
      <rPr>
        <b/>
        <vertAlign val="superscript"/>
        <sz val="10"/>
        <color rgb="FF000000"/>
        <rFont val="Calibri"/>
        <family val="2"/>
      </rPr>
      <t>6+</t>
    </r>
    <r>
      <rPr>
        <b/>
        <sz val="10"/>
        <color indexed="8"/>
        <rFont val="Calibri"/>
        <family val="2"/>
      </rPr>
      <t>/S</t>
    </r>
    <r>
      <rPr>
        <b/>
        <vertAlign val="superscript"/>
        <sz val="10"/>
        <color rgb="FF000000"/>
        <rFont val="Calibri"/>
        <family val="2"/>
      </rPr>
      <t>2- (B&amp;W23)</t>
    </r>
  </si>
  <si>
    <r>
      <t>S</t>
    </r>
    <r>
      <rPr>
        <b/>
        <vertAlign val="superscript"/>
        <sz val="10"/>
        <color rgb="FF000000"/>
        <rFont val="Calibri"/>
        <family val="2"/>
      </rPr>
      <t>6+</t>
    </r>
    <r>
      <rPr>
        <b/>
        <sz val="10"/>
        <color indexed="8"/>
        <rFont val="Calibri"/>
        <family val="2"/>
      </rPr>
      <t xml:space="preserve">/ΣS </t>
    </r>
    <r>
      <rPr>
        <b/>
        <vertAlign val="superscript"/>
        <sz val="10"/>
        <color rgb="FF000000"/>
        <rFont val="Calibri"/>
        <family val="2"/>
      </rPr>
      <t>(B&amp;W23)</t>
    </r>
  </si>
  <si>
    <r>
      <t>logS</t>
    </r>
    <r>
      <rPr>
        <b/>
        <vertAlign val="superscript"/>
        <sz val="10"/>
        <color rgb="FF000000"/>
        <rFont val="Calibri"/>
        <family val="2"/>
      </rPr>
      <t>6+</t>
    </r>
    <r>
      <rPr>
        <b/>
        <sz val="10"/>
        <color indexed="8"/>
        <rFont val="Calibri"/>
        <family val="2"/>
      </rPr>
      <t>/S</t>
    </r>
    <r>
      <rPr>
        <b/>
        <vertAlign val="superscript"/>
        <sz val="10"/>
        <color rgb="FF000000"/>
        <rFont val="Calibri"/>
        <family val="2"/>
      </rPr>
      <t>2- (M&amp;C25)</t>
    </r>
  </si>
  <si>
    <r>
      <t>S</t>
    </r>
    <r>
      <rPr>
        <b/>
        <vertAlign val="superscript"/>
        <sz val="10"/>
        <color rgb="FF000000"/>
        <rFont val="Calibri"/>
        <family val="2"/>
      </rPr>
      <t>6+</t>
    </r>
    <r>
      <rPr>
        <b/>
        <sz val="10"/>
        <color indexed="8"/>
        <rFont val="Calibri"/>
        <family val="2"/>
      </rPr>
      <t xml:space="preserve">/ΣS </t>
    </r>
    <r>
      <rPr>
        <b/>
        <vertAlign val="superscript"/>
        <sz val="10"/>
        <color rgb="FF000000"/>
        <rFont val="Calibri"/>
        <family val="2"/>
      </rPr>
      <t>(M&amp;C25)</t>
    </r>
  </si>
  <si>
    <t>Gorojovsky &amp; Wood + Pressure terms</t>
  </si>
  <si>
    <r>
      <t>S</t>
    </r>
    <r>
      <rPr>
        <b/>
        <vertAlign val="superscript"/>
        <sz val="10"/>
        <color rgb="FF000000"/>
        <rFont val="Calibri"/>
        <family val="2"/>
      </rPr>
      <t>6+</t>
    </r>
    <r>
      <rPr>
        <b/>
        <sz val="10"/>
        <color indexed="8"/>
        <rFont val="Calibri"/>
        <family val="2"/>
      </rPr>
      <t xml:space="preserve">/ΣS + P </t>
    </r>
    <r>
      <rPr>
        <b/>
        <vertAlign val="superscript"/>
        <sz val="10"/>
        <color rgb="FF000000"/>
        <rFont val="Calibri"/>
        <family val="2"/>
      </rPr>
      <t>(T&amp;W26)</t>
    </r>
  </si>
  <si>
    <r>
      <t>S</t>
    </r>
    <r>
      <rPr>
        <b/>
        <vertAlign val="superscript"/>
        <sz val="10"/>
        <color rgb="FF000000"/>
        <rFont val="Calibri"/>
        <family val="2"/>
      </rPr>
      <t>6+</t>
    </r>
    <r>
      <rPr>
        <b/>
        <sz val="10"/>
        <color indexed="8"/>
        <rFont val="Calibri"/>
        <family val="2"/>
      </rPr>
      <t>/ΣS - 1 atm</t>
    </r>
  </si>
  <si>
    <r>
      <t>SiO</t>
    </r>
    <r>
      <rPr>
        <b/>
        <vertAlign val="subscript"/>
        <sz val="10"/>
        <color rgb="FF000000"/>
        <rFont val="Calibri"/>
        <family val="2"/>
      </rPr>
      <t>2</t>
    </r>
  </si>
  <si>
    <r>
      <t>TiO</t>
    </r>
    <r>
      <rPr>
        <b/>
        <vertAlign val="subscript"/>
        <sz val="10"/>
        <color rgb="FF000000"/>
        <rFont val="Calibri"/>
        <family val="2"/>
      </rPr>
      <t>2</t>
    </r>
  </si>
  <si>
    <r>
      <t>Al</t>
    </r>
    <r>
      <rPr>
        <b/>
        <vertAlign val="subscript"/>
        <sz val="10"/>
        <color rgb="FF000000"/>
        <rFont val="Calibri"/>
        <family val="2"/>
      </rPr>
      <t>2</t>
    </r>
    <r>
      <rPr>
        <b/>
        <sz val="10"/>
        <color indexed="8"/>
        <rFont val="Calibri"/>
        <family val="2"/>
      </rPr>
      <t>O</t>
    </r>
    <r>
      <rPr>
        <b/>
        <vertAlign val="subscript"/>
        <sz val="10"/>
        <color rgb="FF000000"/>
        <rFont val="Calibri"/>
        <family val="2"/>
      </rPr>
      <t>3</t>
    </r>
  </si>
  <si>
    <r>
      <t>Cr</t>
    </r>
    <r>
      <rPr>
        <b/>
        <vertAlign val="subscript"/>
        <sz val="10"/>
        <color rgb="FF000000"/>
        <rFont val="Calibri"/>
        <family val="2"/>
      </rPr>
      <t>2</t>
    </r>
    <r>
      <rPr>
        <b/>
        <sz val="10"/>
        <color indexed="8"/>
        <rFont val="Calibri"/>
        <family val="2"/>
      </rPr>
      <t>O</t>
    </r>
    <r>
      <rPr>
        <b/>
        <vertAlign val="subscript"/>
        <sz val="10"/>
        <color rgb="FF000000"/>
        <rFont val="Calibri"/>
        <family val="2"/>
      </rPr>
      <t>3</t>
    </r>
  </si>
  <si>
    <r>
      <t>K</t>
    </r>
    <r>
      <rPr>
        <b/>
        <vertAlign val="subscript"/>
        <sz val="10"/>
        <color rgb="FF000000"/>
        <rFont val="Calibri"/>
        <family val="2"/>
      </rPr>
      <t>2</t>
    </r>
    <r>
      <rPr>
        <b/>
        <sz val="10"/>
        <color indexed="8"/>
        <rFont val="Calibri"/>
        <family val="2"/>
      </rPr>
      <t>O</t>
    </r>
  </si>
  <si>
    <r>
      <t>P</t>
    </r>
    <r>
      <rPr>
        <b/>
        <vertAlign val="subscript"/>
        <sz val="10"/>
        <color rgb="FF000000"/>
        <rFont val="Calibri"/>
        <family val="2"/>
      </rPr>
      <t>2</t>
    </r>
    <r>
      <rPr>
        <b/>
        <sz val="10"/>
        <color indexed="8"/>
        <rFont val="Calibri"/>
        <family val="2"/>
      </rPr>
      <t>O</t>
    </r>
    <r>
      <rPr>
        <b/>
        <vertAlign val="subscript"/>
        <sz val="10"/>
        <color rgb="FF000000"/>
        <rFont val="Calibri"/>
        <family val="2"/>
      </rPr>
      <t>5</t>
    </r>
  </si>
  <si>
    <r>
      <t>H</t>
    </r>
    <r>
      <rPr>
        <b/>
        <vertAlign val="subscript"/>
        <sz val="10"/>
        <color rgb="FF000000"/>
        <rFont val="Calibri"/>
        <family val="2"/>
      </rPr>
      <t>2</t>
    </r>
    <r>
      <rPr>
        <b/>
        <sz val="10"/>
        <color indexed="8"/>
        <rFont val="Calibri"/>
        <family val="2"/>
      </rPr>
      <t>O</t>
    </r>
  </si>
  <si>
    <r>
      <t>Na</t>
    </r>
    <r>
      <rPr>
        <b/>
        <vertAlign val="subscript"/>
        <sz val="10"/>
        <color rgb="FF000000"/>
        <rFont val="Calibri"/>
        <family val="2"/>
      </rPr>
      <t>2</t>
    </r>
    <r>
      <rPr>
        <b/>
        <sz val="10"/>
        <color indexed="8"/>
        <rFont val="Calibri"/>
        <family val="2"/>
      </rPr>
      <t>O</t>
    </r>
  </si>
  <si>
    <r>
      <t>Fe</t>
    </r>
    <r>
      <rPr>
        <b/>
        <vertAlign val="subscript"/>
        <sz val="10"/>
        <color rgb="FF000000"/>
        <rFont val="Calibri"/>
        <family val="2"/>
      </rPr>
      <t>2</t>
    </r>
    <r>
      <rPr>
        <b/>
        <sz val="10"/>
        <color indexed="8"/>
        <rFont val="Calibri"/>
        <family val="2"/>
      </rPr>
      <t>O</t>
    </r>
    <r>
      <rPr>
        <b/>
        <vertAlign val="subscript"/>
        <sz val="10"/>
        <color rgb="FF000000"/>
        <rFont val="Calibri"/>
        <family val="2"/>
      </rPr>
      <t>3</t>
    </r>
  </si>
  <si>
    <t>lnfO2</t>
  </si>
  <si>
    <t>Dacite -  1050°C, 1 atm</t>
  </si>
  <si>
    <t>Gorojovsky and Wood (2026) Solubility and speciation of sulfur in silicate melts under crustal conditions</t>
  </si>
  <si>
    <t>Thomas and Wood (2026)</t>
  </si>
  <si>
    <t>Boulliung and Wood (2022, 2023)</t>
  </si>
  <si>
    <t>O'Neill &amp; Mavrogenes (2022), O'Neill (2021)</t>
  </si>
  <si>
    <t>0.5-2.5 GPa</t>
  </si>
  <si>
    <t>Muth and Cottrell (2025)</t>
  </si>
  <si>
    <t>1400 °C</t>
  </si>
  <si>
    <t>1380 °C</t>
  </si>
  <si>
    <t>1.5-3 GPa</t>
  </si>
  <si>
    <r>
      <t>logfO</t>
    </r>
    <r>
      <rPr>
        <vertAlign val="subscript"/>
        <sz val="11"/>
        <color rgb="FF000000"/>
        <rFont val="Arial"/>
        <family val="2"/>
      </rPr>
      <t>2</t>
    </r>
    <r>
      <rPr>
        <sz val="11"/>
        <color rgb="FF000000"/>
        <rFont val="Arial"/>
        <family val="2"/>
      </rPr>
      <t xml:space="preserve"> + P for S</t>
    </r>
    <r>
      <rPr>
        <vertAlign val="superscript"/>
        <sz val="11"/>
        <color rgb="FF000000"/>
        <rFont val="Arial"/>
        <family val="2"/>
      </rPr>
      <t>6+</t>
    </r>
    <r>
      <rPr>
        <sz val="11"/>
        <color rgb="FF000000"/>
        <rFont val="Arial"/>
        <family val="2"/>
      </rPr>
      <t>/ΣS</t>
    </r>
  </si>
  <si>
    <t>Fe3+/ΣFe</t>
  </si>
  <si>
    <t>S6+/ΣS</t>
  </si>
  <si>
    <t>Diff</t>
  </si>
  <si>
    <t>Hyd</t>
  </si>
  <si>
    <t>hyd</t>
  </si>
  <si>
    <t>Diff 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</si>
</sst>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
    <numFmt numFmtId="166" formatCode="0.0"/>
    <numFmt numFmtId="167" formatCode="0.000000"/>
  </numFmts>
  <fonts count="35" x14ac:knownFonts="1">
    <font>
      <sz val="12"/>
      <color theme="1"/>
      <name val="Aptos Narrow"/>
      <family val="2"/>
      <scheme val="minor"/>
    </font>
    <font>
      <sz val="11"/>
      <color theme="1"/>
      <name val="Calibri"/>
      <family val="2"/>
    </font>
    <font>
      <b/>
      <sz val="12"/>
      <color theme="1"/>
      <name val="Calibri"/>
      <family val="2"/>
    </font>
    <font>
      <b/>
      <sz val="16"/>
      <color theme="1"/>
      <name val="Calibri"/>
      <family val="2"/>
    </font>
    <font>
      <sz val="16"/>
      <color theme="1"/>
      <name val="Aptos Narrow"/>
      <family val="2"/>
      <scheme val="minor"/>
    </font>
    <font>
      <b/>
      <sz val="18"/>
      <color theme="1"/>
      <name val="Calibri"/>
      <family val="2"/>
    </font>
    <font>
      <b/>
      <i/>
      <sz val="18"/>
      <color theme="1"/>
      <name val="Calibri"/>
      <family val="2"/>
    </font>
    <font>
      <b/>
      <vertAlign val="subscript"/>
      <sz val="18"/>
      <color theme="1"/>
      <name val="Calibri"/>
      <family val="2"/>
    </font>
    <font>
      <b/>
      <sz val="18"/>
      <color theme="1"/>
      <name val="Aptos Narrow"/>
      <family val="2"/>
      <scheme val="minor"/>
    </font>
    <font>
      <b/>
      <sz val="10"/>
      <color indexed="8"/>
      <name val="Calibri"/>
      <family val="2"/>
    </font>
    <font>
      <b/>
      <i/>
      <sz val="12"/>
      <color theme="1"/>
      <name val="Calibri"/>
      <family val="2"/>
    </font>
    <font>
      <b/>
      <i/>
      <sz val="11"/>
      <color theme="1"/>
      <name val="Calibri"/>
      <family val="2"/>
    </font>
    <font>
      <b/>
      <i/>
      <vertAlign val="subscript"/>
      <sz val="12"/>
      <color theme="1"/>
      <name val="Calibri"/>
      <family val="2"/>
    </font>
    <font>
      <b/>
      <sz val="11"/>
      <color theme="1"/>
      <name val="Calibri"/>
      <family val="2"/>
    </font>
    <font>
      <b/>
      <i/>
      <sz val="11"/>
      <color theme="1"/>
      <name val="Aptos Narrow"/>
      <family val="2"/>
      <scheme val="minor"/>
    </font>
    <font>
      <b/>
      <vertAlign val="subscript"/>
      <sz val="10"/>
      <color rgb="FF000000"/>
      <name val="Calibri"/>
      <family val="2"/>
    </font>
    <font>
      <b/>
      <vertAlign val="superscript"/>
      <sz val="11"/>
      <color theme="1"/>
      <name val="Calibri"/>
      <family val="2"/>
    </font>
    <font>
      <b/>
      <vertAlign val="superscript"/>
      <sz val="10"/>
      <color rgb="FF000000"/>
      <name val="Calibri"/>
      <family val="2"/>
    </font>
    <font>
      <b/>
      <vertAlign val="subscript"/>
      <sz val="11"/>
      <color theme="1"/>
      <name val="Calibri"/>
      <family val="2"/>
    </font>
    <font>
      <sz val="11"/>
      <name val="Calibri"/>
      <family val="2"/>
    </font>
    <font>
      <sz val="11"/>
      <color theme="1"/>
      <name val="Aptos Narrow"/>
      <family val="2"/>
      <scheme val="minor"/>
    </font>
    <font>
      <sz val="11"/>
      <color theme="1"/>
      <name val="Arial"/>
      <family val="2"/>
    </font>
    <font>
      <sz val="11"/>
      <color rgb="FF000000"/>
      <name val="Arial"/>
      <family val="2"/>
    </font>
    <font>
      <vertAlign val="subscript"/>
      <sz val="11"/>
      <color rgb="FF000000"/>
      <name val="Arial"/>
      <family val="2"/>
    </font>
    <font>
      <vertAlign val="superscript"/>
      <sz val="11"/>
      <color rgb="FF000000"/>
      <name val="Arial"/>
      <family val="2"/>
    </font>
    <font>
      <b/>
      <sz val="11"/>
      <color theme="1"/>
      <name val="Arial"/>
      <family val="2"/>
    </font>
    <font>
      <b/>
      <sz val="14"/>
      <color rgb="FF000000"/>
      <name val="Arial"/>
      <family val="2"/>
    </font>
    <font>
      <b/>
      <vertAlign val="subscript"/>
      <sz val="14"/>
      <color rgb="FF000000"/>
      <name val="Arial"/>
      <family val="2"/>
    </font>
    <font>
      <b/>
      <i/>
      <sz val="14"/>
      <color rgb="FF000000"/>
      <name val="Arial"/>
      <family val="2"/>
    </font>
    <font>
      <u/>
      <sz val="12"/>
      <color theme="10"/>
      <name val="Aptos Narrow"/>
      <family val="2"/>
      <scheme val="minor"/>
    </font>
    <font>
      <sz val="12"/>
      <color theme="1"/>
      <name val="Arial"/>
      <family val="2"/>
    </font>
    <font>
      <sz val="12"/>
      <color rgb="FF000000"/>
      <name val="Arial"/>
      <family val="2"/>
    </font>
    <font>
      <vertAlign val="subscript"/>
      <sz val="12"/>
      <color rgb="FF000000"/>
      <name val="Arial"/>
      <family val="2"/>
    </font>
    <font>
      <vertAlign val="superscript"/>
      <sz val="12"/>
      <color rgb="FF000000"/>
      <name val="Arial"/>
      <family val="2"/>
    </font>
    <font>
      <i/>
      <sz val="12"/>
      <color rgb="FF000000"/>
      <name val="Arial"/>
      <family val="2"/>
    </font>
  </fonts>
  <fills count="14">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D6EDBD"/>
        <bgColor indexed="64"/>
      </patternFill>
    </fill>
    <fill>
      <patternFill patternType="solid">
        <fgColor rgb="FFFFD1FF"/>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FFFF00"/>
        <bgColor indexed="64"/>
      </patternFill>
    </fill>
  </fills>
  <borders count="36">
    <border>
      <left/>
      <right/>
      <top/>
      <bottom/>
      <diagonal/>
    </border>
    <border>
      <left style="thick">
        <color theme="7"/>
      </left>
      <right/>
      <top style="thick">
        <color theme="7"/>
      </top>
      <bottom/>
      <diagonal/>
    </border>
    <border>
      <left/>
      <right style="thick">
        <color theme="9"/>
      </right>
      <top style="thick">
        <color theme="7"/>
      </top>
      <bottom/>
      <diagonal/>
    </border>
    <border>
      <left style="thick">
        <color theme="9"/>
      </left>
      <right/>
      <top style="thick">
        <color theme="7"/>
      </top>
      <bottom/>
      <diagonal/>
    </border>
    <border>
      <left/>
      <right/>
      <top style="thick">
        <color theme="7"/>
      </top>
      <bottom/>
      <diagonal/>
    </border>
    <border>
      <left/>
      <right style="thick">
        <color theme="7"/>
      </right>
      <top style="thick">
        <color theme="7"/>
      </top>
      <bottom/>
      <diagonal/>
    </border>
    <border>
      <left style="thick">
        <color theme="7"/>
      </left>
      <right/>
      <top/>
      <bottom style="thick">
        <color theme="7"/>
      </bottom>
      <diagonal/>
    </border>
    <border>
      <left/>
      <right/>
      <top/>
      <bottom style="thick">
        <color theme="7"/>
      </bottom>
      <diagonal/>
    </border>
    <border>
      <left/>
      <right style="thick">
        <color theme="7"/>
      </right>
      <top/>
      <bottom style="thick">
        <color theme="7"/>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s>
  <cellStyleXfs count="3">
    <xf numFmtId="0" fontId="0" fillId="0" borderId="0"/>
    <xf numFmtId="0" fontId="20" fillId="0" borderId="0"/>
    <xf numFmtId="0" fontId="29" fillId="0" borderId="0" applyNumberFormat="0" applyFill="0" applyBorder="0" applyAlignment="0" applyProtection="0"/>
  </cellStyleXfs>
  <cellXfs count="193">
    <xf numFmtId="0" fontId="0" fillId="0" borderId="0" xfId="0"/>
    <xf numFmtId="0" fontId="0" fillId="2" borderId="0" xfId="0" applyFill="1"/>
    <xf numFmtId="0" fontId="20" fillId="0" borderId="0" xfId="1"/>
    <xf numFmtId="0" fontId="20" fillId="2" borderId="0" xfId="1" applyFill="1"/>
    <xf numFmtId="2" fontId="1" fillId="2" borderId="25" xfId="1" applyNumberFormat="1" applyFont="1" applyFill="1" applyBorder="1" applyAlignment="1">
      <alignment horizontal="center" vertical="center"/>
    </xf>
    <xf numFmtId="2" fontId="1" fillId="2" borderId="30" xfId="1" applyNumberFormat="1" applyFont="1" applyFill="1" applyBorder="1" applyAlignment="1">
      <alignment horizontal="center" vertical="center"/>
    </xf>
    <xf numFmtId="2" fontId="1" fillId="2" borderId="12" xfId="1" applyNumberFormat="1" applyFont="1" applyFill="1" applyBorder="1" applyAlignment="1">
      <alignment horizontal="center" vertical="center"/>
    </xf>
    <xf numFmtId="2" fontId="1" fillId="2" borderId="30" xfId="1" applyNumberFormat="1" applyFont="1" applyFill="1" applyBorder="1" applyAlignment="1">
      <alignment horizontal="center"/>
    </xf>
    <xf numFmtId="2" fontId="1" fillId="2" borderId="0" xfId="1" applyNumberFormat="1" applyFont="1" applyFill="1" applyAlignment="1">
      <alignment horizontal="center"/>
    </xf>
    <xf numFmtId="2" fontId="1" fillId="2" borderId="12" xfId="1" applyNumberFormat="1" applyFont="1" applyFill="1" applyBorder="1" applyAlignment="1">
      <alignment horizontal="center"/>
    </xf>
    <xf numFmtId="2" fontId="1" fillId="2" borderId="0" xfId="1" applyNumberFormat="1" applyFont="1" applyFill="1" applyAlignment="1">
      <alignment horizontal="center" vertical="center"/>
    </xf>
    <xf numFmtId="0" fontId="1" fillId="2" borderId="12" xfId="1" applyFont="1" applyFill="1" applyBorder="1" applyAlignment="1">
      <alignment horizontal="center" vertical="center"/>
    </xf>
    <xf numFmtId="2" fontId="1" fillId="0" borderId="30" xfId="1" applyNumberFormat="1" applyFont="1" applyBorder="1" applyAlignment="1">
      <alignment horizontal="center"/>
    </xf>
    <xf numFmtId="2" fontId="1" fillId="0" borderId="0" xfId="1" applyNumberFormat="1" applyFont="1" applyAlignment="1">
      <alignment horizontal="center"/>
    </xf>
    <xf numFmtId="1" fontId="1" fillId="0" borderId="30" xfId="1" applyNumberFormat="1" applyFont="1" applyBorder="1" applyAlignment="1">
      <alignment horizontal="center"/>
    </xf>
    <xf numFmtId="166" fontId="1" fillId="2" borderId="30" xfId="1" applyNumberFormat="1" applyFont="1" applyFill="1" applyBorder="1" applyAlignment="1">
      <alignment horizontal="center"/>
    </xf>
    <xf numFmtId="166" fontId="1" fillId="2" borderId="0" xfId="1" applyNumberFormat="1" applyFont="1" applyFill="1" applyAlignment="1">
      <alignment horizontal="center"/>
    </xf>
    <xf numFmtId="166" fontId="1" fillId="2" borderId="0" xfId="1" applyNumberFormat="1" applyFont="1" applyFill="1" applyAlignment="1">
      <alignment horizontal="center" vertical="center"/>
    </xf>
    <xf numFmtId="165" fontId="1" fillId="2" borderId="0" xfId="1" applyNumberFormat="1" applyFont="1" applyFill="1" applyAlignment="1">
      <alignment horizontal="center"/>
    </xf>
    <xf numFmtId="1" fontId="1" fillId="2" borderId="0" xfId="1" applyNumberFormat="1" applyFont="1" applyFill="1" applyAlignment="1">
      <alignment horizontal="center"/>
    </xf>
    <xf numFmtId="164" fontId="1" fillId="2" borderId="12" xfId="1" applyNumberFormat="1" applyFont="1" applyFill="1" applyBorder="1" applyAlignment="1">
      <alignment horizontal="center"/>
    </xf>
    <xf numFmtId="0" fontId="1" fillId="2" borderId="0" xfId="1" applyFont="1" applyFill="1" applyAlignment="1">
      <alignment horizontal="center" vertical="center"/>
    </xf>
    <xf numFmtId="164" fontId="1" fillId="2" borderId="0" xfId="1" applyNumberFormat="1" applyFont="1" applyFill="1" applyAlignment="1">
      <alignment horizontal="center"/>
    </xf>
    <xf numFmtId="2" fontId="1" fillId="0" borderId="12" xfId="1" applyNumberFormat="1" applyFont="1" applyBorder="1" applyAlignment="1">
      <alignment horizontal="center"/>
    </xf>
    <xf numFmtId="164" fontId="1" fillId="0" borderId="0" xfId="1" applyNumberFormat="1" applyFont="1" applyAlignment="1">
      <alignment horizontal="center"/>
    </xf>
    <xf numFmtId="164" fontId="1" fillId="0" borderId="30" xfId="1" applyNumberFormat="1" applyFont="1" applyBorder="1" applyAlignment="1">
      <alignment horizontal="center"/>
    </xf>
    <xf numFmtId="0" fontId="1" fillId="0" borderId="0" xfId="1" applyFont="1" applyAlignment="1">
      <alignment horizontal="center"/>
    </xf>
    <xf numFmtId="164" fontId="1" fillId="0" borderId="25" xfId="1" applyNumberFormat="1" applyFont="1" applyBorder="1" applyAlignment="1">
      <alignment horizontal="center"/>
    </xf>
    <xf numFmtId="164" fontId="1" fillId="0" borderId="12" xfId="1" applyNumberFormat="1" applyFont="1" applyBorder="1" applyAlignment="1">
      <alignment horizontal="center"/>
    </xf>
    <xf numFmtId="1" fontId="1" fillId="0" borderId="0" xfId="1" applyNumberFormat="1" applyFont="1" applyAlignment="1">
      <alignment horizontal="center"/>
    </xf>
    <xf numFmtId="1" fontId="1" fillId="0" borderId="12" xfId="1" applyNumberFormat="1" applyFont="1" applyBorder="1" applyAlignment="1">
      <alignment horizontal="center"/>
    </xf>
    <xf numFmtId="164" fontId="19" fillId="0" borderId="0" xfId="1" applyNumberFormat="1" applyFont="1" applyAlignment="1">
      <alignment horizontal="center"/>
    </xf>
    <xf numFmtId="0" fontId="1" fillId="0" borderId="0" xfId="1" applyFont="1"/>
    <xf numFmtId="0" fontId="1" fillId="0" borderId="0" xfId="1" applyFont="1" applyAlignment="1">
      <alignment horizontal="center" vertical="center"/>
    </xf>
    <xf numFmtId="0" fontId="1" fillId="2" borderId="0" xfId="1" applyFont="1" applyFill="1"/>
    <xf numFmtId="2" fontId="1" fillId="2" borderId="34" xfId="1" applyNumberFormat="1" applyFont="1" applyFill="1" applyBorder="1" applyAlignment="1">
      <alignment horizontal="center" vertical="center"/>
    </xf>
    <xf numFmtId="2" fontId="1" fillId="2" borderId="33" xfId="1" applyNumberFormat="1" applyFont="1" applyFill="1" applyBorder="1" applyAlignment="1">
      <alignment horizontal="center" vertical="center"/>
    </xf>
    <xf numFmtId="2" fontId="1" fillId="2" borderId="31" xfId="1" applyNumberFormat="1" applyFont="1" applyFill="1" applyBorder="1" applyAlignment="1">
      <alignment horizontal="center" vertical="center"/>
    </xf>
    <xf numFmtId="2" fontId="1" fillId="2" borderId="33" xfId="1" applyNumberFormat="1" applyFont="1" applyFill="1" applyBorder="1" applyAlignment="1">
      <alignment horizontal="center"/>
    </xf>
    <xf numFmtId="2" fontId="1" fillId="2" borderId="32" xfId="1" applyNumberFormat="1" applyFont="1" applyFill="1" applyBorder="1" applyAlignment="1">
      <alignment horizontal="center"/>
    </xf>
    <xf numFmtId="2" fontId="1" fillId="2" borderId="31" xfId="1" applyNumberFormat="1" applyFont="1" applyFill="1" applyBorder="1" applyAlignment="1">
      <alignment horizontal="center"/>
    </xf>
    <xf numFmtId="2" fontId="1" fillId="2" borderId="32" xfId="1" applyNumberFormat="1" applyFont="1" applyFill="1" applyBorder="1" applyAlignment="1">
      <alignment horizontal="center" vertical="center"/>
    </xf>
    <xf numFmtId="0" fontId="1" fillId="2" borderId="31" xfId="1" applyFont="1" applyFill="1" applyBorder="1" applyAlignment="1">
      <alignment horizontal="center" vertical="center"/>
    </xf>
    <xf numFmtId="2" fontId="1" fillId="0" borderId="33" xfId="1" applyNumberFormat="1" applyFont="1" applyBorder="1" applyAlignment="1">
      <alignment horizontal="center"/>
    </xf>
    <xf numFmtId="2" fontId="1" fillId="0" borderId="32" xfId="1" applyNumberFormat="1" applyFont="1" applyBorder="1" applyAlignment="1">
      <alignment horizontal="center"/>
    </xf>
    <xf numFmtId="2" fontId="1" fillId="0" borderId="31" xfId="1" applyNumberFormat="1" applyFont="1" applyBorder="1" applyAlignment="1">
      <alignment horizontal="center"/>
    </xf>
    <xf numFmtId="164" fontId="1" fillId="0" borderId="33" xfId="1" applyNumberFormat="1" applyFont="1" applyBorder="1" applyAlignment="1">
      <alignment horizontal="center"/>
    </xf>
    <xf numFmtId="164" fontId="1" fillId="0" borderId="32" xfId="1" applyNumberFormat="1" applyFont="1" applyBorder="1" applyAlignment="1">
      <alignment horizontal="center"/>
    </xf>
    <xf numFmtId="164" fontId="1" fillId="0" borderId="34" xfId="1" applyNumberFormat="1" applyFont="1" applyBorder="1" applyAlignment="1">
      <alignment horizontal="center"/>
    </xf>
    <xf numFmtId="164" fontId="19" fillId="0" borderId="32" xfId="1" applyNumberFormat="1" applyFont="1" applyBorder="1" applyAlignment="1">
      <alignment horizontal="center"/>
    </xf>
    <xf numFmtId="164" fontId="1" fillId="0" borderId="31" xfId="1" applyNumberFormat="1" applyFont="1" applyBorder="1" applyAlignment="1">
      <alignment horizontal="center"/>
    </xf>
    <xf numFmtId="0" fontId="13" fillId="2" borderId="0" xfId="1" applyFont="1" applyFill="1"/>
    <xf numFmtId="2" fontId="9" fillId="2" borderId="0" xfId="1" applyNumberFormat="1" applyFont="1" applyFill="1" applyAlignment="1">
      <alignment horizontal="center"/>
    </xf>
    <xf numFmtId="2" fontId="9" fillId="0" borderId="11" xfId="1" applyNumberFormat="1" applyFont="1" applyBorder="1" applyAlignment="1">
      <alignment horizontal="center"/>
    </xf>
    <xf numFmtId="2" fontId="9" fillId="0" borderId="10" xfId="1" applyNumberFormat="1" applyFont="1" applyBorder="1" applyAlignment="1">
      <alignment horizontal="center"/>
    </xf>
    <xf numFmtId="2" fontId="9" fillId="0" borderId="9" xfId="1" applyNumberFormat="1" applyFont="1" applyBorder="1" applyAlignment="1">
      <alignment horizontal="center"/>
    </xf>
    <xf numFmtId="2" fontId="9" fillId="0" borderId="0" xfId="1" applyNumberFormat="1" applyFont="1" applyAlignment="1">
      <alignment horizontal="center"/>
    </xf>
    <xf numFmtId="2" fontId="9" fillId="0" borderId="26" xfId="1" applyNumberFormat="1" applyFont="1" applyBorder="1" applyAlignment="1">
      <alignment horizontal="center"/>
    </xf>
    <xf numFmtId="2" fontId="9" fillId="0" borderId="24" xfId="1" applyNumberFormat="1" applyFont="1" applyBorder="1" applyAlignment="1">
      <alignment horizontal="center"/>
    </xf>
    <xf numFmtId="2" fontId="9" fillId="0" borderId="23" xfId="1" applyNumberFormat="1" applyFont="1" applyBorder="1" applyAlignment="1">
      <alignment horizontal="center"/>
    </xf>
    <xf numFmtId="0" fontId="13" fillId="0" borderId="0" xfId="1" applyFont="1" applyAlignment="1">
      <alignment horizontal="center"/>
    </xf>
    <xf numFmtId="2" fontId="9" fillId="0" borderId="27" xfId="1" applyNumberFormat="1" applyFont="1" applyBorder="1" applyAlignment="1">
      <alignment horizontal="center"/>
    </xf>
    <xf numFmtId="0" fontId="13" fillId="0" borderId="11" xfId="1" applyFont="1" applyBorder="1" applyAlignment="1">
      <alignment horizontal="center"/>
    </xf>
    <xf numFmtId="0" fontId="13" fillId="0" borderId="10" xfId="1" applyFont="1" applyBorder="1" applyAlignment="1">
      <alignment horizontal="center"/>
    </xf>
    <xf numFmtId="2" fontId="9" fillId="0" borderId="25" xfId="1" applyNumberFormat="1" applyFont="1" applyBorder="1" applyAlignment="1">
      <alignment horizontal="center"/>
    </xf>
    <xf numFmtId="2" fontId="9" fillId="2" borderId="24" xfId="1" applyNumberFormat="1" applyFont="1" applyFill="1" applyBorder="1" applyAlignment="1">
      <alignment horizontal="center"/>
    </xf>
    <xf numFmtId="2" fontId="9" fillId="2" borderId="23" xfId="1" applyNumberFormat="1" applyFont="1" applyFill="1" applyBorder="1" applyAlignment="1">
      <alignment horizontal="center"/>
    </xf>
    <xf numFmtId="0" fontId="13" fillId="0" borderId="0" xfId="1" applyFont="1"/>
    <xf numFmtId="0" fontId="13" fillId="2" borderId="0" xfId="1" applyFont="1" applyFill="1" applyAlignment="1">
      <alignment horizontal="center" vertical="center"/>
    </xf>
    <xf numFmtId="2" fontId="9" fillId="2" borderId="0" xfId="1" applyNumberFormat="1" applyFont="1" applyFill="1" applyAlignment="1">
      <alignment horizontal="center" vertical="center"/>
    </xf>
    <xf numFmtId="0" fontId="10" fillId="2" borderId="0" xfId="1" applyFont="1" applyFill="1"/>
    <xf numFmtId="0" fontId="10" fillId="0" borderId="0" xfId="1" applyFont="1"/>
    <xf numFmtId="0" fontId="1" fillId="2" borderId="11" xfId="1" applyFont="1" applyFill="1" applyBorder="1" applyAlignment="1">
      <alignment horizontal="center" vertical="center"/>
    </xf>
    <xf numFmtId="0" fontId="1" fillId="2" borderId="10" xfId="1" applyFont="1" applyFill="1" applyBorder="1"/>
    <xf numFmtId="0" fontId="1" fillId="2" borderId="10" xfId="1" applyFont="1" applyFill="1" applyBorder="1" applyAlignment="1">
      <alignment horizontal="center" vertical="center"/>
    </xf>
    <xf numFmtId="0" fontId="3" fillId="2" borderId="9" xfId="1" applyFont="1" applyFill="1" applyBorder="1"/>
    <xf numFmtId="0" fontId="1" fillId="2" borderId="11" xfId="1" applyFont="1" applyFill="1" applyBorder="1"/>
    <xf numFmtId="0" fontId="1" fillId="3" borderId="5" xfId="1" applyFont="1" applyFill="1" applyBorder="1"/>
    <xf numFmtId="0" fontId="2" fillId="3" borderId="3" xfId="1" quotePrefix="1" applyFont="1" applyFill="1" applyBorder="1" applyAlignment="1">
      <alignment vertical="center"/>
    </xf>
    <xf numFmtId="0" fontId="2" fillId="3" borderId="4" xfId="1" applyFont="1" applyFill="1" applyBorder="1" applyAlignment="1">
      <alignment vertical="center"/>
    </xf>
    <xf numFmtId="0" fontId="2" fillId="3" borderId="4" xfId="1" applyFont="1" applyFill="1" applyBorder="1" applyAlignment="1">
      <alignment horizontal="center" vertical="center"/>
    </xf>
    <xf numFmtId="0" fontId="2" fillId="3" borderId="3" xfId="1" quotePrefix="1" applyFont="1" applyFill="1" applyBorder="1" applyAlignment="1">
      <alignment horizontal="right" vertical="center"/>
    </xf>
    <xf numFmtId="0" fontId="2" fillId="3" borderId="2" xfId="1" quotePrefix="1" applyFont="1" applyFill="1" applyBorder="1" applyAlignment="1">
      <alignment horizontal="right" vertical="center"/>
    </xf>
    <xf numFmtId="0" fontId="1" fillId="3" borderId="1" xfId="1" applyFont="1" applyFill="1" applyBorder="1"/>
    <xf numFmtId="0" fontId="21" fillId="2" borderId="0" xfId="0" applyFont="1" applyFill="1"/>
    <xf numFmtId="0" fontId="22" fillId="2" borderId="0" xfId="0" applyFont="1" applyFill="1"/>
    <xf numFmtId="0" fontId="25" fillId="2" borderId="10" xfId="0" applyFont="1" applyFill="1" applyBorder="1" applyAlignment="1">
      <alignment vertical="center"/>
    </xf>
    <xf numFmtId="0" fontId="25" fillId="2" borderId="10" xfId="0" applyFont="1" applyFill="1" applyBorder="1" applyAlignment="1">
      <alignment horizontal="center" vertical="center"/>
    </xf>
    <xf numFmtId="0" fontId="22" fillId="2" borderId="0" xfId="0" applyFont="1" applyFill="1" applyAlignment="1">
      <alignment vertical="center"/>
    </xf>
    <xf numFmtId="0" fontId="21" fillId="2" borderId="0" xfId="0" applyFont="1" applyFill="1" applyAlignment="1">
      <alignment vertical="center"/>
    </xf>
    <xf numFmtId="0" fontId="21" fillId="2" borderId="0" xfId="0" applyFont="1" applyFill="1" applyAlignment="1">
      <alignment horizontal="center" vertical="center"/>
    </xf>
    <xf numFmtId="0" fontId="22" fillId="2" borderId="24" xfId="0" applyFont="1" applyFill="1" applyBorder="1" applyAlignment="1">
      <alignment vertical="center"/>
    </xf>
    <xf numFmtId="0" fontId="21" fillId="2" borderId="24" xfId="0" applyFont="1" applyFill="1" applyBorder="1" applyAlignment="1">
      <alignment vertical="center"/>
    </xf>
    <xf numFmtId="0" fontId="21" fillId="2" borderId="24" xfId="0" applyFont="1" applyFill="1" applyBorder="1" applyAlignment="1">
      <alignment horizontal="center" vertical="center"/>
    </xf>
    <xf numFmtId="0" fontId="21" fillId="0" borderId="0" xfId="0" applyFont="1"/>
    <xf numFmtId="0" fontId="0" fillId="0" borderId="0" xfId="0" applyAlignment="1">
      <alignment vertical="center"/>
    </xf>
    <xf numFmtId="0" fontId="0" fillId="12" borderId="10" xfId="0" applyFill="1" applyBorder="1" applyAlignment="1">
      <alignment vertical="center"/>
    </xf>
    <xf numFmtId="0" fontId="26" fillId="12" borderId="10" xfId="0" applyFont="1" applyFill="1" applyBorder="1" applyAlignment="1">
      <alignment vertical="center"/>
    </xf>
    <xf numFmtId="0" fontId="21" fillId="12" borderId="10" xfId="0" applyFont="1" applyFill="1" applyBorder="1" applyAlignment="1">
      <alignment vertical="center"/>
    </xf>
    <xf numFmtId="0" fontId="0" fillId="2" borderId="0" xfId="0" applyFill="1" applyAlignment="1">
      <alignment vertical="center"/>
    </xf>
    <xf numFmtId="0" fontId="30" fillId="2" borderId="0" xfId="0" applyFont="1" applyFill="1"/>
    <xf numFmtId="0" fontId="29" fillId="2" borderId="0" xfId="2" applyFill="1"/>
    <xf numFmtId="0" fontId="31" fillId="2" borderId="0" xfId="0" applyFont="1" applyFill="1"/>
    <xf numFmtId="0" fontId="30" fillId="4" borderId="0" xfId="0" applyFont="1" applyFill="1"/>
    <xf numFmtId="0" fontId="21" fillId="4" borderId="0" xfId="0" applyFont="1" applyFill="1"/>
    <xf numFmtId="0" fontId="29" fillId="4" borderId="0" xfId="2" applyFill="1"/>
    <xf numFmtId="2" fontId="9" fillId="0" borderId="35" xfId="1" applyNumberFormat="1" applyFont="1" applyBorder="1" applyAlignment="1">
      <alignment horizontal="center"/>
    </xf>
    <xf numFmtId="2" fontId="9" fillId="0" borderId="28" xfId="1" applyNumberFormat="1" applyFont="1" applyBorder="1" applyAlignment="1">
      <alignment horizontal="center"/>
    </xf>
    <xf numFmtId="0" fontId="13" fillId="0" borderId="28" xfId="1" applyFont="1" applyBorder="1" applyAlignment="1">
      <alignment horizontal="center"/>
    </xf>
    <xf numFmtId="0" fontId="13" fillId="0" borderId="29" xfId="1" applyFont="1" applyBorder="1" applyAlignment="1">
      <alignment horizontal="center"/>
    </xf>
    <xf numFmtId="0" fontId="13" fillId="2" borderId="0" xfId="1" applyFont="1" applyFill="1" applyAlignment="1">
      <alignment horizontal="center"/>
    </xf>
    <xf numFmtId="167" fontId="20" fillId="0" borderId="0" xfId="1" applyNumberFormat="1"/>
    <xf numFmtId="2" fontId="20" fillId="0" borderId="0" xfId="1" applyNumberFormat="1" applyAlignment="1">
      <alignment horizontal="center"/>
    </xf>
    <xf numFmtId="165" fontId="20" fillId="0" borderId="0" xfId="1" applyNumberFormat="1" applyAlignment="1">
      <alignment horizontal="center"/>
    </xf>
    <xf numFmtId="2" fontId="9" fillId="2" borderId="9" xfId="1" applyNumberFormat="1" applyFont="1" applyFill="1" applyBorder="1" applyAlignment="1">
      <alignment horizontal="center"/>
    </xf>
    <xf numFmtId="2" fontId="9" fillId="2" borderId="10" xfId="1" applyNumberFormat="1" applyFont="1" applyFill="1" applyBorder="1" applyAlignment="1">
      <alignment horizontal="center"/>
    </xf>
    <xf numFmtId="0" fontId="4" fillId="2" borderId="0" xfId="1" applyFont="1" applyFill="1" applyAlignment="1">
      <alignment wrapText="1"/>
    </xf>
    <xf numFmtId="2" fontId="9" fillId="2" borderId="23" xfId="1" applyNumberFormat="1" applyFont="1" applyFill="1" applyBorder="1" applyAlignment="1">
      <alignment horizontal="center" vertical="center"/>
    </xf>
    <xf numFmtId="0" fontId="13" fillId="2" borderId="24" xfId="1" applyFont="1" applyFill="1" applyBorder="1" applyAlignment="1">
      <alignment horizontal="center" vertical="center"/>
    </xf>
    <xf numFmtId="2" fontId="9" fillId="2" borderId="24" xfId="1" applyNumberFormat="1" applyFont="1" applyFill="1" applyBorder="1" applyAlignment="1">
      <alignment horizontal="center" vertical="center"/>
    </xf>
    <xf numFmtId="2" fontId="9" fillId="0" borderId="24" xfId="1" applyNumberFormat="1" applyFont="1" applyBorder="1" applyAlignment="1">
      <alignment horizontal="center" vertical="center"/>
    </xf>
    <xf numFmtId="165" fontId="1" fillId="0" borderId="32" xfId="1" applyNumberFormat="1" applyFont="1" applyBorder="1" applyAlignment="1">
      <alignment horizontal="center"/>
    </xf>
    <xf numFmtId="167" fontId="1" fillId="0" borderId="31" xfId="1" applyNumberFormat="1" applyFont="1" applyBorder="1" applyAlignment="1">
      <alignment horizontal="center"/>
    </xf>
    <xf numFmtId="167" fontId="1" fillId="0" borderId="32" xfId="1" applyNumberFormat="1" applyFont="1" applyBorder="1" applyAlignment="1">
      <alignment horizontal="center"/>
    </xf>
    <xf numFmtId="167" fontId="1" fillId="0" borderId="30" xfId="1" applyNumberFormat="1" applyFont="1" applyBorder="1" applyAlignment="1">
      <alignment horizontal="center"/>
    </xf>
    <xf numFmtId="0" fontId="2" fillId="13" borderId="4" xfId="1" applyFont="1" applyFill="1" applyBorder="1" applyAlignment="1">
      <alignment vertical="center"/>
    </xf>
    <xf numFmtId="0" fontId="1" fillId="13" borderId="0" xfId="1" applyFont="1" applyFill="1"/>
    <xf numFmtId="2" fontId="9" fillId="13" borderId="9" xfId="1" applyNumberFormat="1" applyFont="1" applyFill="1" applyBorder="1" applyAlignment="1">
      <alignment horizontal="center"/>
    </xf>
    <xf numFmtId="164" fontId="1" fillId="13" borderId="12" xfId="1" applyNumberFormat="1" applyFont="1" applyFill="1" applyBorder="1" applyAlignment="1">
      <alignment horizontal="center"/>
    </xf>
    <xf numFmtId="0" fontId="0" fillId="13" borderId="0" xfId="0" applyFill="1"/>
    <xf numFmtId="0" fontId="20" fillId="13" borderId="0" xfId="1" applyFill="1"/>
    <xf numFmtId="165" fontId="1" fillId="0" borderId="12" xfId="1" applyNumberFormat="1" applyFont="1" applyBorder="1" applyAlignment="1">
      <alignment horizontal="center"/>
    </xf>
    <xf numFmtId="165" fontId="1" fillId="0" borderId="33" xfId="1" applyNumberFormat="1" applyFont="1" applyBorder="1" applyAlignment="1">
      <alignment horizontal="center"/>
    </xf>
    <xf numFmtId="0" fontId="10" fillId="10" borderId="13" xfId="1" applyFont="1" applyFill="1" applyBorder="1" applyAlignment="1">
      <alignment horizontal="center" vertical="center" wrapText="1"/>
    </xf>
    <xf numFmtId="0" fontId="20" fillId="10" borderId="14" xfId="1" applyFill="1" applyBorder="1" applyAlignment="1">
      <alignment horizontal="center" vertical="center" wrapText="1"/>
    </xf>
    <xf numFmtId="0" fontId="20" fillId="10" borderId="15" xfId="1" applyFill="1" applyBorder="1" applyAlignment="1">
      <alignment horizontal="center" vertical="center" wrapText="1"/>
    </xf>
    <xf numFmtId="0" fontId="20" fillId="10" borderId="17" xfId="1" applyFill="1" applyBorder="1" applyAlignment="1">
      <alignment horizontal="center" vertical="center" wrapText="1"/>
    </xf>
    <xf numFmtId="0" fontId="20" fillId="10" borderId="18" xfId="1" applyFill="1" applyBorder="1" applyAlignment="1">
      <alignment horizontal="center" vertical="center" wrapText="1"/>
    </xf>
    <xf numFmtId="0" fontId="20" fillId="10" borderId="19" xfId="1" applyFill="1" applyBorder="1" applyAlignment="1">
      <alignment horizontal="center" vertical="center" wrapText="1"/>
    </xf>
    <xf numFmtId="0" fontId="5" fillId="4" borderId="13" xfId="1" applyFont="1" applyFill="1" applyBorder="1" applyAlignment="1">
      <alignment horizontal="left" vertical="center"/>
    </xf>
    <xf numFmtId="0" fontId="8" fillId="4" borderId="14" xfId="1" applyFont="1" applyFill="1" applyBorder="1" applyAlignment="1">
      <alignment horizontal="left" vertical="center"/>
    </xf>
    <xf numFmtId="0" fontId="20" fillId="0" borderId="15" xfId="1" applyBorder="1"/>
    <xf numFmtId="0" fontId="8" fillId="4" borderId="17" xfId="1" applyFont="1" applyFill="1" applyBorder="1" applyAlignment="1">
      <alignment horizontal="left" vertical="center"/>
    </xf>
    <xf numFmtId="0" fontId="8" fillId="4" borderId="18" xfId="1" applyFont="1" applyFill="1" applyBorder="1" applyAlignment="1">
      <alignment horizontal="left" vertical="center"/>
    </xf>
    <xf numFmtId="0" fontId="20" fillId="0" borderId="19" xfId="1" applyBorder="1"/>
    <xf numFmtId="0" fontId="10" fillId="5" borderId="13" xfId="1" applyFont="1" applyFill="1" applyBorder="1" applyAlignment="1">
      <alignment horizontal="center" vertical="center" wrapText="1"/>
    </xf>
    <xf numFmtId="0" fontId="20" fillId="0" borderId="14" xfId="1" applyBorder="1" applyAlignment="1">
      <alignment horizontal="center" vertical="center" wrapText="1"/>
    </xf>
    <xf numFmtId="0" fontId="20" fillId="0" borderId="15" xfId="1" applyBorder="1" applyAlignment="1">
      <alignment wrapText="1"/>
    </xf>
    <xf numFmtId="0" fontId="20" fillId="0" borderId="20" xfId="1" applyBorder="1" applyAlignment="1">
      <alignment horizontal="center" vertical="center" wrapText="1"/>
    </xf>
    <xf numFmtId="0" fontId="20" fillId="0" borderId="0" xfId="1" applyAlignment="1">
      <alignment horizontal="center" vertical="center" wrapText="1"/>
    </xf>
    <xf numFmtId="0" fontId="20" fillId="0" borderId="21" xfId="1" applyBorder="1" applyAlignment="1">
      <alignment wrapText="1"/>
    </xf>
    <xf numFmtId="0" fontId="11" fillId="6" borderId="13" xfId="1" applyFont="1" applyFill="1" applyBorder="1" applyAlignment="1">
      <alignment horizontal="center" vertical="center" wrapText="1"/>
    </xf>
    <xf numFmtId="0" fontId="20" fillId="0" borderId="14" xfId="1" applyBorder="1" applyAlignment="1">
      <alignment wrapText="1"/>
    </xf>
    <xf numFmtId="0" fontId="20" fillId="0" borderId="17" xfId="1" applyBorder="1" applyAlignment="1">
      <alignment horizontal="center" vertical="center" wrapText="1"/>
    </xf>
    <xf numFmtId="0" fontId="20" fillId="0" borderId="18" xfId="1" applyBorder="1" applyAlignment="1">
      <alignment wrapText="1"/>
    </xf>
    <xf numFmtId="0" fontId="10" fillId="6" borderId="13" xfId="1" applyFont="1" applyFill="1" applyBorder="1" applyAlignment="1">
      <alignment horizontal="center" vertical="center" wrapText="1"/>
    </xf>
    <xf numFmtId="0" fontId="20" fillId="6" borderId="14" xfId="1" applyFill="1" applyBorder="1" applyAlignment="1">
      <alignment horizontal="center" vertical="center" wrapText="1"/>
    </xf>
    <xf numFmtId="0" fontId="20" fillId="6" borderId="15" xfId="1" applyFill="1" applyBorder="1" applyAlignment="1">
      <alignment horizontal="center" vertical="center" wrapText="1"/>
    </xf>
    <xf numFmtId="0" fontId="20" fillId="6" borderId="17" xfId="1" applyFill="1" applyBorder="1" applyAlignment="1">
      <alignment horizontal="center" vertical="center" wrapText="1"/>
    </xf>
    <xf numFmtId="0" fontId="20" fillId="6" borderId="18" xfId="1" applyFill="1" applyBorder="1" applyAlignment="1">
      <alignment horizontal="center" vertical="center" wrapText="1"/>
    </xf>
    <xf numFmtId="0" fontId="20" fillId="6" borderId="19" xfId="1" applyFill="1" applyBorder="1" applyAlignment="1">
      <alignment horizontal="center" vertical="center" wrapText="1"/>
    </xf>
    <xf numFmtId="0" fontId="11" fillId="7" borderId="13" xfId="1" applyFont="1" applyFill="1" applyBorder="1" applyAlignment="1">
      <alignment horizontal="center" vertical="center" wrapText="1"/>
    </xf>
    <xf numFmtId="0" fontId="14" fillId="7" borderId="17" xfId="1" applyFont="1" applyFill="1" applyBorder="1" applyAlignment="1">
      <alignment horizontal="center" vertical="center" wrapText="1"/>
    </xf>
    <xf numFmtId="0" fontId="20" fillId="0" borderId="19" xfId="1" applyBorder="1" applyAlignment="1">
      <alignment wrapText="1"/>
    </xf>
    <xf numFmtId="0" fontId="11" fillId="8" borderId="16" xfId="1" applyFont="1" applyFill="1" applyBorder="1" applyAlignment="1">
      <alignment horizontal="center" vertical="center" wrapText="1"/>
    </xf>
    <xf numFmtId="0" fontId="14" fillId="8" borderId="22" xfId="1" applyFont="1" applyFill="1" applyBorder="1" applyAlignment="1">
      <alignment horizontal="center" vertical="center" wrapText="1"/>
    </xf>
    <xf numFmtId="0" fontId="11" fillId="3" borderId="13" xfId="1" applyFont="1" applyFill="1" applyBorder="1" applyAlignment="1">
      <alignment horizontal="center" vertical="center" wrapText="1"/>
    </xf>
    <xf numFmtId="0" fontId="14" fillId="3" borderId="17" xfId="1" applyFont="1" applyFill="1" applyBorder="1" applyAlignment="1">
      <alignment horizontal="center" vertical="center" wrapText="1"/>
    </xf>
    <xf numFmtId="0" fontId="11" fillId="6" borderId="16" xfId="1" applyFont="1" applyFill="1" applyBorder="1" applyAlignment="1">
      <alignment horizontal="center" vertical="center" wrapText="1"/>
    </xf>
    <xf numFmtId="0" fontId="20" fillId="0" borderId="22" xfId="1" applyBorder="1" applyAlignment="1">
      <alignment horizontal="center" vertical="center" wrapText="1"/>
    </xf>
    <xf numFmtId="0" fontId="3" fillId="3" borderId="6" xfId="1" applyFont="1" applyFill="1" applyBorder="1" applyAlignment="1">
      <alignment horizontal="center" vertical="center" wrapText="1"/>
    </xf>
    <xf numFmtId="0" fontId="0" fillId="0" borderId="7" xfId="0" applyBorder="1" applyAlignment="1">
      <alignment wrapText="1"/>
    </xf>
    <xf numFmtId="0" fontId="0" fillId="0" borderId="8" xfId="0" applyBorder="1" applyAlignment="1">
      <alignment wrapText="1"/>
    </xf>
    <xf numFmtId="0" fontId="11" fillId="9" borderId="13" xfId="1" applyFont="1" applyFill="1" applyBorder="1" applyAlignment="1">
      <alignment horizontal="center" vertical="center" wrapText="1"/>
    </xf>
    <xf numFmtId="0" fontId="20" fillId="9" borderId="17" xfId="1" applyFill="1" applyBorder="1" applyAlignment="1">
      <alignment horizontal="center" vertical="center" wrapText="1"/>
    </xf>
    <xf numFmtId="0" fontId="20" fillId="10" borderId="20" xfId="1" applyFill="1" applyBorder="1" applyAlignment="1">
      <alignment horizontal="center" vertical="center" wrapText="1"/>
    </xf>
    <xf numFmtId="0" fontId="20" fillId="10" borderId="0" xfId="1" applyFill="1" applyAlignment="1">
      <alignment horizontal="center" vertical="center" wrapText="1"/>
    </xf>
    <xf numFmtId="0" fontId="20" fillId="10" borderId="21" xfId="1" applyFill="1" applyBorder="1" applyAlignment="1">
      <alignment horizontal="center" vertical="center" wrapText="1"/>
    </xf>
    <xf numFmtId="0" fontId="20" fillId="5" borderId="14" xfId="1" applyFill="1" applyBorder="1" applyAlignment="1">
      <alignment horizontal="center" vertical="center" wrapText="1"/>
    </xf>
    <xf numFmtId="0" fontId="20" fillId="0" borderId="15" xfId="1" applyBorder="1" applyAlignment="1">
      <alignment horizontal="center" vertical="center" wrapText="1"/>
    </xf>
    <xf numFmtId="0" fontId="20" fillId="5" borderId="17" xfId="1" applyFill="1" applyBorder="1" applyAlignment="1">
      <alignment horizontal="center" vertical="center" wrapText="1"/>
    </xf>
    <xf numFmtId="0" fontId="20" fillId="5" borderId="18" xfId="1" applyFill="1" applyBorder="1" applyAlignment="1">
      <alignment horizontal="center" vertical="center" wrapText="1"/>
    </xf>
    <xf numFmtId="0" fontId="20" fillId="0" borderId="19" xfId="1" applyBorder="1" applyAlignment="1">
      <alignment horizontal="center" vertical="center" wrapText="1"/>
    </xf>
    <xf numFmtId="0" fontId="11" fillId="11" borderId="13" xfId="1" applyFont="1" applyFill="1" applyBorder="1" applyAlignment="1">
      <alignment horizontal="center" vertical="center" wrapText="1"/>
    </xf>
    <xf numFmtId="0" fontId="20" fillId="11" borderId="17" xfId="1" applyFill="1" applyBorder="1" applyAlignment="1">
      <alignment horizontal="center" vertical="center" wrapText="1"/>
    </xf>
    <xf numFmtId="0" fontId="11" fillId="3" borderId="16" xfId="1" applyFont="1" applyFill="1" applyBorder="1" applyAlignment="1">
      <alignment horizontal="center" vertical="center" wrapText="1"/>
    </xf>
    <xf numFmtId="0" fontId="14" fillId="3" borderId="22" xfId="1" applyFont="1" applyFill="1" applyBorder="1" applyAlignment="1">
      <alignment horizontal="center" vertical="center" wrapText="1"/>
    </xf>
    <xf numFmtId="0" fontId="11" fillId="7" borderId="16" xfId="1" applyFont="1" applyFill="1" applyBorder="1" applyAlignment="1">
      <alignment horizontal="center" vertical="center" wrapText="1"/>
    </xf>
    <xf numFmtId="0" fontId="14" fillId="7" borderId="22" xfId="1" applyFont="1" applyFill="1" applyBorder="1" applyAlignment="1">
      <alignment horizontal="center" vertical="center" wrapText="1"/>
    </xf>
    <xf numFmtId="0" fontId="20" fillId="0" borderId="0" xfId="1" applyBorder="1" applyAlignment="1">
      <alignment wrapText="1"/>
    </xf>
    <xf numFmtId="165" fontId="1" fillId="0" borderId="30" xfId="1" applyNumberFormat="1" applyFont="1" applyBorder="1" applyAlignment="1">
      <alignment horizontal="center"/>
    </xf>
    <xf numFmtId="167" fontId="9" fillId="0" borderId="26" xfId="1" applyNumberFormat="1" applyFont="1" applyBorder="1" applyAlignment="1">
      <alignment horizontal="center"/>
    </xf>
    <xf numFmtId="167" fontId="1" fillId="0" borderId="33" xfId="1" applyNumberFormat="1" applyFont="1" applyBorder="1" applyAlignment="1">
      <alignment horizontal="center"/>
    </xf>
  </cellXfs>
  <cellStyles count="3">
    <cellStyle name="Hyperlink" xfId="2" builtinId="8"/>
    <cellStyle name="Normal" xfId="0" builtinId="0"/>
    <cellStyle name="Normal 2" xfId="1" xr:uid="{152BFB75-C654-7749-8115-22879EFC26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647701</xdr:colOff>
      <xdr:row>22</xdr:row>
      <xdr:rowOff>127000</xdr:rowOff>
    </xdr:from>
    <xdr:to>
      <xdr:col>9</xdr:col>
      <xdr:colOff>1</xdr:colOff>
      <xdr:row>63</xdr:row>
      <xdr:rowOff>88900</xdr:rowOff>
    </xdr:to>
    <xdr:sp macro="" textlink="">
      <xdr:nvSpPr>
        <xdr:cNvPr id="23" name="TextBox 22">
          <a:extLst>
            <a:ext uri="{FF2B5EF4-FFF2-40B4-BE49-F238E27FC236}">
              <a16:creationId xmlns:a16="http://schemas.microsoft.com/office/drawing/2014/main" id="{49D51710-0EBA-E946-A037-3327B17566E4}"/>
            </a:ext>
          </a:extLst>
        </xdr:cNvPr>
        <xdr:cNvSpPr txBox="1"/>
      </xdr:nvSpPr>
      <xdr:spPr>
        <a:xfrm>
          <a:off x="1993901" y="4902200"/>
          <a:ext cx="9169400" cy="8293100"/>
        </a:xfrm>
        <a:prstGeom prst="rect">
          <a:avLst/>
        </a:prstGeom>
        <a:solidFill>
          <a:schemeClr val="lt1"/>
        </a:solidFill>
        <a:ln w="285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1.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This spreadsheet calculates:</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logC</a:t>
          </a:r>
          <a:r>
            <a:rPr kumimoji="0" lang="en-GB" sz="1100" b="0" i="0" u="none" strike="noStrike" kern="0" cap="none" spc="0" normalizeH="0" baseline="-25000" noProof="0">
              <a:ln>
                <a:noFill/>
              </a:ln>
              <a:solidFill>
                <a:prstClr val="black"/>
              </a:solidFill>
              <a:effectLst/>
              <a:uLnTx/>
              <a:uFillTx/>
              <a:latin typeface="Arial" panose="020B0604020202020204" pitchFamily="34" charset="0"/>
              <a:ea typeface="+mn-ea"/>
              <a:cs typeface="Arial" panose="020B0604020202020204" pitchFamily="34" charset="0"/>
            </a:rPr>
            <a:t>S2-</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and logC</a:t>
          </a:r>
          <a:r>
            <a:rPr kumimoji="0" lang="en-GB" sz="1100" b="0" i="0" u="none" strike="noStrike" kern="0" cap="none" spc="0" normalizeH="0" baseline="-25000" noProof="0">
              <a:ln>
                <a:noFill/>
              </a:ln>
              <a:solidFill>
                <a:prstClr val="black"/>
              </a:solidFill>
              <a:effectLst/>
              <a:uLnTx/>
              <a:uFillTx/>
              <a:latin typeface="Arial" panose="020B0604020202020204" pitchFamily="34" charset="0"/>
              <a:ea typeface="+mn-ea"/>
              <a:cs typeface="Arial" panose="020B0604020202020204" pitchFamily="34" charset="0"/>
            </a:rPr>
            <a:t>S6+</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S</a:t>
          </a:r>
          <a:r>
            <a:rPr kumimoji="0" lang="en-GB" sz="1100" b="0" i="0" u="none" strike="noStrike" kern="0" cap="none" spc="0" normalizeH="0" baseline="30000" noProof="0">
              <a:ln>
                <a:noFill/>
              </a:ln>
              <a:solidFill>
                <a:prstClr val="black"/>
              </a:solidFill>
              <a:effectLst/>
              <a:uLnTx/>
              <a:uFillTx/>
              <a:latin typeface="Arial" panose="020B0604020202020204" pitchFamily="34" charset="0"/>
              <a:ea typeface="+mn-ea"/>
              <a:cs typeface="Arial" panose="020B0604020202020204" pitchFamily="34" charset="0"/>
            </a:rPr>
            <a:t>6+</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Σ</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S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Fe</a:t>
          </a:r>
          <a:r>
            <a:rPr kumimoji="0" lang="en-GB" sz="1100" b="0" i="0" u="none" strike="noStrike" kern="0" cap="none" spc="0" normalizeH="0" baseline="30000" noProof="0">
              <a:ln>
                <a:noFill/>
              </a:ln>
              <a:solidFill>
                <a:prstClr val="black"/>
              </a:solidFill>
              <a:effectLst/>
              <a:uLnTx/>
              <a:uFillTx/>
              <a:latin typeface="Arial" panose="020B0604020202020204" pitchFamily="34" charset="0"/>
              <a:ea typeface="+mn-ea"/>
              <a:cs typeface="Arial" panose="020B0604020202020204" pitchFamily="34" charset="0"/>
            </a:rPr>
            <a:t>3+</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Σ</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Fe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log</a:t>
          </a:r>
          <a:r>
            <a:rPr kumimoji="0" lang="en-GB" sz="1100" b="0" i="1"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O</a:t>
          </a:r>
          <a:r>
            <a:rPr kumimoji="0" lang="en-GB" sz="1100" b="0" i="0" u="none" strike="noStrike" kern="0" cap="none" spc="0" normalizeH="0" baseline="-25000" noProof="0">
              <a:ln>
                <a:noFill/>
              </a:ln>
              <a:solidFill>
                <a:prstClr val="black"/>
              </a:solidFill>
              <a:effectLst/>
              <a:uLnTx/>
              <a:uFillTx/>
              <a:latin typeface="Arial" panose="020B0604020202020204" pitchFamily="34" charset="0"/>
              <a:ea typeface="+mn-ea"/>
              <a:cs typeface="Arial" panose="020B0604020202020204" pitchFamily="34" charset="0"/>
            </a:rPr>
            <a:t>2</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Δ</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FMQ, </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Δ</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NNO, </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Δ</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IW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For comparison, sulfur solubility/speciation models from other studies (refs below) are also calculated.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2.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Input sample name, major element composition, T (°C), P (GPa), and log</a:t>
          </a:r>
          <a:r>
            <a:rPr kumimoji="0" lang="en-GB" sz="1100" b="0" i="1"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O</a:t>
          </a:r>
          <a:r>
            <a:rPr kumimoji="0" lang="en-GB" sz="1100" b="0" i="0" u="none" strike="noStrike" kern="0" cap="none" spc="0" normalizeH="0" baseline="-25000" noProof="0">
              <a:ln>
                <a:noFill/>
              </a:ln>
              <a:solidFill>
                <a:prstClr val="black"/>
              </a:solidFill>
              <a:effectLst/>
              <a:uLnTx/>
              <a:uFillTx/>
              <a:latin typeface="Arial" panose="020B0604020202020204" pitchFamily="34" charset="0"/>
              <a:ea typeface="+mn-ea"/>
              <a:cs typeface="Arial" panose="020B0604020202020204" pitchFamily="34" charset="0"/>
            </a:rPr>
            <a:t>2</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Δ</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FMQ values in </a:t>
          </a:r>
          <a:r>
            <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columns F:U</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 add more rows of data by copying/dragging columns D:FW down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50" b="0" i="1" u="none" strike="noStrike" kern="0" cap="none" spc="0" normalizeH="0" baseline="0" noProof="0">
              <a:ln w="3175">
                <a:noFill/>
              </a:ln>
              <a:solidFill>
                <a:prstClr val="black"/>
              </a:solidFill>
              <a:effectLst/>
              <a:uLnTx/>
              <a:uFillTx/>
              <a:latin typeface="Arial" panose="020B0604020202020204" pitchFamily="34" charset="0"/>
              <a:ea typeface="+mn-ea"/>
              <a:cs typeface="Arial" panose="020B0604020202020204" pitchFamily="34" charset="0"/>
            </a:rPr>
            <a:t>Note: For all S capacity models in this workbook, any water content included is treated as an ideal diluent (i.e. it will simply decrease the mole fractions of other major oxides) to calculate results on an anhydrous basis, Set H</a:t>
          </a:r>
          <a:r>
            <a:rPr kumimoji="0" lang="en-GB" sz="1050" b="0" i="1" u="none" strike="noStrike" kern="0" cap="none" spc="0" normalizeH="0" baseline="-25000" noProof="0">
              <a:ln w="3175">
                <a:noFill/>
              </a:ln>
              <a:solidFill>
                <a:prstClr val="black"/>
              </a:solidFill>
              <a:effectLst/>
              <a:uLnTx/>
              <a:uFillTx/>
              <a:latin typeface="Arial" panose="020B0604020202020204" pitchFamily="34" charset="0"/>
              <a:ea typeface="+mn-ea"/>
              <a:cs typeface="Arial" panose="020B0604020202020204" pitchFamily="34" charset="0"/>
            </a:rPr>
            <a:t>2</a:t>
          </a:r>
          <a:r>
            <a:rPr kumimoji="0" lang="en-GB" sz="1050" b="0" i="1" u="none" strike="noStrike" kern="0" cap="none" spc="0" normalizeH="0" baseline="0" noProof="0">
              <a:ln w="3175">
                <a:noFill/>
              </a:ln>
              <a:solidFill>
                <a:prstClr val="black"/>
              </a:solidFill>
              <a:effectLst/>
              <a:uLnTx/>
              <a:uFillTx/>
              <a:latin typeface="Arial" panose="020B0604020202020204" pitchFamily="34" charset="0"/>
              <a:ea typeface="+mn-ea"/>
              <a:cs typeface="Arial" panose="020B0604020202020204" pitchFamily="34" charset="0"/>
            </a:rPr>
            <a:t>O values to 0 % in </a:t>
          </a:r>
          <a:r>
            <a:rPr kumimoji="0" lang="en-GB" sz="1050" b="0" i="1" u="sng" strike="noStrike" kern="0" cap="none" spc="0" normalizeH="0" baseline="0" noProof="0">
              <a:ln w="3175">
                <a:noFill/>
              </a:ln>
              <a:solidFill>
                <a:prstClr val="black"/>
              </a:solidFill>
              <a:effectLst/>
              <a:uLnTx/>
              <a:uFillTx/>
              <a:latin typeface="Arial" panose="020B0604020202020204" pitchFamily="34" charset="0"/>
              <a:ea typeface="+mn-ea"/>
              <a:cs typeface="Arial" panose="020B0604020202020204" pitchFamily="34" charset="0"/>
            </a:rPr>
            <a:t>column U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3.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Calculations are performed in </a:t>
          </a:r>
          <a:r>
            <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columns V:FU</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 to see them: highlight columns -&gt; right click -&gt; select unhide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4.</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Results are summarised in </a:t>
          </a:r>
          <a:r>
            <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columns FW:GJ</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5.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Please cite this spreadsheet and the studies of the respective models if you use the calculations e.g. "We calculate Fe</a:t>
          </a:r>
          <a:r>
            <a:rPr kumimoji="0" lang="en-GB" sz="1100" b="0" i="0" u="none" strike="noStrike" kern="0" cap="none" spc="0" normalizeH="0" baseline="30000" noProof="0">
              <a:ln>
                <a:noFill/>
              </a:ln>
              <a:solidFill>
                <a:prstClr val="black"/>
              </a:solidFill>
              <a:effectLst/>
              <a:uLnTx/>
              <a:uFillTx/>
              <a:latin typeface="Arial" panose="020B0604020202020204" pitchFamily="34" charset="0"/>
              <a:ea typeface="+mn-ea"/>
              <a:cs typeface="Arial" panose="020B0604020202020204" pitchFamily="34" charset="0"/>
            </a:rPr>
            <a:t>3+</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Σ</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Fe ratios using the model of Kress and Carmichael (1991) implemented in the excel-based calculator of Gorojovsky &amp; Wood (2025)."  - a summary of references for the models inlcuded in this workbork are provided below.</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2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References: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Boulliung, J. and Wood, B.J. (2022) ‘SO2 solubility and degassing behavior in silicate melts’, Geochimica et Cosmochimica Acta, 336, pp. 150–164.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Boulliung, J. and Wood, B.J. (2023) ‘Sulfur oxidation state and solubility in silicate melts’, Contributions to mineralogy and petrology, 178(8), p. 56.</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Frost, B.R. (1991) ‘Introduction to oxygen fugacity and its petrologic importance’, in Reviews in Mineralogy and Geochemistry. De Gruyter, pp. 1–9.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Jugo, P.J., Wilke, M. and Botcharnikov, R.E. (2010) ‘Sulfur K-edge XANES analysis of natural and synthetic basaltic glasses: Implications for S speciation and S content as function of oxygen fugacity’, </a:t>
          </a:r>
          <a:r>
            <a:rPr kumimoji="0" lang="en-GB" sz="1100" b="0" i="1" u="none" strike="noStrike" kern="0" cap="none" spc="0" normalizeH="0" baseline="0" noProof="0">
              <a:ln>
                <a:noFill/>
              </a:ln>
              <a:solidFill>
                <a:prstClr val="black"/>
              </a:solidFill>
              <a:effectLst/>
              <a:uLnTx/>
              <a:uFillTx/>
              <a:latin typeface="+mn-lt"/>
              <a:ea typeface="+mn-ea"/>
              <a:cs typeface="+mn-cs"/>
            </a:rPr>
            <a:t>Geochimica et Cosmochimica Acta</a:t>
          </a:r>
          <a:r>
            <a:rPr kumimoji="0" lang="en-GB" sz="1100" b="0" i="0" u="none" strike="noStrike" kern="0" cap="none" spc="0" normalizeH="0" baseline="0" noProof="0">
              <a:ln>
                <a:noFill/>
              </a:ln>
              <a:solidFill>
                <a:prstClr val="black"/>
              </a:solidFill>
              <a:effectLst/>
              <a:uLnTx/>
              <a:uFillTx/>
              <a:latin typeface="+mn-lt"/>
              <a:ea typeface="+mn-ea"/>
              <a:cs typeface="+mn-cs"/>
            </a:rPr>
            <a:t>, 74(20), pp. 5926–5938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Kress, V.C. and Carmichael, I.S.E. (1991) ‘The compressibility of silicate liquids containing Fe2O3 and the effect of composition, temperature, oxygen fugacity and pressure on their redox states’, Contributions to Mineralogy and Petrology, 108(1–2), pp. 82–92.</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Muth, M.J. and Cottrell, E. (2025) ‘The effect of pressure on sulfur valence state in mafic silicate melts’, </a:t>
          </a:r>
          <a:r>
            <a:rPr kumimoji="0" lang="en-GB" sz="1100" b="0" i="1" u="none" strike="noStrike" kern="0" cap="none" spc="0" normalizeH="0" baseline="0" noProof="0">
              <a:ln>
                <a:noFill/>
              </a:ln>
              <a:solidFill>
                <a:prstClr val="black"/>
              </a:solidFill>
              <a:effectLst/>
              <a:uLnTx/>
              <a:uFillTx/>
              <a:latin typeface="+mn-lt"/>
              <a:ea typeface="+mn-ea"/>
              <a:cs typeface="+mn-cs"/>
            </a:rPr>
            <a:t>Earth and Planetary Science Letters</a:t>
          </a:r>
          <a:r>
            <a:rPr kumimoji="0" lang="en-GB" sz="1100" b="0" i="0" u="none" strike="noStrike" kern="0" cap="none" spc="0" normalizeH="0" baseline="0" noProof="0">
              <a:ln>
                <a:noFill/>
              </a:ln>
              <a:solidFill>
                <a:prstClr val="black"/>
              </a:solidFill>
              <a:effectLst/>
              <a:uLnTx/>
              <a:uFillTx/>
              <a:latin typeface="+mn-lt"/>
              <a:ea typeface="+mn-ea"/>
              <a:cs typeface="+mn-cs"/>
            </a:rPr>
            <a:t>, 668, p. 119562.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Nash, W.M., Smythe, D.J. and Wood, B.J. (2019) ‘Compositional and temperature effects on sulfur speciation and solubility in silicate melts’, Earth and Planetary Science Letters, 507, pp. 187–198.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O’Neill, H.S.C. (2021) ‘The Thermodynamic Controls on Sulfide Saturation in Silicate Melts with Application to Ocean Floor Basalts’, in Magma Redox Geochemistry. American Geophysical Union (Geophysical Monograph Series), pp. 177–213.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O’Neill, H.St.C. and Mavrogenes, J.A. (2022) ‘The sulfate capacities of silicate melts’, Geochimica et Cosmochimica Acta, 334, pp. 368–382.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1"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Thomas, R.W. and Wood, B.J. (2026) ‘Sulfur speciation in silicate melts at high pressure’, </a:t>
          </a:r>
          <a:r>
            <a:rPr kumimoji="0" lang="en-GB" sz="1100" b="0" i="1" u="none" strike="noStrike" kern="0" cap="none" spc="0" normalizeH="0" baseline="0" noProof="0">
              <a:ln>
                <a:noFill/>
              </a:ln>
              <a:solidFill>
                <a:prstClr val="black"/>
              </a:solidFill>
              <a:effectLst/>
              <a:uLnTx/>
              <a:uFillTx/>
              <a:latin typeface="+mn-lt"/>
              <a:ea typeface="+mn-ea"/>
              <a:cs typeface="+mn-cs"/>
            </a:rPr>
            <a:t>Geochimica et Cosmochimica Acta</a:t>
          </a:r>
          <a:r>
            <a:rPr kumimoji="0" lang="en-GB" sz="1100" b="0" i="0" u="none" strike="noStrike" kern="0" cap="none" spc="0" normalizeH="0" baseline="0" noProof="0">
              <a:ln>
                <a:noFill/>
              </a:ln>
              <a:solidFill>
                <a:prstClr val="black"/>
              </a:solidFill>
              <a:effectLst/>
              <a:uLnTx/>
              <a:uFillTx/>
              <a:latin typeface="+mn-lt"/>
              <a:ea typeface="+mn-ea"/>
              <a:cs typeface="+mn-cs"/>
            </a:rPr>
            <a:t>, 417, pp. 37–51.</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4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152822</xdr:colOff>
      <xdr:row>8</xdr:row>
      <xdr:rowOff>112576</xdr:rowOff>
    </xdr:from>
    <xdr:to>
      <xdr:col>4</xdr:col>
      <xdr:colOff>342900</xdr:colOff>
      <xdr:row>81</xdr:row>
      <xdr:rowOff>25400</xdr:rowOff>
    </xdr:to>
    <xdr:sp macro="" textlink="">
      <xdr:nvSpPr>
        <xdr:cNvPr id="3" name="TextBox 2">
          <a:extLst>
            <a:ext uri="{FF2B5EF4-FFF2-40B4-BE49-F238E27FC236}">
              <a16:creationId xmlns:a16="http://schemas.microsoft.com/office/drawing/2014/main" id="{94FFDA2B-36D6-F647-BCA4-576CD81DDFEF}"/>
            </a:ext>
          </a:extLst>
        </xdr:cNvPr>
        <xdr:cNvSpPr txBox="1"/>
      </xdr:nvSpPr>
      <xdr:spPr>
        <a:xfrm>
          <a:off x="152822" y="2360476"/>
          <a:ext cx="3619078" cy="14746424"/>
        </a:xfrm>
        <a:prstGeom prst="rect">
          <a:avLst/>
        </a:prstGeom>
        <a:solidFill>
          <a:schemeClr val="lt1"/>
        </a:solidFill>
        <a:ln w="2857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Calculator information:</a:t>
          </a:r>
        </a:p>
        <a:p>
          <a:endParaRPr lang="en-GB" sz="1100" b="1">
            <a:latin typeface="Arial" panose="020B0604020202020204" pitchFamily="34" charset="0"/>
            <a:cs typeface="Arial" panose="020B0604020202020204" pitchFamily="34" charset="0"/>
          </a:endParaRPr>
        </a:p>
        <a:p>
          <a:r>
            <a:rPr lang="en-GB" sz="1100" b="1" baseline="0">
              <a:solidFill>
                <a:schemeClr val="dk1"/>
              </a:solidFill>
              <a:effectLst/>
              <a:latin typeface="Arial" panose="020B0604020202020204" pitchFamily="34" charset="0"/>
              <a:ea typeface="+mn-ea"/>
              <a:cs typeface="Arial" panose="020B0604020202020204" pitchFamily="34" charset="0"/>
            </a:rPr>
            <a:t>1. </a:t>
          </a:r>
          <a:r>
            <a:rPr lang="en-GB" sz="1100" baseline="0">
              <a:solidFill>
                <a:schemeClr val="dk1"/>
              </a:solidFill>
              <a:effectLst/>
              <a:latin typeface="Arial" panose="020B0604020202020204" pitchFamily="34" charset="0"/>
              <a:ea typeface="+mn-ea"/>
              <a:cs typeface="Arial" panose="020B0604020202020204" pitchFamily="34" charset="0"/>
            </a:rPr>
            <a:t>This spreadsheet calculates:</a:t>
          </a:r>
          <a:endParaRPr lang="en-GB" sz="1100">
            <a:effectLst/>
            <a:latin typeface="Arial" panose="020B0604020202020204" pitchFamily="34" charset="0"/>
            <a:cs typeface="Arial" panose="020B0604020202020204" pitchFamily="34" charset="0"/>
          </a:endParaRPr>
        </a:p>
        <a:p>
          <a:r>
            <a:rPr lang="en-GB" sz="1100" baseline="0">
              <a:solidFill>
                <a:schemeClr val="dk1"/>
              </a:solidFill>
              <a:effectLst/>
              <a:latin typeface="Arial" panose="020B0604020202020204" pitchFamily="34" charset="0"/>
              <a:ea typeface="+mn-ea"/>
              <a:cs typeface="Arial" panose="020B0604020202020204" pitchFamily="34" charset="0"/>
            </a:rPr>
            <a:t>+ logC</a:t>
          </a:r>
          <a:r>
            <a:rPr lang="en-GB" sz="1100" baseline="-25000">
              <a:solidFill>
                <a:schemeClr val="dk1"/>
              </a:solidFill>
              <a:effectLst/>
              <a:latin typeface="Arial" panose="020B0604020202020204" pitchFamily="34" charset="0"/>
              <a:ea typeface="+mn-ea"/>
              <a:cs typeface="Arial" panose="020B0604020202020204" pitchFamily="34" charset="0"/>
            </a:rPr>
            <a:t>S2-</a:t>
          </a:r>
          <a:r>
            <a:rPr lang="en-GB" sz="1100" baseline="0">
              <a:solidFill>
                <a:schemeClr val="dk1"/>
              </a:solidFill>
              <a:effectLst/>
              <a:latin typeface="Arial" panose="020B0604020202020204" pitchFamily="34" charset="0"/>
              <a:ea typeface="+mn-ea"/>
              <a:cs typeface="Arial" panose="020B0604020202020204" pitchFamily="34" charset="0"/>
            </a:rPr>
            <a:t> and logC</a:t>
          </a:r>
          <a:r>
            <a:rPr lang="en-GB" sz="1100" baseline="-25000">
              <a:solidFill>
                <a:schemeClr val="dk1"/>
              </a:solidFill>
              <a:effectLst/>
              <a:latin typeface="Arial" panose="020B0604020202020204" pitchFamily="34" charset="0"/>
              <a:ea typeface="+mn-ea"/>
              <a:cs typeface="Arial" panose="020B0604020202020204" pitchFamily="34" charset="0"/>
            </a:rPr>
            <a:t>S6+</a:t>
          </a:r>
          <a:r>
            <a:rPr lang="en-GB" sz="1100" baseline="0">
              <a:solidFill>
                <a:schemeClr val="dk1"/>
              </a:solidFill>
              <a:effectLst/>
              <a:latin typeface="Arial" panose="020B0604020202020204" pitchFamily="34" charset="0"/>
              <a:ea typeface="+mn-ea"/>
              <a:cs typeface="Arial" panose="020B0604020202020204" pitchFamily="34" charset="0"/>
            </a:rPr>
            <a:t> </a:t>
          </a:r>
          <a:endParaRPr lang="en-GB" sz="1100">
            <a:effectLst/>
            <a:latin typeface="Arial" panose="020B0604020202020204" pitchFamily="34" charset="0"/>
            <a:cs typeface="Arial" panose="020B0604020202020204" pitchFamily="34" charset="0"/>
          </a:endParaRPr>
        </a:p>
        <a:p>
          <a:r>
            <a:rPr lang="en-GB" sz="1100" baseline="0">
              <a:solidFill>
                <a:schemeClr val="dk1"/>
              </a:solidFill>
              <a:effectLst/>
              <a:latin typeface="Arial" panose="020B0604020202020204" pitchFamily="34" charset="0"/>
              <a:ea typeface="+mn-ea"/>
              <a:cs typeface="Arial" panose="020B0604020202020204" pitchFamily="34" charset="0"/>
            </a:rPr>
            <a:t>+ </a:t>
          </a:r>
          <a:r>
            <a:rPr lang="en-GB" sz="1100" b="0" i="0" baseline="0">
              <a:solidFill>
                <a:schemeClr val="dk1"/>
              </a:solidFill>
              <a:effectLst/>
              <a:latin typeface="Arial" panose="020B0604020202020204" pitchFamily="34" charset="0"/>
              <a:ea typeface="+mn-ea"/>
              <a:cs typeface="Arial" panose="020B0604020202020204" pitchFamily="34" charset="0"/>
            </a:rPr>
            <a:t>S</a:t>
          </a:r>
          <a:r>
            <a:rPr lang="en-GB" sz="1100" b="0" i="0" baseline="30000">
              <a:solidFill>
                <a:schemeClr val="dk1"/>
              </a:solidFill>
              <a:effectLst/>
              <a:latin typeface="Arial" panose="020B0604020202020204" pitchFamily="34" charset="0"/>
              <a:ea typeface="+mn-ea"/>
              <a:cs typeface="Arial" panose="020B0604020202020204" pitchFamily="34" charset="0"/>
            </a:rPr>
            <a:t>6+</a:t>
          </a:r>
          <a:r>
            <a:rPr lang="en-GB" sz="1100" b="0" i="0" baseline="0">
              <a:solidFill>
                <a:schemeClr val="dk1"/>
              </a:solidFill>
              <a:effectLst/>
              <a:latin typeface="Arial" panose="020B0604020202020204" pitchFamily="34" charset="0"/>
              <a:ea typeface="+mn-ea"/>
              <a:cs typeface="Arial" panose="020B0604020202020204" pitchFamily="34" charset="0"/>
            </a:rPr>
            <a:t>/</a:t>
          </a:r>
          <a:r>
            <a:rPr lang="el-GR" sz="1100" b="0" i="0" baseline="0">
              <a:solidFill>
                <a:schemeClr val="dk1"/>
              </a:solidFill>
              <a:effectLst/>
              <a:latin typeface="Arial" panose="020B0604020202020204" pitchFamily="34" charset="0"/>
              <a:ea typeface="+mn-ea"/>
              <a:cs typeface="Arial" panose="020B0604020202020204" pitchFamily="34" charset="0"/>
            </a:rPr>
            <a:t>Σ</a:t>
          </a:r>
          <a:r>
            <a:rPr lang="en-GB" sz="1100" b="0" i="0" baseline="0">
              <a:solidFill>
                <a:schemeClr val="dk1"/>
              </a:solidFill>
              <a:effectLst/>
              <a:latin typeface="Arial" panose="020B0604020202020204" pitchFamily="34" charset="0"/>
              <a:ea typeface="+mn-ea"/>
              <a:cs typeface="Arial" panose="020B0604020202020204" pitchFamily="34" charset="0"/>
            </a:rPr>
            <a:t>S </a:t>
          </a: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Arial" panose="020B0604020202020204" pitchFamily="34" charset="0"/>
              <a:ea typeface="+mn-ea"/>
              <a:cs typeface="Arial" panose="020B0604020202020204" pitchFamily="34" charset="0"/>
            </a:rPr>
            <a:t>+ Fe</a:t>
          </a:r>
          <a:r>
            <a:rPr lang="en-GB" sz="1100" baseline="30000">
              <a:solidFill>
                <a:schemeClr val="dk1"/>
              </a:solidFill>
              <a:effectLst/>
              <a:latin typeface="Arial" panose="020B0604020202020204" pitchFamily="34" charset="0"/>
              <a:ea typeface="+mn-ea"/>
              <a:cs typeface="Arial" panose="020B0604020202020204" pitchFamily="34" charset="0"/>
            </a:rPr>
            <a:t>3+</a:t>
          </a:r>
          <a:r>
            <a:rPr lang="en-GB" sz="1100" baseline="0">
              <a:solidFill>
                <a:schemeClr val="dk1"/>
              </a:solidFill>
              <a:effectLst/>
              <a:latin typeface="Arial" panose="020B0604020202020204" pitchFamily="34" charset="0"/>
              <a:ea typeface="+mn-ea"/>
              <a:cs typeface="Arial" panose="020B0604020202020204" pitchFamily="34" charset="0"/>
            </a:rPr>
            <a:t>/</a:t>
          </a:r>
          <a:r>
            <a:rPr lang="el-GR" sz="1100" baseline="0">
              <a:solidFill>
                <a:schemeClr val="dk1"/>
              </a:solidFill>
              <a:effectLst/>
              <a:latin typeface="Arial" panose="020B0604020202020204" pitchFamily="34" charset="0"/>
              <a:ea typeface="+mn-ea"/>
              <a:cs typeface="Arial" panose="020B0604020202020204" pitchFamily="34" charset="0"/>
            </a:rPr>
            <a:t>Σ</a:t>
          </a:r>
          <a:r>
            <a:rPr lang="en-GB" sz="1100" baseline="0">
              <a:solidFill>
                <a:schemeClr val="dk1"/>
              </a:solidFill>
              <a:effectLst/>
              <a:latin typeface="Arial" panose="020B0604020202020204" pitchFamily="34" charset="0"/>
              <a:ea typeface="+mn-ea"/>
              <a:cs typeface="Arial" panose="020B0604020202020204" pitchFamily="34" charset="0"/>
            </a:rPr>
            <a:t>Fe </a:t>
          </a:r>
          <a:endParaRPr lang="en-GB" sz="1100">
            <a:effectLst/>
            <a:latin typeface="Arial" panose="020B0604020202020204" pitchFamily="34" charset="0"/>
            <a:cs typeface="Arial" panose="020B0604020202020204" pitchFamily="34" charset="0"/>
          </a:endParaRPr>
        </a:p>
        <a:p>
          <a:r>
            <a:rPr lang="en-GB" sz="1100" b="0" i="0" baseline="0">
              <a:solidFill>
                <a:schemeClr val="dk1"/>
              </a:solidFill>
              <a:effectLst/>
              <a:latin typeface="Arial" panose="020B0604020202020204" pitchFamily="34" charset="0"/>
              <a:ea typeface="+mn-ea"/>
              <a:cs typeface="Arial" panose="020B0604020202020204" pitchFamily="34" charset="0"/>
            </a:rPr>
            <a:t>+ log</a:t>
          </a:r>
          <a:r>
            <a:rPr lang="en-GB" sz="1100" b="0" i="1" baseline="0">
              <a:solidFill>
                <a:schemeClr val="dk1"/>
              </a:solidFill>
              <a:effectLst/>
              <a:latin typeface="Arial" panose="020B0604020202020204" pitchFamily="34" charset="0"/>
              <a:ea typeface="+mn-ea"/>
              <a:cs typeface="Arial" panose="020B0604020202020204" pitchFamily="34" charset="0"/>
            </a:rPr>
            <a:t>f</a:t>
          </a:r>
          <a:r>
            <a:rPr lang="en-GB" sz="1100" b="0" i="0" baseline="0">
              <a:solidFill>
                <a:schemeClr val="dk1"/>
              </a:solidFill>
              <a:effectLst/>
              <a:latin typeface="Arial" panose="020B0604020202020204" pitchFamily="34" charset="0"/>
              <a:ea typeface="+mn-ea"/>
              <a:cs typeface="Arial" panose="020B0604020202020204" pitchFamily="34" charset="0"/>
            </a:rPr>
            <a:t>O</a:t>
          </a:r>
          <a:r>
            <a:rPr lang="en-GB" sz="1100" b="0" i="0" baseline="-25000">
              <a:solidFill>
                <a:schemeClr val="dk1"/>
              </a:solidFill>
              <a:effectLst/>
              <a:latin typeface="Arial" panose="020B0604020202020204" pitchFamily="34" charset="0"/>
              <a:ea typeface="+mn-ea"/>
              <a:cs typeface="Arial" panose="020B0604020202020204" pitchFamily="34" charset="0"/>
            </a:rPr>
            <a:t>2</a:t>
          </a:r>
          <a:r>
            <a:rPr lang="en-GB" sz="1100" b="0" i="0" baseline="0">
              <a:solidFill>
                <a:schemeClr val="dk1"/>
              </a:solidFill>
              <a:effectLst/>
              <a:latin typeface="Arial" panose="020B0604020202020204" pitchFamily="34" charset="0"/>
              <a:ea typeface="+mn-ea"/>
              <a:cs typeface="Arial" panose="020B0604020202020204" pitchFamily="34" charset="0"/>
            </a:rPr>
            <a:t>, </a:t>
          </a:r>
          <a:r>
            <a:rPr lang="el-GR" sz="1100" b="0" i="0" baseline="0">
              <a:solidFill>
                <a:schemeClr val="dk1"/>
              </a:solidFill>
              <a:effectLst/>
              <a:latin typeface="Arial" panose="020B0604020202020204" pitchFamily="34" charset="0"/>
              <a:ea typeface="+mn-ea"/>
              <a:cs typeface="Arial" panose="020B0604020202020204" pitchFamily="34" charset="0"/>
            </a:rPr>
            <a:t>Δ</a:t>
          </a:r>
          <a:r>
            <a:rPr lang="en-GB" sz="1100" b="0" i="0" baseline="0">
              <a:solidFill>
                <a:schemeClr val="dk1"/>
              </a:solidFill>
              <a:effectLst/>
              <a:latin typeface="Arial" panose="020B0604020202020204" pitchFamily="34" charset="0"/>
              <a:ea typeface="+mn-ea"/>
              <a:cs typeface="Arial" panose="020B0604020202020204" pitchFamily="34" charset="0"/>
            </a:rPr>
            <a:t>FMQ, </a:t>
          </a:r>
          <a:r>
            <a:rPr lang="el-GR" sz="1100" b="0" i="0" baseline="0">
              <a:solidFill>
                <a:schemeClr val="dk1"/>
              </a:solidFill>
              <a:effectLst/>
              <a:latin typeface="Arial" panose="020B0604020202020204" pitchFamily="34" charset="0"/>
              <a:ea typeface="+mn-ea"/>
              <a:cs typeface="Arial" panose="020B0604020202020204" pitchFamily="34" charset="0"/>
            </a:rPr>
            <a:t>Δ</a:t>
          </a:r>
          <a:r>
            <a:rPr lang="en-GB" sz="1100" b="0" i="0" baseline="0">
              <a:solidFill>
                <a:schemeClr val="dk1"/>
              </a:solidFill>
              <a:effectLst/>
              <a:latin typeface="Arial" panose="020B0604020202020204" pitchFamily="34" charset="0"/>
              <a:ea typeface="+mn-ea"/>
              <a:cs typeface="Arial" panose="020B0604020202020204" pitchFamily="34" charset="0"/>
            </a:rPr>
            <a:t>NNO, </a:t>
          </a:r>
          <a:r>
            <a:rPr lang="el-GR" sz="1100" b="0" i="0" baseline="0">
              <a:solidFill>
                <a:schemeClr val="dk1"/>
              </a:solidFill>
              <a:effectLst/>
              <a:latin typeface="Arial" panose="020B0604020202020204" pitchFamily="34" charset="0"/>
              <a:ea typeface="+mn-ea"/>
              <a:cs typeface="Arial" panose="020B0604020202020204" pitchFamily="34" charset="0"/>
            </a:rPr>
            <a:t>Δ</a:t>
          </a:r>
          <a:r>
            <a:rPr lang="en-GB" sz="1100" b="0" i="0" baseline="0">
              <a:solidFill>
                <a:schemeClr val="dk1"/>
              </a:solidFill>
              <a:effectLst/>
              <a:latin typeface="Arial" panose="020B0604020202020204" pitchFamily="34" charset="0"/>
              <a:ea typeface="+mn-ea"/>
              <a:cs typeface="Arial" panose="020B0604020202020204" pitchFamily="34" charset="0"/>
            </a:rPr>
            <a:t>IW  </a:t>
          </a:r>
        </a:p>
        <a:p>
          <a:endParaRPr lang="en-GB" sz="1100" b="0" i="0" baseline="0">
            <a:solidFill>
              <a:schemeClr val="dk1"/>
            </a:solidFill>
            <a:effectLst/>
            <a:latin typeface="Arial" panose="020B0604020202020204" pitchFamily="34" charset="0"/>
            <a:ea typeface="+mn-ea"/>
            <a:cs typeface="Arial" panose="020B0604020202020204" pitchFamily="34" charset="0"/>
          </a:endParaRPr>
        </a:p>
        <a:p>
          <a:r>
            <a:rPr lang="en-GB" sz="1100" b="0" i="0" baseline="0">
              <a:solidFill>
                <a:schemeClr val="dk1"/>
              </a:solidFill>
              <a:effectLst/>
              <a:latin typeface="Arial" panose="020B0604020202020204" pitchFamily="34" charset="0"/>
              <a:ea typeface="+mn-ea"/>
              <a:cs typeface="Arial" panose="020B0604020202020204" pitchFamily="34" charset="0"/>
            </a:rPr>
            <a:t>For comparison, sulfur solubility/speciation models from other studies (refs below) are also calculated. </a:t>
          </a:r>
        </a:p>
        <a:p>
          <a:endParaRPr lang="en-GB" sz="1100" b="1">
            <a:latin typeface="Arial" panose="020B0604020202020204" pitchFamily="34" charset="0"/>
            <a:cs typeface="Arial" panose="020B0604020202020204" pitchFamily="34" charset="0"/>
          </a:endParaRPr>
        </a:p>
        <a:p>
          <a:r>
            <a:rPr lang="en-GB" sz="1100" b="1">
              <a:latin typeface="Arial" panose="020B0604020202020204" pitchFamily="34" charset="0"/>
              <a:cs typeface="Arial" panose="020B0604020202020204" pitchFamily="34" charset="0"/>
            </a:rPr>
            <a:t>2. </a:t>
          </a:r>
          <a:r>
            <a:rPr lang="en-GB" sz="1100">
              <a:latin typeface="Arial" panose="020B0604020202020204" pitchFamily="34" charset="0"/>
              <a:cs typeface="Arial" panose="020B0604020202020204" pitchFamily="34" charset="0"/>
            </a:rPr>
            <a:t>Input sample name,</a:t>
          </a:r>
          <a:r>
            <a:rPr lang="en-GB" sz="1100" baseline="0">
              <a:latin typeface="Arial" panose="020B0604020202020204" pitchFamily="34" charset="0"/>
              <a:cs typeface="Arial" panose="020B0604020202020204" pitchFamily="34" charset="0"/>
            </a:rPr>
            <a:t> major element composition, T (°C), P (GPa), and log</a:t>
          </a:r>
          <a:r>
            <a:rPr lang="en-GB" sz="1100" i="1" baseline="0">
              <a:latin typeface="Arial" panose="020B0604020202020204" pitchFamily="34" charset="0"/>
              <a:cs typeface="Arial" panose="020B0604020202020204" pitchFamily="34" charset="0"/>
            </a:rPr>
            <a:t>f</a:t>
          </a:r>
          <a:r>
            <a:rPr lang="en-GB" sz="1100" baseline="0">
              <a:latin typeface="Arial" panose="020B0604020202020204" pitchFamily="34" charset="0"/>
              <a:cs typeface="Arial" panose="020B0604020202020204" pitchFamily="34" charset="0"/>
            </a:rPr>
            <a:t>O</a:t>
          </a:r>
          <a:r>
            <a:rPr lang="en-GB" sz="1100" baseline="-25000">
              <a:latin typeface="Arial" panose="020B0604020202020204" pitchFamily="34" charset="0"/>
              <a:cs typeface="Arial" panose="020B0604020202020204" pitchFamily="34" charset="0"/>
            </a:rPr>
            <a:t>2</a:t>
          </a:r>
          <a:r>
            <a:rPr lang="el-GR" sz="1100" baseline="0">
              <a:latin typeface="Arial" panose="020B0604020202020204" pitchFamily="34" charset="0"/>
              <a:cs typeface="Arial" panose="020B0604020202020204" pitchFamily="34" charset="0"/>
            </a:rPr>
            <a:t>Δ</a:t>
          </a:r>
          <a:r>
            <a:rPr lang="en-GB" sz="1100" baseline="0">
              <a:latin typeface="Arial" panose="020B0604020202020204" pitchFamily="34" charset="0"/>
              <a:cs typeface="Arial" panose="020B0604020202020204" pitchFamily="34" charset="0"/>
            </a:rPr>
            <a:t>FMQ values in </a:t>
          </a:r>
          <a:r>
            <a:rPr lang="en-GB" sz="1100" u="sng" baseline="0">
              <a:latin typeface="Arial" panose="020B0604020202020204" pitchFamily="34" charset="0"/>
              <a:cs typeface="Arial" panose="020B0604020202020204" pitchFamily="34" charset="0"/>
            </a:rPr>
            <a:t>columns F:U</a:t>
          </a:r>
          <a:r>
            <a:rPr lang="en-GB" sz="1100" u="none" baseline="0">
              <a:latin typeface="Arial" panose="020B0604020202020204" pitchFamily="34" charset="0"/>
              <a:cs typeface="Arial" panose="020B0604020202020204" pitchFamily="34" charset="0"/>
            </a:rPr>
            <a:t> - add more rows of data by copying/dragging columns D:FW down</a:t>
          </a:r>
        </a:p>
        <a:p>
          <a:endParaRPr lang="en-GB" sz="1100" u="none"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050" b="0" i="1" u="none" strike="noStrike" kern="0" cap="none" spc="0" normalizeH="0" baseline="0" noProof="0">
              <a:ln w="3175">
                <a:noFill/>
              </a:ln>
              <a:solidFill>
                <a:schemeClr val="tx1"/>
              </a:solidFill>
              <a:effectLst/>
              <a:uLnTx/>
              <a:uFillTx/>
              <a:latin typeface="Arial" panose="020B0604020202020204" pitchFamily="34" charset="0"/>
              <a:ea typeface="+mn-ea"/>
              <a:cs typeface="Arial" panose="020B0604020202020204" pitchFamily="34" charset="0"/>
            </a:rPr>
            <a:t>Note: For all S capacity models in this workbook, any water content included is treated as an ideal diluent (i.e. it will simply decrease the mole fractions of other major oxides) to calculate results on an anhydrous basis, Set H</a:t>
          </a:r>
          <a:r>
            <a:rPr kumimoji="0" lang="en-GB" sz="1050" b="0" i="1" u="none" strike="noStrike" kern="0" cap="none" spc="0" normalizeH="0" baseline="-25000" noProof="0">
              <a:ln w="3175">
                <a:noFill/>
              </a:ln>
              <a:solidFill>
                <a:schemeClr val="tx1"/>
              </a:solidFill>
              <a:effectLst/>
              <a:uLnTx/>
              <a:uFillTx/>
              <a:latin typeface="Arial" panose="020B0604020202020204" pitchFamily="34" charset="0"/>
              <a:ea typeface="+mn-ea"/>
              <a:cs typeface="Arial" panose="020B0604020202020204" pitchFamily="34" charset="0"/>
            </a:rPr>
            <a:t>2</a:t>
          </a:r>
          <a:r>
            <a:rPr kumimoji="0" lang="en-GB" sz="1050" b="0" i="1" u="none" strike="noStrike" kern="0" cap="none" spc="0" normalizeH="0" baseline="0" noProof="0">
              <a:ln w="3175">
                <a:noFill/>
              </a:ln>
              <a:solidFill>
                <a:schemeClr val="tx1"/>
              </a:solidFill>
              <a:effectLst/>
              <a:uLnTx/>
              <a:uFillTx/>
              <a:latin typeface="Arial" panose="020B0604020202020204" pitchFamily="34" charset="0"/>
              <a:ea typeface="+mn-ea"/>
              <a:cs typeface="Arial" panose="020B0604020202020204" pitchFamily="34" charset="0"/>
            </a:rPr>
            <a:t>O values to 0 % in </a:t>
          </a:r>
          <a:r>
            <a:rPr kumimoji="0" lang="en-GB" sz="1050" b="0" i="1" u="sng" strike="noStrike" kern="0" cap="none" spc="0" normalizeH="0" baseline="0" noProof="0">
              <a:ln w="3175">
                <a:noFill/>
              </a:ln>
              <a:solidFill>
                <a:schemeClr val="tx1"/>
              </a:solidFill>
              <a:effectLst/>
              <a:uLnTx/>
              <a:uFillTx/>
              <a:latin typeface="Arial" panose="020B0604020202020204" pitchFamily="34" charset="0"/>
              <a:ea typeface="+mn-ea"/>
              <a:cs typeface="Arial" panose="020B0604020202020204" pitchFamily="34" charset="0"/>
            </a:rPr>
            <a:t>column U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u="sng"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3.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Calculations are performed in </a:t>
          </a:r>
          <a:r>
            <a:rPr kumimoji="0" lang="en-GB" sz="1100" b="0" i="0" u="sng"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columns V:FV</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 to see them: highlight columns -&gt; right click -&gt; select unhide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u="none" baseline="0">
            <a:latin typeface="Arial" panose="020B0604020202020204" pitchFamily="34" charset="0"/>
            <a:cs typeface="Arial" panose="020B0604020202020204" pitchFamily="34" charset="0"/>
          </a:endParaRPr>
        </a:p>
        <a:p>
          <a:r>
            <a:rPr lang="en-GB" sz="1100" b="1" baseline="0">
              <a:latin typeface="Arial" panose="020B0604020202020204" pitchFamily="34" charset="0"/>
              <a:cs typeface="Arial" panose="020B0604020202020204" pitchFamily="34" charset="0"/>
            </a:rPr>
            <a:t>4.</a:t>
          </a:r>
          <a:r>
            <a:rPr lang="en-GB" sz="1100" baseline="0">
              <a:latin typeface="Arial" panose="020B0604020202020204" pitchFamily="34" charset="0"/>
              <a:cs typeface="Arial" panose="020B0604020202020204" pitchFamily="34" charset="0"/>
            </a:rPr>
            <a:t> Results are summarised in </a:t>
          </a:r>
          <a:r>
            <a:rPr lang="en-GB" sz="1100" u="sng" baseline="0">
              <a:latin typeface="Arial" panose="020B0604020202020204" pitchFamily="34" charset="0"/>
              <a:cs typeface="Arial" panose="020B0604020202020204" pitchFamily="34" charset="0"/>
            </a:rPr>
            <a:t>columns FW:GJ</a:t>
          </a:r>
          <a:r>
            <a:rPr lang="en-GB" sz="1100" u="none" baseline="0">
              <a:latin typeface="Arial" panose="020B0604020202020204" pitchFamily="34" charset="0"/>
              <a:cs typeface="Arial" panose="020B0604020202020204" pitchFamily="34" charset="0"/>
            </a:rPr>
            <a:t> </a:t>
          </a:r>
        </a:p>
        <a:p>
          <a:endParaRPr lang="en-GB" sz="1100" u="none"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u="none" baseline="0">
              <a:latin typeface="Arial" panose="020B0604020202020204" pitchFamily="34" charset="0"/>
              <a:cs typeface="Arial" panose="020B0604020202020204" pitchFamily="34" charset="0"/>
            </a:rPr>
            <a:t>5. </a:t>
          </a:r>
          <a:r>
            <a:rPr lang="en-GB" sz="1100" b="0" u="none" baseline="0">
              <a:latin typeface="Arial" panose="020B0604020202020204" pitchFamily="34" charset="0"/>
              <a:cs typeface="Arial" panose="020B0604020202020204" pitchFamily="34" charset="0"/>
            </a:rPr>
            <a:t>Please cite this spreadsheet and the studies of the respective models if you use the calculations </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e.g. "We calculate Fe</a:t>
          </a:r>
          <a:r>
            <a:rPr kumimoji="0" lang="en-GB" sz="1100" b="0" i="0" u="none" strike="noStrike" kern="0" cap="none" spc="0" normalizeH="0" baseline="30000" noProof="0">
              <a:ln>
                <a:noFill/>
              </a:ln>
              <a:solidFill>
                <a:prstClr val="black"/>
              </a:solidFill>
              <a:effectLst/>
              <a:uLnTx/>
              <a:uFillTx/>
              <a:latin typeface="Arial" panose="020B0604020202020204" pitchFamily="34" charset="0"/>
              <a:ea typeface="+mn-ea"/>
              <a:cs typeface="Arial" panose="020B0604020202020204" pitchFamily="34" charset="0"/>
            </a:rPr>
            <a:t>3+</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a:t>
          </a:r>
          <a:r>
            <a:rPr kumimoji="0" lang="el-GR"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Σ</a:t>
          </a:r>
          <a:r>
            <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Fe ratios using the model of Kress and Carmichael (1991) implemented in the excel-based calculator of Gorojovsky &amp; Wood (2025)." </a:t>
          </a:r>
          <a:r>
            <a:rPr lang="en-GB" sz="1100" b="0" u="none" baseline="0">
              <a:latin typeface="Arial" panose="020B0604020202020204" pitchFamily="34" charset="0"/>
              <a:cs typeface="Arial" panose="020B0604020202020204" pitchFamily="34" charset="0"/>
            </a:rPr>
            <a:t> </a:t>
          </a:r>
          <a:r>
            <a:rPr lang="en-GB" sz="1100" b="0" u="none" baseline="0">
              <a:solidFill>
                <a:schemeClr val="dk1"/>
              </a:solidFill>
              <a:effectLst/>
              <a:latin typeface="Arial" panose="020B0604020202020204" pitchFamily="34" charset="0"/>
              <a:ea typeface="+mn-ea"/>
              <a:cs typeface="Arial" panose="020B0604020202020204" pitchFamily="34" charset="0"/>
            </a:rPr>
            <a:t>- full references of the models inlcuded in this workbork are provided below.</a:t>
          </a:r>
          <a:endParaRPr lang="en-GB" sz="1100" u="none">
            <a:effectLst/>
            <a:latin typeface="Arial" panose="020B0604020202020204" pitchFamily="34" charset="0"/>
            <a:cs typeface="Arial" panose="020B0604020202020204" pitchFamily="34" charset="0"/>
          </a:endParaRPr>
        </a:p>
        <a:p>
          <a:endParaRPr kumimoji="0" lang="en-GB" sz="11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endParaRPr lang="en-GB" sz="1200" u="none" baseline="0">
            <a:latin typeface="Arial" panose="020B0604020202020204" pitchFamily="34" charset="0"/>
            <a:cs typeface="Arial" panose="020B0604020202020204" pitchFamily="34" charset="0"/>
          </a:endParaRPr>
        </a:p>
        <a:p>
          <a:r>
            <a:rPr lang="en-GB" sz="1200" b="1" u="none" baseline="0">
              <a:latin typeface="Arial" panose="020B0604020202020204" pitchFamily="34" charset="0"/>
              <a:cs typeface="Arial" panose="020B0604020202020204" pitchFamily="34" charset="0"/>
            </a:rPr>
            <a:t>References:</a:t>
          </a:r>
        </a:p>
        <a:p>
          <a:endParaRPr lang="en-GB" sz="1200" b="1" u="none" baseline="0">
            <a:latin typeface="Arial" panose="020B0604020202020204" pitchFamily="34" charset="0"/>
            <a:cs typeface="Arial" panose="020B0604020202020204" pitchFamily="34" charset="0"/>
          </a:endParaRPr>
        </a:p>
        <a:p>
          <a:r>
            <a:rPr lang="en-GB" sz="1100">
              <a:solidFill>
                <a:schemeClr val="dk1"/>
              </a:solidFill>
              <a:effectLst/>
              <a:latin typeface="+mn-lt"/>
              <a:ea typeface="+mn-ea"/>
              <a:cs typeface="+mn-cs"/>
            </a:rPr>
            <a:t>Boulliung, J. and Wood, B.J. (2022) ‘SO2 solubility and degassing behavior in silicate melts’, Geochimica et Cosmochimica Acta, 336, pp. 150–164. </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Boulliung, J. and Wood, B.J. (2023) ‘Sulfur oxidation state and solubility in silicate melts’, Contributions to mineralogy and petrology, 178(8), p. 56.</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Frost, B.R. (1991) ‘Introduction to oxygen fugacity and its petrologic importance’, in Reviews in Mineralogy and Geochemistry. De Gruyter, pp. 1–9. </a:t>
          </a:r>
        </a:p>
        <a:p>
          <a:endParaRPr lang="en-GB"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Jugo, P.J., Wilke, M. and Botcharnikov, R.E. (2010) ‘Sulfur K-edge XANES analysis of natural and synthetic basaltic glasses: Implications for S speciation and S content as function of oxygen fugacity’, </a:t>
          </a:r>
          <a:r>
            <a:rPr lang="en-GB" sz="1100" i="1">
              <a:solidFill>
                <a:schemeClr val="dk1"/>
              </a:solidFill>
              <a:effectLst/>
              <a:latin typeface="+mn-lt"/>
              <a:ea typeface="+mn-ea"/>
              <a:cs typeface="+mn-cs"/>
            </a:rPr>
            <a:t>Geochimica et Cosmochimica Acta</a:t>
          </a:r>
          <a:r>
            <a:rPr lang="en-GB" sz="1100">
              <a:solidFill>
                <a:schemeClr val="dk1"/>
              </a:solidFill>
              <a:effectLst/>
              <a:latin typeface="+mn-lt"/>
              <a:ea typeface="+mn-ea"/>
              <a:cs typeface="+mn-cs"/>
            </a:rPr>
            <a:t>, 74(20), pp. 5926–5938</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Kress, V.C. and Carmichael, I.S.E. (1991) ‘The compressibility of silicate liquids containing Fe2O3 and the effect of composition, temperature, oxygen fugacity and pressure on their redox states’, Contributions to Mineralogy and Petrology, 108(1–2), pp. 82–92.</a:t>
          </a:r>
        </a:p>
        <a:p>
          <a:endParaRPr lang="en-GB"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a:effectLst/>
            </a:rPr>
            <a:t>Muth, M.J. and Cottrell, E. (2025) ‘The effect of pressure on sulfur valence state in mafic silicate melts’, </a:t>
          </a:r>
          <a:r>
            <a:rPr lang="en-GB" i="1">
              <a:effectLst/>
            </a:rPr>
            <a:t>Earth and Planetary Science Letters</a:t>
          </a:r>
          <a:r>
            <a:rPr lang="en-GB">
              <a:effectLst/>
            </a:rPr>
            <a:t>, 668, p. 119562. </a:t>
          </a:r>
          <a:endParaRPr lang="en-GB" sz="1100">
            <a:solidFill>
              <a:schemeClr val="dk1"/>
            </a:solidFill>
            <a:effectLst/>
            <a:latin typeface="+mn-lt"/>
            <a:ea typeface="+mn-ea"/>
            <a:cs typeface="+mn-cs"/>
          </a:endParaRP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Nash, W.M., Smythe, D.J. and Wood, B.J. (2019) ‘Compositional and temperature effects on sulfur speciation and solubility in silicate melts’, Earth and Planetary Science Letters, 507, pp. 187–198.</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O’Neill, H.S.C. (2021) ‘The Thermodynamic Controls on Sulfide Saturation in Silicate Melts with Application to Ocean Floor Basalts’, in Magma Redox Geochemistry. American Geophysical Union (Geophysical Monograph Series), pp. 177–213. </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O’Neill, H.St.C. and Mavrogenes, J.A. (2022) ‘The sulfate capacities of silicate melts’, Geochimica et Cosmochimica Acta, 334, pp. 368–382. </a:t>
          </a:r>
        </a:p>
        <a:p>
          <a:endParaRPr lang="en-GB" sz="1100" b="1" u="non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effectLst/>
            </a:rPr>
            <a:t>Thomas, R.W. and Wood, B.J. (2026) ‘Sulfur speciation in silicate melts at high pressure’, </a:t>
          </a:r>
          <a:r>
            <a:rPr lang="en-GB" sz="1100" i="1">
              <a:effectLst/>
            </a:rPr>
            <a:t>Geochimica et Cosmochimica Acta</a:t>
          </a:r>
          <a:r>
            <a:rPr lang="en-GB" sz="1100">
              <a:effectLst/>
            </a:rPr>
            <a:t>, 417, pp. 37–51.</a:t>
          </a:r>
        </a:p>
        <a:p>
          <a:endParaRPr lang="en-GB" sz="1200" b="1" u="none" baseline="0">
            <a:latin typeface="Arial" panose="020B0604020202020204" pitchFamily="34" charset="0"/>
            <a:cs typeface="Arial" panose="020B0604020202020204" pitchFamily="34" charset="0"/>
          </a:endParaRPr>
        </a:p>
        <a:p>
          <a:endParaRPr lang="en-GB" sz="1200" u="sng" baseline="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Lauren.gorojovsky@earth.ox.ac.uk"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56BC1-90A8-FB47-952F-6B98FDEDB24D}">
  <sheetPr codeName="Sheet1"/>
  <dimension ref="A1:K64"/>
  <sheetViews>
    <sheetView topLeftCell="A9" zoomScaleNormal="100" workbookViewId="0">
      <selection activeCell="D18" sqref="D18"/>
    </sheetView>
  </sheetViews>
  <sheetFormatPr defaultColWidth="8.83203125" defaultRowHeight="16" x14ac:dyDescent="0.4"/>
  <cols>
    <col min="4" max="5" width="8.83203125" style="94"/>
    <col min="6" max="6" width="13.83203125" style="94" customWidth="1"/>
    <col min="7" max="7" width="35.83203125" style="94" customWidth="1"/>
    <col min="8" max="8" width="26.83203125" style="94" customWidth="1"/>
    <col min="9" max="9" width="25.83203125" style="94" customWidth="1"/>
    <col min="10" max="10" width="8.83203125" style="94"/>
  </cols>
  <sheetData>
    <row r="1" spans="1:11" x14ac:dyDescent="0.4">
      <c r="B1" s="1"/>
      <c r="C1" s="1"/>
      <c r="D1" s="84"/>
      <c r="E1" s="84"/>
      <c r="F1" s="84"/>
      <c r="G1" s="84"/>
      <c r="H1" s="84"/>
      <c r="I1" s="84"/>
      <c r="J1" s="84"/>
      <c r="K1" s="1"/>
    </row>
    <row r="2" spans="1:11" x14ac:dyDescent="0.4">
      <c r="B2" s="1"/>
      <c r="C2" s="1"/>
      <c r="D2" s="84"/>
      <c r="E2" s="84"/>
      <c r="F2" s="84"/>
      <c r="G2" s="84"/>
      <c r="H2" s="84"/>
      <c r="I2" s="84"/>
      <c r="J2" s="84"/>
      <c r="K2" s="1"/>
    </row>
    <row r="3" spans="1:11" ht="34" customHeight="1" x14ac:dyDescent="0.4">
      <c r="A3" s="95"/>
      <c r="B3" s="99"/>
      <c r="C3" s="96"/>
      <c r="D3" s="97" t="s">
        <v>102</v>
      </c>
      <c r="E3" s="98"/>
      <c r="F3" s="98"/>
      <c r="G3" s="98"/>
      <c r="H3" s="98"/>
      <c r="I3" s="98"/>
      <c r="J3" s="98"/>
      <c r="K3" s="1"/>
    </row>
    <row r="4" spans="1:11" x14ac:dyDescent="0.4">
      <c r="B4" s="1"/>
      <c r="C4" s="1"/>
      <c r="D4" s="84"/>
      <c r="E4" s="84"/>
      <c r="F4" s="84"/>
      <c r="G4" s="84"/>
      <c r="H4" s="84"/>
      <c r="I4" s="84"/>
      <c r="J4" s="84"/>
      <c r="K4" s="1"/>
    </row>
    <row r="5" spans="1:11" x14ac:dyDescent="0.4">
      <c r="B5" s="1"/>
      <c r="C5" s="1"/>
      <c r="D5" s="103" t="s">
        <v>106</v>
      </c>
      <c r="E5" s="104"/>
      <c r="F5" s="104"/>
      <c r="G5" s="104"/>
      <c r="H5" s="104"/>
      <c r="I5" s="104"/>
      <c r="J5" s="84"/>
      <c r="K5" s="1"/>
    </row>
    <row r="6" spans="1:11" x14ac:dyDescent="0.4">
      <c r="A6" s="1"/>
      <c r="B6" s="1"/>
      <c r="C6" s="1"/>
      <c r="D6" s="103"/>
      <c r="E6" s="103" t="s">
        <v>135</v>
      </c>
      <c r="F6" s="104"/>
      <c r="G6" s="104"/>
      <c r="H6" s="104"/>
      <c r="I6" s="104"/>
      <c r="J6" s="84"/>
      <c r="K6" s="1"/>
    </row>
    <row r="7" spans="1:11" x14ac:dyDescent="0.4">
      <c r="A7" s="1"/>
      <c r="B7" s="1"/>
      <c r="C7" s="1"/>
      <c r="D7" s="103"/>
      <c r="E7" s="103"/>
      <c r="F7" s="104"/>
      <c r="G7" s="104"/>
      <c r="H7" s="104"/>
      <c r="I7" s="104"/>
      <c r="J7" s="84"/>
      <c r="K7" s="1"/>
    </row>
    <row r="8" spans="1:11" x14ac:dyDescent="0.4">
      <c r="A8" s="1"/>
      <c r="B8" s="1"/>
      <c r="C8" s="1"/>
      <c r="D8" s="103" t="s">
        <v>107</v>
      </c>
      <c r="E8" s="104"/>
      <c r="F8" s="104"/>
      <c r="G8" s="104"/>
      <c r="H8" s="104"/>
      <c r="I8" s="104"/>
      <c r="J8" s="84"/>
      <c r="K8" s="1"/>
    </row>
    <row r="9" spans="1:11" x14ac:dyDescent="0.4">
      <c r="B9" s="1"/>
      <c r="C9" s="1"/>
      <c r="D9" s="105" t="s">
        <v>104</v>
      </c>
      <c r="E9" s="104"/>
      <c r="F9" s="104"/>
      <c r="G9" s="104"/>
      <c r="H9" s="104"/>
      <c r="I9" s="104"/>
      <c r="J9" s="84"/>
      <c r="K9" s="1"/>
    </row>
    <row r="10" spans="1:11" x14ac:dyDescent="0.4">
      <c r="B10" s="1"/>
      <c r="C10" s="1"/>
      <c r="D10" s="101"/>
      <c r="E10" s="84"/>
      <c r="F10" s="84"/>
      <c r="G10" s="84"/>
      <c r="H10" s="84"/>
      <c r="I10" s="84"/>
      <c r="J10" s="84"/>
      <c r="K10" s="1"/>
    </row>
    <row r="11" spans="1:11" ht="19" x14ac:dyDescent="0.4">
      <c r="B11" s="1"/>
      <c r="C11" s="1"/>
      <c r="D11" s="102" t="s">
        <v>105</v>
      </c>
      <c r="E11" s="84"/>
      <c r="F11" s="84"/>
      <c r="G11" s="84"/>
      <c r="H11" s="84"/>
      <c r="I11" s="84"/>
      <c r="J11" s="84"/>
      <c r="K11" s="1"/>
    </row>
    <row r="12" spans="1:11" x14ac:dyDescent="0.4">
      <c r="B12" s="1"/>
      <c r="C12" s="1"/>
      <c r="D12" s="100"/>
      <c r="E12" s="84"/>
      <c r="F12" s="84"/>
      <c r="G12" s="84"/>
      <c r="H12" s="84"/>
      <c r="I12" s="84"/>
      <c r="J12" s="84"/>
      <c r="K12" s="1"/>
    </row>
    <row r="13" spans="1:11" x14ac:dyDescent="0.4">
      <c r="B13" s="1"/>
      <c r="C13" s="1"/>
      <c r="D13" s="100" t="s">
        <v>103</v>
      </c>
      <c r="E13" s="84"/>
      <c r="F13" s="84"/>
      <c r="G13" s="84"/>
      <c r="H13" s="84"/>
      <c r="I13" s="84"/>
      <c r="J13" s="84"/>
      <c r="K13" s="1"/>
    </row>
    <row r="14" spans="1:11" ht="19" customHeight="1" x14ac:dyDescent="0.4">
      <c r="B14" s="1"/>
      <c r="C14" s="1"/>
      <c r="D14" s="86" t="s">
        <v>85</v>
      </c>
      <c r="E14" s="86"/>
      <c r="F14" s="86"/>
      <c r="G14" s="86" t="s">
        <v>86</v>
      </c>
      <c r="H14" s="87" t="s">
        <v>87</v>
      </c>
      <c r="I14" s="87" t="s">
        <v>88</v>
      </c>
      <c r="J14" s="84"/>
      <c r="K14" s="1"/>
    </row>
    <row r="15" spans="1:11" ht="16.5" x14ac:dyDescent="0.4">
      <c r="B15" s="1"/>
      <c r="C15" s="1"/>
      <c r="D15" s="88" t="s">
        <v>89</v>
      </c>
      <c r="E15" s="89"/>
      <c r="F15" s="89"/>
      <c r="G15" s="89" t="s">
        <v>90</v>
      </c>
      <c r="H15" s="90" t="s">
        <v>92</v>
      </c>
      <c r="I15" s="90" t="s">
        <v>91</v>
      </c>
      <c r="J15" s="84"/>
      <c r="K15" s="1"/>
    </row>
    <row r="16" spans="1:11" ht="16.5" x14ac:dyDescent="0.4">
      <c r="B16" s="1"/>
      <c r="C16" s="1"/>
      <c r="D16" s="88" t="s">
        <v>89</v>
      </c>
      <c r="E16" s="89"/>
      <c r="F16" s="89"/>
      <c r="G16" s="89" t="s">
        <v>137</v>
      </c>
      <c r="H16" s="90" t="s">
        <v>92</v>
      </c>
      <c r="I16" s="90" t="s">
        <v>93</v>
      </c>
      <c r="J16" s="84"/>
      <c r="K16" s="1"/>
    </row>
    <row r="17" spans="2:11" ht="16.5" x14ac:dyDescent="0.4">
      <c r="B17" s="1"/>
      <c r="C17" s="1"/>
      <c r="D17" s="88" t="s">
        <v>89</v>
      </c>
      <c r="E17" s="89"/>
      <c r="F17" s="89"/>
      <c r="G17" s="89" t="s">
        <v>138</v>
      </c>
      <c r="H17" s="90" t="s">
        <v>92</v>
      </c>
      <c r="I17" s="90" t="s">
        <v>93</v>
      </c>
      <c r="J17" s="84"/>
      <c r="K17" s="1"/>
    </row>
    <row r="18" spans="2:11" ht="16.5" x14ac:dyDescent="0.4">
      <c r="B18" s="1"/>
      <c r="C18" s="1"/>
      <c r="D18" s="88" t="s">
        <v>144</v>
      </c>
      <c r="E18" s="89"/>
      <c r="F18" s="89"/>
      <c r="G18" s="89" t="s">
        <v>136</v>
      </c>
      <c r="H18" s="90" t="s">
        <v>139</v>
      </c>
      <c r="I18" s="90" t="s">
        <v>141</v>
      </c>
      <c r="J18" s="84"/>
      <c r="K18" s="1"/>
    </row>
    <row r="19" spans="2:11" ht="16.5" x14ac:dyDescent="0.4">
      <c r="B19" s="1"/>
      <c r="C19" s="1"/>
      <c r="D19" s="88" t="s">
        <v>144</v>
      </c>
      <c r="E19" s="89"/>
      <c r="F19" s="89"/>
      <c r="G19" s="89" t="s">
        <v>140</v>
      </c>
      <c r="H19" s="90" t="s">
        <v>143</v>
      </c>
      <c r="I19" s="90" t="s">
        <v>142</v>
      </c>
      <c r="J19" s="84"/>
      <c r="K19" s="1"/>
    </row>
    <row r="20" spans="2:11" ht="16.5" x14ac:dyDescent="0.4">
      <c r="B20" s="1"/>
      <c r="C20" s="1"/>
      <c r="D20" s="88" t="s">
        <v>94</v>
      </c>
      <c r="E20" s="89"/>
      <c r="F20" s="89"/>
      <c r="G20" s="89" t="s">
        <v>95</v>
      </c>
      <c r="H20" s="90" t="s">
        <v>96</v>
      </c>
      <c r="I20" s="90" t="s">
        <v>97</v>
      </c>
      <c r="J20" s="84"/>
      <c r="K20" s="1"/>
    </row>
    <row r="21" spans="2:11" ht="16.5" x14ac:dyDescent="0.4">
      <c r="B21" s="1"/>
      <c r="C21" s="1"/>
      <c r="D21" s="88" t="s">
        <v>94</v>
      </c>
      <c r="E21" s="89"/>
      <c r="F21" s="89"/>
      <c r="G21" s="89" t="s">
        <v>98</v>
      </c>
      <c r="H21" s="90" t="s">
        <v>92</v>
      </c>
      <c r="I21" s="90" t="s">
        <v>99</v>
      </c>
      <c r="J21" s="84"/>
      <c r="K21" s="1"/>
    </row>
    <row r="22" spans="2:11" ht="16.5" x14ac:dyDescent="0.4">
      <c r="B22" s="1"/>
      <c r="C22" s="1"/>
      <c r="D22" s="91" t="s">
        <v>100</v>
      </c>
      <c r="E22" s="92"/>
      <c r="F22" s="92"/>
      <c r="G22" s="92" t="s">
        <v>14</v>
      </c>
      <c r="H22" s="93" t="s">
        <v>92</v>
      </c>
      <c r="I22" s="93" t="s">
        <v>101</v>
      </c>
      <c r="J22" s="84"/>
      <c r="K22" s="1"/>
    </row>
    <row r="23" spans="2:11" x14ac:dyDescent="0.4">
      <c r="B23" s="1"/>
      <c r="C23" s="1"/>
      <c r="D23" s="85"/>
      <c r="E23" s="84"/>
      <c r="F23" s="84"/>
      <c r="G23" s="84"/>
      <c r="H23" s="84"/>
      <c r="I23" s="84"/>
      <c r="J23" s="84"/>
      <c r="K23" s="1"/>
    </row>
    <row r="24" spans="2:11" x14ac:dyDescent="0.4">
      <c r="B24" s="1"/>
      <c r="C24" s="1"/>
      <c r="D24" s="1"/>
      <c r="E24" s="1"/>
      <c r="F24" s="1"/>
      <c r="G24" s="1"/>
      <c r="H24" s="1"/>
      <c r="I24" s="1"/>
      <c r="J24" s="1"/>
      <c r="K24" s="1"/>
    </row>
    <row r="25" spans="2:11" x14ac:dyDescent="0.4">
      <c r="B25" s="1"/>
      <c r="C25" s="1"/>
      <c r="D25" s="1"/>
      <c r="E25" s="1"/>
      <c r="F25" s="1"/>
      <c r="G25" s="1"/>
      <c r="H25" s="1"/>
      <c r="I25" s="1"/>
      <c r="J25" s="1"/>
      <c r="K25" s="1"/>
    </row>
    <row r="26" spans="2:11" x14ac:dyDescent="0.4">
      <c r="B26" s="1"/>
      <c r="C26" s="1"/>
      <c r="D26" s="1"/>
      <c r="E26" s="1"/>
      <c r="F26" s="1"/>
      <c r="G26" s="1"/>
      <c r="H26" s="1"/>
      <c r="I26" s="1"/>
      <c r="J26" s="1"/>
      <c r="K26" s="1"/>
    </row>
    <row r="27" spans="2:11" x14ac:dyDescent="0.4">
      <c r="B27" s="1"/>
      <c r="C27" s="1"/>
      <c r="D27" s="1"/>
      <c r="E27" s="1"/>
      <c r="F27" s="1"/>
      <c r="G27" s="1"/>
      <c r="H27" s="1"/>
      <c r="I27" s="1"/>
      <c r="J27" s="1"/>
      <c r="K27" s="1"/>
    </row>
    <row r="28" spans="2:11" x14ac:dyDescent="0.4">
      <c r="B28" s="1"/>
      <c r="C28" s="1"/>
      <c r="D28" s="1"/>
      <c r="E28" s="1"/>
      <c r="F28" s="1"/>
      <c r="G28" s="1"/>
      <c r="H28" s="1"/>
      <c r="I28" s="1"/>
      <c r="J28" s="1"/>
      <c r="K28" s="1"/>
    </row>
    <row r="29" spans="2:11" x14ac:dyDescent="0.4">
      <c r="B29" s="1"/>
      <c r="C29" s="1"/>
      <c r="D29" s="1"/>
      <c r="E29" s="1"/>
      <c r="F29" s="1"/>
      <c r="G29" s="1"/>
      <c r="H29" s="1"/>
      <c r="I29" s="1"/>
      <c r="J29" s="1"/>
      <c r="K29" s="1"/>
    </row>
    <row r="30" spans="2:11" x14ac:dyDescent="0.4">
      <c r="B30" s="1"/>
      <c r="C30" s="1"/>
      <c r="D30" s="1"/>
      <c r="E30" s="1"/>
      <c r="F30" s="1"/>
      <c r="G30" s="1"/>
      <c r="H30" s="1"/>
      <c r="I30" s="1"/>
      <c r="J30" s="1"/>
      <c r="K30" s="1"/>
    </row>
    <row r="31" spans="2:11" x14ac:dyDescent="0.4">
      <c r="B31" s="1"/>
      <c r="C31" s="1"/>
      <c r="D31" s="1"/>
      <c r="E31" s="1"/>
      <c r="F31" s="1"/>
      <c r="G31" s="1"/>
      <c r="H31" s="1"/>
      <c r="I31" s="1"/>
      <c r="J31" s="1"/>
      <c r="K31" s="1"/>
    </row>
    <row r="32" spans="2:11" x14ac:dyDescent="0.4">
      <c r="B32" s="1"/>
      <c r="C32" s="1"/>
      <c r="D32" s="1"/>
      <c r="E32" s="1"/>
      <c r="F32" s="1"/>
      <c r="G32" s="1"/>
      <c r="H32" s="1"/>
      <c r="I32" s="1"/>
      <c r="J32" s="1"/>
      <c r="K32" s="1"/>
    </row>
    <row r="33" spans="2:11" x14ac:dyDescent="0.4">
      <c r="B33" s="1"/>
      <c r="C33" s="1"/>
      <c r="D33" s="1"/>
      <c r="E33" s="1"/>
      <c r="F33" s="1"/>
      <c r="G33" s="1"/>
      <c r="H33" s="1"/>
      <c r="I33" s="1"/>
      <c r="J33" s="1"/>
      <c r="K33" s="1"/>
    </row>
    <row r="34" spans="2:11" x14ac:dyDescent="0.4">
      <c r="B34" s="1"/>
      <c r="C34" s="1"/>
      <c r="D34" s="1"/>
      <c r="E34" s="1"/>
      <c r="F34" s="1"/>
      <c r="G34" s="1"/>
      <c r="H34" s="1"/>
      <c r="I34" s="1"/>
      <c r="J34" s="1"/>
      <c r="K34" s="1"/>
    </row>
    <row r="35" spans="2:11" x14ac:dyDescent="0.4">
      <c r="B35" s="1"/>
      <c r="C35" s="1"/>
      <c r="D35" s="1"/>
      <c r="E35" s="1"/>
      <c r="F35" s="1"/>
      <c r="G35" s="1"/>
      <c r="H35" s="1"/>
      <c r="I35" s="1"/>
      <c r="J35" s="1"/>
      <c r="K35" s="1"/>
    </row>
    <row r="36" spans="2:11" x14ac:dyDescent="0.4">
      <c r="B36" s="1"/>
      <c r="C36" s="1"/>
      <c r="D36" s="1"/>
      <c r="E36" s="1"/>
      <c r="F36" s="1"/>
      <c r="G36" s="1"/>
      <c r="H36" s="1"/>
      <c r="I36" s="1"/>
      <c r="J36" s="1"/>
      <c r="K36" s="1"/>
    </row>
    <row r="37" spans="2:11" x14ac:dyDescent="0.4">
      <c r="B37" s="1"/>
      <c r="C37" s="1"/>
      <c r="D37" s="1"/>
      <c r="E37" s="1"/>
      <c r="F37" s="1"/>
      <c r="G37" s="1"/>
      <c r="H37" s="1"/>
      <c r="I37" s="1"/>
      <c r="J37" s="1"/>
      <c r="K37" s="1"/>
    </row>
    <row r="38" spans="2:11" x14ac:dyDescent="0.4">
      <c r="B38" s="1"/>
      <c r="C38" s="1"/>
      <c r="D38" s="84"/>
      <c r="E38" s="84"/>
      <c r="F38" s="84"/>
      <c r="G38" s="84"/>
      <c r="H38" s="84"/>
      <c r="I38" s="84"/>
      <c r="J38" s="84"/>
      <c r="K38" s="1"/>
    </row>
    <row r="39" spans="2:11" x14ac:dyDescent="0.4">
      <c r="B39" s="1"/>
      <c r="C39" s="1"/>
      <c r="D39" s="84"/>
      <c r="E39" s="84"/>
      <c r="F39" s="84"/>
      <c r="G39" s="84"/>
      <c r="H39" s="84"/>
      <c r="I39" s="84"/>
      <c r="J39" s="84"/>
      <c r="K39" s="1"/>
    </row>
    <row r="40" spans="2:11" x14ac:dyDescent="0.4">
      <c r="B40" s="1"/>
      <c r="C40" s="1"/>
      <c r="D40" s="84"/>
      <c r="E40" s="84"/>
      <c r="F40" s="84"/>
      <c r="G40" s="84"/>
      <c r="H40" s="84"/>
      <c r="I40" s="84"/>
      <c r="J40" s="84"/>
      <c r="K40" s="1"/>
    </row>
    <row r="41" spans="2:11" x14ac:dyDescent="0.4">
      <c r="B41" s="1"/>
      <c r="C41" s="1"/>
      <c r="D41" s="84"/>
      <c r="E41" s="84"/>
      <c r="F41" s="84"/>
      <c r="G41" s="84"/>
      <c r="H41" s="84"/>
      <c r="I41" s="84"/>
      <c r="J41" s="84"/>
      <c r="K41" s="1"/>
    </row>
    <row r="42" spans="2:11" x14ac:dyDescent="0.4">
      <c r="B42" s="1"/>
      <c r="C42" s="1"/>
      <c r="D42" s="84"/>
      <c r="E42" s="84"/>
      <c r="F42" s="84"/>
      <c r="G42" s="84"/>
      <c r="H42" s="84"/>
      <c r="I42" s="84"/>
      <c r="J42" s="84"/>
      <c r="K42" s="1"/>
    </row>
    <row r="43" spans="2:11" x14ac:dyDescent="0.4">
      <c r="B43" s="1"/>
      <c r="C43" s="1"/>
      <c r="D43" s="84"/>
      <c r="E43" s="84"/>
      <c r="F43" s="84"/>
      <c r="G43" s="84"/>
      <c r="H43" s="84"/>
      <c r="I43" s="84"/>
      <c r="J43" s="84"/>
      <c r="K43" s="1"/>
    </row>
    <row r="44" spans="2:11" x14ac:dyDescent="0.4">
      <c r="B44" s="1"/>
      <c r="C44" s="1"/>
      <c r="D44" s="84"/>
      <c r="E44" s="84"/>
      <c r="F44" s="84"/>
      <c r="G44" s="84"/>
      <c r="H44" s="84"/>
      <c r="I44" s="84"/>
      <c r="J44" s="84"/>
      <c r="K44" s="1"/>
    </row>
    <row r="45" spans="2:11" x14ac:dyDescent="0.4">
      <c r="B45" s="1"/>
      <c r="C45" s="1"/>
      <c r="D45" s="84"/>
      <c r="E45" s="84"/>
      <c r="F45" s="84"/>
      <c r="G45" s="84"/>
      <c r="H45" s="84"/>
      <c r="I45" s="84"/>
      <c r="J45" s="84"/>
      <c r="K45" s="1"/>
    </row>
    <row r="46" spans="2:11" x14ac:dyDescent="0.4">
      <c r="B46" s="1"/>
      <c r="C46" s="1"/>
      <c r="D46" s="84"/>
      <c r="E46" s="84"/>
      <c r="F46" s="84"/>
      <c r="G46" s="84"/>
      <c r="H46" s="84"/>
      <c r="I46" s="84"/>
      <c r="J46" s="84"/>
      <c r="K46" s="1"/>
    </row>
    <row r="47" spans="2:11" x14ac:dyDescent="0.4">
      <c r="B47" s="1"/>
      <c r="C47" s="1"/>
      <c r="D47" s="84"/>
      <c r="E47" s="84"/>
      <c r="F47" s="84"/>
      <c r="G47" s="84"/>
      <c r="H47" s="84"/>
      <c r="I47" s="84"/>
      <c r="J47" s="84"/>
      <c r="K47" s="1"/>
    </row>
    <row r="48" spans="2:11" x14ac:dyDescent="0.4">
      <c r="B48" s="1"/>
      <c r="C48" s="1"/>
      <c r="D48" s="84"/>
      <c r="E48" s="84"/>
      <c r="F48" s="84"/>
      <c r="G48" s="84"/>
      <c r="H48" s="84"/>
      <c r="I48" s="84"/>
      <c r="J48" s="84"/>
      <c r="K48" s="1"/>
    </row>
    <row r="49" spans="2:11" x14ac:dyDescent="0.4">
      <c r="B49" s="1"/>
      <c r="C49" s="1"/>
      <c r="D49" s="84"/>
      <c r="E49" s="84"/>
      <c r="F49" s="84"/>
      <c r="G49" s="84"/>
      <c r="H49" s="84"/>
      <c r="I49" s="84"/>
      <c r="J49" s="84"/>
      <c r="K49" s="1"/>
    </row>
    <row r="50" spans="2:11" x14ac:dyDescent="0.4">
      <c r="B50" s="1"/>
      <c r="C50" s="1"/>
      <c r="D50" s="84"/>
      <c r="E50" s="84"/>
      <c r="F50" s="84"/>
      <c r="G50" s="84"/>
      <c r="H50" s="84"/>
      <c r="I50" s="84"/>
      <c r="J50" s="84"/>
      <c r="K50" s="1"/>
    </row>
    <row r="51" spans="2:11" x14ac:dyDescent="0.4">
      <c r="B51" s="1"/>
      <c r="C51" s="1"/>
      <c r="D51" s="84"/>
      <c r="E51" s="84"/>
      <c r="F51" s="84"/>
      <c r="G51" s="84"/>
      <c r="H51" s="84"/>
      <c r="I51" s="84"/>
      <c r="J51" s="84"/>
      <c r="K51" s="1"/>
    </row>
    <row r="52" spans="2:11" x14ac:dyDescent="0.4">
      <c r="B52" s="1"/>
      <c r="C52" s="1"/>
      <c r="D52" s="84"/>
      <c r="E52" s="84"/>
      <c r="F52" s="84"/>
      <c r="G52" s="84"/>
      <c r="H52" s="84"/>
      <c r="I52" s="84"/>
      <c r="J52" s="84"/>
      <c r="K52" s="1"/>
    </row>
    <row r="53" spans="2:11" x14ac:dyDescent="0.4">
      <c r="B53" s="1"/>
      <c r="C53" s="1"/>
      <c r="D53" s="84"/>
      <c r="E53" s="84"/>
      <c r="F53" s="84"/>
      <c r="G53" s="84"/>
      <c r="H53" s="84"/>
      <c r="I53" s="84"/>
      <c r="J53" s="84"/>
      <c r="K53" s="1"/>
    </row>
    <row r="54" spans="2:11" x14ac:dyDescent="0.4">
      <c r="B54" s="1"/>
      <c r="C54" s="1"/>
      <c r="D54" s="84"/>
      <c r="E54" s="84"/>
      <c r="F54" s="84"/>
      <c r="G54" s="84"/>
      <c r="H54" s="84"/>
      <c r="I54" s="84"/>
      <c r="J54" s="84"/>
      <c r="K54" s="1"/>
    </row>
    <row r="55" spans="2:11" x14ac:dyDescent="0.4">
      <c r="B55" s="1"/>
      <c r="C55" s="1"/>
      <c r="D55" s="84"/>
      <c r="E55" s="84"/>
      <c r="F55" s="84"/>
      <c r="G55" s="84"/>
      <c r="H55" s="84"/>
      <c r="I55" s="84"/>
      <c r="J55" s="84"/>
      <c r="K55" s="1"/>
    </row>
    <row r="56" spans="2:11" x14ac:dyDescent="0.4">
      <c r="B56" s="1"/>
      <c r="C56" s="1"/>
      <c r="D56" s="84"/>
      <c r="E56" s="84"/>
      <c r="F56" s="84"/>
      <c r="G56" s="84"/>
      <c r="H56" s="84"/>
      <c r="I56" s="84"/>
      <c r="J56" s="84"/>
      <c r="K56" s="1"/>
    </row>
    <row r="57" spans="2:11" x14ac:dyDescent="0.4">
      <c r="B57" s="1"/>
      <c r="C57" s="1"/>
      <c r="D57" s="84"/>
      <c r="E57" s="84"/>
      <c r="F57" s="84"/>
      <c r="G57" s="84"/>
      <c r="H57" s="84"/>
      <c r="I57" s="84"/>
      <c r="J57" s="84"/>
      <c r="K57" s="1"/>
    </row>
    <row r="58" spans="2:11" x14ac:dyDescent="0.4">
      <c r="B58" s="1"/>
      <c r="C58" s="1"/>
      <c r="D58" s="84"/>
      <c r="E58" s="84"/>
      <c r="F58" s="84"/>
      <c r="G58" s="84"/>
      <c r="H58" s="84"/>
      <c r="I58" s="84"/>
      <c r="J58" s="84"/>
      <c r="K58" s="1"/>
    </row>
    <row r="59" spans="2:11" x14ac:dyDescent="0.4">
      <c r="B59" s="1"/>
      <c r="C59" s="1"/>
      <c r="D59" s="84"/>
      <c r="E59" s="84"/>
      <c r="F59" s="84"/>
      <c r="G59" s="84"/>
      <c r="H59" s="84"/>
      <c r="I59" s="84"/>
      <c r="J59" s="84"/>
      <c r="K59" s="1"/>
    </row>
    <row r="60" spans="2:11" x14ac:dyDescent="0.4">
      <c r="B60" s="1"/>
      <c r="C60" s="1"/>
      <c r="D60" s="84"/>
      <c r="E60" s="84"/>
      <c r="F60" s="84"/>
      <c r="G60" s="84"/>
      <c r="H60" s="84"/>
      <c r="I60" s="84"/>
      <c r="J60" s="84"/>
      <c r="K60" s="1"/>
    </row>
    <row r="61" spans="2:11" x14ac:dyDescent="0.4">
      <c r="B61" s="1"/>
      <c r="C61" s="1"/>
      <c r="D61" s="84"/>
      <c r="E61" s="84"/>
      <c r="F61" s="84"/>
      <c r="G61" s="84"/>
      <c r="H61" s="84"/>
      <c r="I61" s="84"/>
      <c r="J61" s="84"/>
      <c r="K61" s="1"/>
    </row>
    <row r="62" spans="2:11" x14ac:dyDescent="0.4">
      <c r="B62" s="1"/>
      <c r="C62" s="1"/>
      <c r="D62" s="84"/>
      <c r="E62" s="84"/>
      <c r="F62" s="84"/>
      <c r="G62" s="84"/>
      <c r="H62" s="84"/>
      <c r="I62" s="84"/>
      <c r="J62" s="84"/>
      <c r="K62" s="1"/>
    </row>
    <row r="63" spans="2:11" x14ac:dyDescent="0.4">
      <c r="B63" s="1"/>
      <c r="C63" s="1"/>
      <c r="D63" s="84"/>
      <c r="E63" s="84"/>
      <c r="F63" s="84"/>
      <c r="G63" s="84"/>
      <c r="H63" s="84"/>
      <c r="I63" s="84"/>
      <c r="J63" s="84"/>
      <c r="K63" s="1"/>
    </row>
    <row r="64" spans="2:11" x14ac:dyDescent="0.4">
      <c r="B64" s="1"/>
      <c r="C64" s="1"/>
      <c r="D64" s="84"/>
      <c r="E64" s="84"/>
      <c r="F64" s="84"/>
      <c r="G64" s="84"/>
      <c r="H64" s="84"/>
      <c r="I64" s="84"/>
      <c r="J64" s="84"/>
      <c r="K64" s="1"/>
    </row>
  </sheetData>
  <hyperlinks>
    <hyperlink ref="D9" r:id="rId1" xr:uid="{35C4AFAA-3F69-1940-A6EB-8BEA35FD284E}"/>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890D1-CF72-B843-A5B5-B028C2DA0140}">
  <dimension ref="A1:GR141"/>
  <sheetViews>
    <sheetView tabSelected="1" topLeftCell="A5" zoomScale="112" zoomScaleNormal="20" workbookViewId="0">
      <selection activeCell="L15" sqref="L15"/>
    </sheetView>
  </sheetViews>
  <sheetFormatPr defaultColWidth="8.5" defaultRowHeight="16" x14ac:dyDescent="0.4"/>
  <cols>
    <col min="1" max="1" width="8.5" style="2"/>
    <col min="2" max="3" width="14" style="2" customWidth="1"/>
    <col min="4" max="5" width="8.5" style="2"/>
    <col min="6" max="6" width="39.33203125" style="2" customWidth="1"/>
    <col min="7" max="8" width="10" style="2" customWidth="1"/>
    <col min="9" max="18" width="10.1640625" style="2" customWidth="1"/>
    <col min="19" max="21" width="10.5" style="2" customWidth="1"/>
    <col min="22" max="131" width="11.5" style="2" customWidth="1"/>
    <col min="132" max="134" width="14.5" style="2" customWidth="1"/>
    <col min="135" max="135" width="11.5" style="2" customWidth="1"/>
    <col min="136" max="136" width="14.5" style="130" customWidth="1"/>
    <col min="137" max="144" width="14.5" style="2" customWidth="1"/>
    <col min="145" max="145" width="11.5" style="2" customWidth="1"/>
    <col min="146" max="148" width="14.5" style="2" customWidth="1"/>
    <col min="149" max="149" width="11.5" style="2" customWidth="1"/>
    <col min="150" max="157" width="14.5" style="2" customWidth="1"/>
    <col min="158" max="158" width="11.5" style="2" customWidth="1"/>
    <col min="159" max="159" width="13.6640625" style="2" customWidth="1"/>
    <col min="160" max="160" width="14.5" style="2" customWidth="1"/>
    <col min="161" max="168" width="11.5" style="2" customWidth="1"/>
    <col min="169" max="173" width="14.5" style="2" customWidth="1"/>
    <col min="174" max="174" width="11.5" style="2" customWidth="1"/>
    <col min="175" max="177" width="16.83203125" style="2" customWidth="1"/>
    <col min="178" max="179" width="14.5" style="2" customWidth="1"/>
    <col min="180" max="180" width="13.33203125" style="2" customWidth="1"/>
    <col min="181" max="181" width="11.5" style="2" customWidth="1"/>
    <col min="182" max="184" width="14.5" style="2" customWidth="1"/>
    <col min="185" max="185" width="10.33203125" style="2" customWidth="1"/>
    <col min="186" max="186" width="13" style="2" customWidth="1"/>
    <col min="187" max="191" width="14.5" style="2" customWidth="1"/>
    <col min="192" max="192" width="11.5" style="2" customWidth="1"/>
    <col min="193" max="194" width="12.5" style="2" customWidth="1"/>
    <col min="195" max="195" width="10.1640625" style="2" customWidth="1"/>
    <col min="196" max="196" width="11.83203125" style="2" customWidth="1"/>
    <col min="197" max="197" width="18.5" style="2" customWidth="1"/>
    <col min="198" max="199" width="14.1640625" style="2" customWidth="1"/>
    <col min="200" max="201" width="14.1640625" customWidth="1"/>
    <col min="202" max="206" width="17.5" customWidth="1"/>
  </cols>
  <sheetData>
    <row r="1" spans="1:200" ht="16.5" thickTop="1" x14ac:dyDescent="0.4">
      <c r="A1" s="34"/>
      <c r="B1" s="21"/>
      <c r="C1" s="21"/>
      <c r="D1" s="34"/>
      <c r="E1" s="34"/>
      <c r="F1" s="34"/>
      <c r="G1" s="34"/>
      <c r="H1" s="34"/>
      <c r="I1" s="34"/>
      <c r="J1" s="34"/>
      <c r="K1" s="34"/>
      <c r="L1" s="34"/>
      <c r="M1" s="34"/>
      <c r="N1" s="34"/>
      <c r="O1" s="34"/>
      <c r="P1" s="34"/>
      <c r="Q1" s="34"/>
      <c r="R1" s="34"/>
      <c r="S1" s="34"/>
      <c r="T1" s="3"/>
      <c r="U1" s="83"/>
      <c r="V1" s="82" t="s">
        <v>0</v>
      </c>
      <c r="W1" s="81"/>
      <c r="X1" s="79"/>
      <c r="Y1" s="79"/>
      <c r="Z1" s="79"/>
      <c r="AA1" s="79"/>
      <c r="AB1" s="79"/>
      <c r="AC1" s="79"/>
      <c r="AD1" s="79"/>
      <c r="AE1" s="79"/>
      <c r="AF1" s="79"/>
      <c r="AG1" s="79"/>
      <c r="AH1" s="79"/>
      <c r="AI1" s="79"/>
      <c r="AJ1" s="79"/>
      <c r="AK1" s="80"/>
      <c r="AL1" s="80"/>
      <c r="AM1" s="80"/>
      <c r="AN1" s="80"/>
      <c r="AO1" s="80"/>
      <c r="AP1" s="80"/>
      <c r="AQ1" s="80"/>
      <c r="AR1" s="80"/>
      <c r="AS1" s="80"/>
      <c r="AT1" s="80"/>
      <c r="AU1" s="80"/>
      <c r="AV1" s="80"/>
      <c r="AW1" s="80"/>
      <c r="AX1" s="80"/>
      <c r="AY1" s="80"/>
      <c r="AZ1" s="80"/>
      <c r="BA1" s="80"/>
      <c r="BB1" s="80"/>
      <c r="BC1" s="80"/>
      <c r="BD1" s="80"/>
      <c r="BE1" s="80"/>
      <c r="BF1" s="80"/>
      <c r="BG1" s="80"/>
      <c r="BH1" s="80"/>
      <c r="BI1" s="80"/>
      <c r="BJ1" s="80"/>
      <c r="BK1" s="80"/>
      <c r="BL1" s="80"/>
      <c r="BM1" s="80"/>
      <c r="BN1" s="80"/>
      <c r="BO1" s="80"/>
      <c r="BP1" s="80"/>
      <c r="BQ1" s="80"/>
      <c r="BR1" s="79"/>
      <c r="BS1" s="79"/>
      <c r="BT1" s="79"/>
      <c r="BU1" s="79"/>
      <c r="BV1" s="79"/>
      <c r="BW1" s="79"/>
      <c r="BX1" s="79"/>
      <c r="BY1" s="79"/>
      <c r="BZ1" s="79"/>
      <c r="CA1" s="79"/>
      <c r="CB1" s="79"/>
      <c r="CC1" s="79"/>
      <c r="CD1" s="79"/>
      <c r="CE1" s="79"/>
      <c r="CF1" s="79"/>
      <c r="CG1" s="79"/>
      <c r="CH1" s="79"/>
      <c r="CI1" s="79"/>
      <c r="CJ1" s="79"/>
      <c r="CK1" s="79"/>
      <c r="CL1" s="79"/>
      <c r="CM1" s="79"/>
      <c r="CN1" s="79"/>
      <c r="CO1" s="79"/>
      <c r="CP1" s="79"/>
      <c r="CQ1" s="79"/>
      <c r="CR1" s="79"/>
      <c r="CS1" s="79"/>
      <c r="CT1" s="79"/>
      <c r="CU1" s="79"/>
      <c r="CV1" s="80"/>
      <c r="CW1" s="80"/>
      <c r="CX1" s="79"/>
      <c r="CY1" s="79"/>
      <c r="CZ1" s="79"/>
      <c r="DA1" s="79"/>
      <c r="DB1" s="79"/>
      <c r="DC1" s="79"/>
      <c r="DD1" s="79"/>
      <c r="DE1" s="79"/>
      <c r="DF1" s="79"/>
      <c r="DG1" s="79"/>
      <c r="DH1" s="79"/>
      <c r="DI1" s="79"/>
      <c r="DJ1" s="79"/>
      <c r="DK1" s="79"/>
      <c r="DL1" s="79"/>
      <c r="DM1" s="79"/>
      <c r="DN1" s="79"/>
      <c r="DO1" s="79"/>
      <c r="DP1" s="79"/>
      <c r="DQ1" s="79"/>
      <c r="DR1" s="79"/>
      <c r="DS1" s="79"/>
      <c r="DT1" s="79"/>
      <c r="DU1" s="79"/>
      <c r="DV1" s="79"/>
      <c r="DW1" s="79"/>
      <c r="DX1" s="79"/>
      <c r="DY1" s="79"/>
      <c r="DZ1" s="79"/>
      <c r="EA1" s="79"/>
      <c r="EB1" s="79"/>
      <c r="EC1" s="79"/>
      <c r="ED1" s="79"/>
      <c r="EE1" s="79"/>
      <c r="EF1" s="125"/>
      <c r="EG1" s="79"/>
      <c r="EH1" s="79"/>
      <c r="EI1" s="79"/>
      <c r="EJ1" s="79"/>
      <c r="EK1" s="79"/>
      <c r="EL1" s="79"/>
      <c r="EM1" s="79"/>
      <c r="EN1" s="79"/>
      <c r="EO1" s="79"/>
      <c r="EP1" s="79"/>
      <c r="EQ1" s="79"/>
      <c r="ER1" s="79"/>
      <c r="ES1" s="79"/>
      <c r="ET1" s="79"/>
      <c r="EU1" s="79"/>
      <c r="EV1" s="79"/>
      <c r="EW1" s="79"/>
      <c r="EX1" s="79"/>
      <c r="EY1" s="79"/>
      <c r="EZ1" s="79"/>
      <c r="FA1" s="79"/>
      <c r="FB1" s="79"/>
      <c r="FC1" s="79"/>
      <c r="FD1" s="79"/>
      <c r="FE1" s="79"/>
      <c r="FF1" s="79"/>
      <c r="FG1" s="79"/>
      <c r="FH1" s="79"/>
      <c r="FI1" s="79"/>
      <c r="FJ1" s="79"/>
      <c r="FK1" s="79"/>
      <c r="FL1" s="79"/>
      <c r="FM1" s="79"/>
      <c r="FN1" s="79"/>
      <c r="FO1" s="79"/>
      <c r="FP1" s="79"/>
      <c r="FQ1" s="79"/>
      <c r="FR1" s="79"/>
      <c r="FS1" s="79"/>
      <c r="FT1" s="79"/>
      <c r="FU1" s="79"/>
      <c r="FV1" s="79"/>
      <c r="FW1" s="79"/>
      <c r="FX1" s="79"/>
      <c r="FY1" s="79"/>
      <c r="FZ1" s="79"/>
      <c r="GA1" s="79"/>
      <c r="GB1" s="79"/>
      <c r="GC1" s="78" t="s">
        <v>1</v>
      </c>
      <c r="GD1" s="77"/>
      <c r="GE1" s="1"/>
      <c r="GF1" s="1"/>
      <c r="GG1" s="1"/>
      <c r="GH1" s="1"/>
      <c r="GI1" s="1"/>
      <c r="GJ1" s="1"/>
      <c r="GK1" s="1"/>
      <c r="GL1" s="34"/>
      <c r="GM1" s="3"/>
      <c r="GN1" s="34"/>
      <c r="GO1" s="34"/>
      <c r="GP1" s="21"/>
      <c r="GQ1" s="34"/>
      <c r="GR1" s="1"/>
    </row>
    <row r="2" spans="1:200" ht="32.5" customHeight="1" thickBot="1" x14ac:dyDescent="0.55000000000000004">
      <c r="A2" s="34"/>
      <c r="B2" s="21"/>
      <c r="C2" s="21"/>
      <c r="D2" s="34"/>
      <c r="E2" s="34"/>
      <c r="F2" s="34"/>
      <c r="G2" s="34"/>
      <c r="H2" s="34"/>
      <c r="I2" s="34"/>
      <c r="J2" s="34"/>
      <c r="K2" s="34"/>
      <c r="L2" s="34"/>
      <c r="M2" s="34"/>
      <c r="N2" s="34"/>
      <c r="O2" s="34"/>
      <c r="P2" s="34"/>
      <c r="Q2" s="34"/>
      <c r="R2" s="34"/>
      <c r="S2" s="34"/>
      <c r="T2" s="3"/>
      <c r="U2" s="170" t="s">
        <v>2</v>
      </c>
      <c r="V2" s="171"/>
      <c r="W2" s="171"/>
      <c r="X2" s="171"/>
      <c r="Y2" s="171"/>
      <c r="Z2" s="171"/>
      <c r="AA2" s="171"/>
      <c r="AB2" s="171"/>
      <c r="AC2" s="171"/>
      <c r="AD2" s="171"/>
      <c r="AE2" s="171"/>
      <c r="AF2" s="171"/>
      <c r="AG2" s="171"/>
      <c r="AH2" s="171"/>
      <c r="AI2" s="171"/>
      <c r="AJ2" s="171"/>
      <c r="AK2" s="171"/>
      <c r="AL2" s="171"/>
      <c r="AM2" s="171"/>
      <c r="AN2" s="171"/>
      <c r="AO2" s="171"/>
      <c r="AP2" s="171"/>
      <c r="AQ2" s="171"/>
      <c r="AR2" s="171"/>
      <c r="AS2" s="171"/>
      <c r="AT2" s="171"/>
      <c r="AU2" s="171"/>
      <c r="AV2" s="171"/>
      <c r="AW2" s="171"/>
      <c r="AX2" s="171"/>
      <c r="AY2" s="171"/>
      <c r="AZ2" s="171"/>
      <c r="BA2" s="171"/>
      <c r="BB2" s="171"/>
      <c r="BC2" s="171"/>
      <c r="BD2" s="171"/>
      <c r="BE2" s="171"/>
      <c r="BF2" s="171"/>
      <c r="BG2" s="171"/>
      <c r="BH2" s="171"/>
      <c r="BI2" s="171"/>
      <c r="BJ2" s="171"/>
      <c r="BK2" s="171"/>
      <c r="BL2" s="171"/>
      <c r="BM2" s="171"/>
      <c r="BN2" s="171"/>
      <c r="BO2" s="171"/>
      <c r="BP2" s="171"/>
      <c r="BQ2" s="171"/>
      <c r="BR2" s="171"/>
      <c r="BS2" s="171"/>
      <c r="BT2" s="171"/>
      <c r="BU2" s="171"/>
      <c r="BV2" s="171"/>
      <c r="BW2" s="171"/>
      <c r="BX2" s="171"/>
      <c r="BY2" s="171"/>
      <c r="BZ2" s="171"/>
      <c r="CA2" s="171"/>
      <c r="CB2" s="171"/>
      <c r="CC2" s="171"/>
      <c r="CD2" s="171"/>
      <c r="CE2" s="171"/>
      <c r="CF2" s="171"/>
      <c r="CG2" s="171"/>
      <c r="CH2" s="171"/>
      <c r="CI2" s="171"/>
      <c r="CJ2" s="171"/>
      <c r="CK2" s="171"/>
      <c r="CL2" s="171"/>
      <c r="CM2" s="171"/>
      <c r="CN2" s="171"/>
      <c r="CO2" s="171"/>
      <c r="CP2" s="171"/>
      <c r="CQ2" s="171"/>
      <c r="CR2" s="171"/>
      <c r="CS2" s="171"/>
      <c r="CT2" s="171"/>
      <c r="CU2" s="171"/>
      <c r="CV2" s="171"/>
      <c r="CW2" s="171"/>
      <c r="CX2" s="171"/>
      <c r="CY2" s="171"/>
      <c r="CZ2" s="171"/>
      <c r="DA2" s="171"/>
      <c r="DB2" s="171"/>
      <c r="DC2" s="171"/>
      <c r="DD2" s="171"/>
      <c r="DE2" s="171"/>
      <c r="DF2" s="171"/>
      <c r="DG2" s="171"/>
      <c r="DH2" s="171"/>
      <c r="DI2" s="171"/>
      <c r="DJ2" s="171"/>
      <c r="DK2" s="171"/>
      <c r="DL2" s="171"/>
      <c r="DM2" s="171"/>
      <c r="DN2" s="171"/>
      <c r="DO2" s="171"/>
      <c r="DP2" s="171"/>
      <c r="DQ2" s="171"/>
      <c r="DR2" s="171"/>
      <c r="DS2" s="171"/>
      <c r="DT2" s="171"/>
      <c r="DU2" s="171"/>
      <c r="DV2" s="171"/>
      <c r="DW2" s="171"/>
      <c r="DX2" s="171"/>
      <c r="DY2" s="171"/>
      <c r="DZ2" s="171"/>
      <c r="EA2" s="171"/>
      <c r="EB2" s="171"/>
      <c r="EC2" s="171"/>
      <c r="ED2" s="171"/>
      <c r="EE2" s="171"/>
      <c r="EF2" s="171"/>
      <c r="EG2" s="171"/>
      <c r="EH2" s="171"/>
      <c r="EI2" s="171"/>
      <c r="EJ2" s="171"/>
      <c r="EK2" s="171"/>
      <c r="EL2" s="171"/>
      <c r="EM2" s="171"/>
      <c r="EN2" s="171"/>
      <c r="EO2" s="171"/>
      <c r="EP2" s="171"/>
      <c r="EQ2" s="171"/>
      <c r="ER2" s="171"/>
      <c r="ES2" s="171"/>
      <c r="ET2" s="171"/>
      <c r="EU2" s="171"/>
      <c r="EV2" s="171"/>
      <c r="EW2" s="171"/>
      <c r="EX2" s="171"/>
      <c r="EY2" s="171"/>
      <c r="EZ2" s="171"/>
      <c r="FA2" s="171"/>
      <c r="FB2" s="171"/>
      <c r="FC2" s="171"/>
      <c r="FD2" s="171"/>
      <c r="FE2" s="171"/>
      <c r="FF2" s="171"/>
      <c r="FG2" s="171"/>
      <c r="FH2" s="171"/>
      <c r="FI2" s="171"/>
      <c r="FJ2" s="171"/>
      <c r="FK2" s="171"/>
      <c r="FL2" s="171"/>
      <c r="FM2" s="171"/>
      <c r="FN2" s="171"/>
      <c r="FO2" s="171"/>
      <c r="FP2" s="171"/>
      <c r="FQ2" s="171"/>
      <c r="FR2" s="171"/>
      <c r="FS2" s="171"/>
      <c r="FT2" s="171"/>
      <c r="FU2" s="171"/>
      <c r="FV2" s="171"/>
      <c r="FW2" s="171"/>
      <c r="FX2" s="171"/>
      <c r="FY2" s="171"/>
      <c r="FZ2" s="171"/>
      <c r="GA2" s="171"/>
      <c r="GB2" s="171"/>
      <c r="GC2" s="171"/>
      <c r="GD2" s="172"/>
      <c r="GE2" s="1"/>
      <c r="GF2" s="1"/>
      <c r="GG2" s="1"/>
      <c r="GH2" s="1"/>
      <c r="GI2" s="1"/>
      <c r="GJ2" s="1"/>
      <c r="GK2" s="1"/>
      <c r="GL2" s="116"/>
      <c r="GM2" s="3"/>
      <c r="GN2" s="34"/>
      <c r="GO2" s="34"/>
      <c r="GP2" s="21"/>
      <c r="GQ2" s="34"/>
      <c r="GR2" s="1"/>
    </row>
    <row r="3" spans="1:200" ht="16.5" thickTop="1" x14ac:dyDescent="0.4">
      <c r="A3" s="34"/>
      <c r="B3" s="21"/>
      <c r="C3" s="21"/>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c r="AG3" s="34"/>
      <c r="AH3" s="34"/>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21"/>
      <c r="CT3" s="21"/>
      <c r="CU3" s="21"/>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c r="EE3" s="34"/>
      <c r="EF3" s="126"/>
      <c r="EG3" s="34"/>
      <c r="EH3" s="34"/>
      <c r="EI3" s="34"/>
      <c r="EJ3" s="34"/>
      <c r="EK3" s="34"/>
      <c r="EL3" s="34"/>
      <c r="EM3" s="34"/>
      <c r="EN3" s="34"/>
      <c r="EO3" s="34"/>
      <c r="EP3" s="34"/>
      <c r="EQ3" s="34"/>
      <c r="ER3" s="34"/>
      <c r="ES3" s="34"/>
      <c r="ET3" s="34"/>
      <c r="EU3" s="34"/>
      <c r="EV3" s="34"/>
      <c r="EW3" s="34"/>
      <c r="EX3" s="34"/>
      <c r="EY3" s="34"/>
      <c r="EZ3" s="34"/>
      <c r="FA3" s="34"/>
      <c r="FB3" s="34"/>
      <c r="FC3" s="34"/>
      <c r="FD3" s="34"/>
      <c r="FE3" s="34"/>
      <c r="FF3" s="34"/>
      <c r="FG3" s="34"/>
      <c r="FH3" s="34"/>
      <c r="FI3" s="34"/>
      <c r="FJ3" s="34"/>
      <c r="FK3" s="34"/>
      <c r="FL3" s="34"/>
      <c r="FM3" s="34"/>
      <c r="FN3" s="34"/>
      <c r="FO3" s="34"/>
      <c r="FP3" s="34"/>
      <c r="FQ3" s="34"/>
      <c r="FR3" s="34"/>
      <c r="FS3" s="34"/>
      <c r="FT3" s="34"/>
      <c r="FU3" s="34"/>
      <c r="FV3" s="34"/>
      <c r="FW3" s="34"/>
      <c r="FX3" s="34"/>
      <c r="FY3" s="34"/>
      <c r="FZ3" s="34"/>
      <c r="GA3" s="34"/>
      <c r="GB3" s="34"/>
      <c r="GC3" s="34"/>
      <c r="GD3" s="34"/>
      <c r="GE3" s="34"/>
      <c r="GF3" s="34"/>
      <c r="GG3" s="34"/>
      <c r="GH3" s="34"/>
      <c r="GI3" s="34"/>
      <c r="GJ3" s="34"/>
      <c r="GK3" s="34"/>
      <c r="GL3" s="34"/>
      <c r="GM3" s="34"/>
      <c r="GN3" s="34"/>
      <c r="GO3" s="21"/>
      <c r="GP3" s="34"/>
      <c r="GQ3" s="34"/>
      <c r="GR3" s="1"/>
    </row>
    <row r="4" spans="1:200" ht="21" x14ac:dyDescent="0.5">
      <c r="A4" s="34"/>
      <c r="B4" s="21"/>
      <c r="C4" s="21"/>
      <c r="D4" s="34"/>
      <c r="E4" s="34"/>
      <c r="F4" s="75" t="s">
        <v>3</v>
      </c>
      <c r="G4" s="73"/>
      <c r="H4" s="73"/>
      <c r="I4" s="73"/>
      <c r="J4" s="73"/>
      <c r="K4" s="73"/>
      <c r="L4" s="73"/>
      <c r="M4" s="73"/>
      <c r="N4" s="73"/>
      <c r="O4" s="73"/>
      <c r="P4" s="73"/>
      <c r="Q4" s="73"/>
      <c r="R4" s="73"/>
      <c r="S4" s="73"/>
      <c r="T4" s="73"/>
      <c r="U4" s="76"/>
      <c r="V4" s="34"/>
      <c r="W4" s="34"/>
      <c r="X4" s="34"/>
      <c r="Y4" s="34"/>
      <c r="Z4" s="34"/>
      <c r="AA4" s="34"/>
      <c r="AB4" s="34"/>
      <c r="AC4" s="34"/>
      <c r="AD4" s="34"/>
      <c r="AE4" s="34"/>
      <c r="AF4" s="34"/>
      <c r="AG4" s="34"/>
      <c r="AH4" s="34"/>
      <c r="AI4" s="34"/>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21"/>
      <c r="CV4" s="21"/>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126"/>
      <c r="EG4" s="34"/>
      <c r="EH4" s="34"/>
      <c r="EI4" s="34"/>
      <c r="EJ4" s="34"/>
      <c r="EK4" s="34"/>
      <c r="EL4" s="34"/>
      <c r="EM4" s="34"/>
      <c r="EN4" s="34"/>
      <c r="EO4" s="34"/>
      <c r="EP4" s="34"/>
      <c r="EQ4" s="34"/>
      <c r="ER4" s="34"/>
      <c r="ES4" s="34"/>
      <c r="ET4" s="34"/>
      <c r="EU4" s="34"/>
      <c r="EV4" s="34"/>
      <c r="EW4" s="34"/>
      <c r="EX4" s="34"/>
      <c r="EY4" s="34"/>
      <c r="EZ4" s="34"/>
      <c r="FA4" s="34"/>
      <c r="FB4" s="34"/>
      <c r="FC4" s="34"/>
      <c r="FD4" s="34"/>
      <c r="FE4" s="34"/>
      <c r="FF4" s="34"/>
      <c r="FG4" s="34"/>
      <c r="FH4" s="34"/>
      <c r="FI4" s="34"/>
      <c r="FJ4" s="34"/>
      <c r="FK4" s="34"/>
      <c r="FL4" s="34"/>
      <c r="FM4" s="34"/>
      <c r="FN4" s="34"/>
      <c r="FO4" s="34"/>
      <c r="FP4" s="34"/>
      <c r="FQ4" s="34"/>
      <c r="FR4" s="34"/>
      <c r="FS4" s="34"/>
      <c r="FT4" s="34"/>
      <c r="FU4" s="34"/>
      <c r="FV4" s="34"/>
      <c r="FW4" s="34"/>
      <c r="FX4" s="34"/>
      <c r="FY4" s="34"/>
      <c r="FZ4" s="34"/>
      <c r="GA4" s="34"/>
      <c r="GB4" s="34"/>
      <c r="GC4" s="34"/>
      <c r="GD4" s="75" t="s">
        <v>4</v>
      </c>
      <c r="GE4" s="73"/>
      <c r="GF4" s="73"/>
      <c r="GG4" s="73"/>
      <c r="GH4" s="74"/>
      <c r="GI4" s="73"/>
      <c r="GJ4" s="73"/>
      <c r="GK4" s="73"/>
      <c r="GL4" s="73"/>
      <c r="GM4" s="73"/>
      <c r="GN4" s="73"/>
      <c r="GO4" s="73"/>
      <c r="GP4" s="73"/>
      <c r="GQ4" s="72"/>
      <c r="GR4" s="1"/>
    </row>
    <row r="5" spans="1:200" ht="16.5" thickBot="1" x14ac:dyDescent="0.45">
      <c r="A5" s="34"/>
      <c r="B5" s="21"/>
      <c r="C5" s="21"/>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21"/>
      <c r="CV5" s="21"/>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126"/>
      <c r="EG5" s="34"/>
      <c r="EH5" s="34"/>
      <c r="EI5" s="34"/>
      <c r="EJ5" s="34"/>
      <c r="EK5" s="34"/>
      <c r="EL5" s="34"/>
      <c r="EM5" s="34"/>
      <c r="EN5" s="34"/>
      <c r="EO5" s="34"/>
      <c r="EP5" s="34"/>
      <c r="EQ5" s="34"/>
      <c r="ER5" s="34"/>
      <c r="ES5" s="34"/>
      <c r="ET5" s="34"/>
      <c r="EU5" s="34"/>
      <c r="EV5" s="34"/>
      <c r="EW5" s="34"/>
      <c r="EX5" s="34"/>
      <c r="EY5" s="34"/>
      <c r="EZ5" s="34"/>
      <c r="FA5" s="34"/>
      <c r="FB5" s="34"/>
      <c r="FC5" s="34"/>
      <c r="FD5" s="34"/>
      <c r="FE5" s="34"/>
      <c r="FF5" s="34"/>
      <c r="FG5" s="34"/>
      <c r="FH5" s="34"/>
      <c r="FI5" s="34"/>
      <c r="FJ5" s="34"/>
      <c r="FK5" s="34"/>
      <c r="FL5" s="34"/>
      <c r="FM5" s="34"/>
      <c r="FN5" s="34"/>
      <c r="FO5" s="34"/>
      <c r="FP5" s="34"/>
      <c r="FQ5" s="34"/>
      <c r="FR5" s="34"/>
      <c r="FS5" s="34"/>
      <c r="FT5" s="34"/>
      <c r="FU5" s="34"/>
      <c r="FV5" s="34"/>
      <c r="FW5" s="34"/>
      <c r="FX5" s="34"/>
      <c r="FY5" s="34"/>
      <c r="FZ5" s="34"/>
      <c r="GA5" s="34"/>
      <c r="GB5" s="34"/>
      <c r="GC5" s="34"/>
      <c r="GD5" s="34"/>
      <c r="GE5" s="34"/>
      <c r="GF5" s="34"/>
      <c r="GG5" s="34"/>
      <c r="GH5" s="34"/>
      <c r="GI5" s="34"/>
      <c r="GJ5" s="34"/>
      <c r="GK5" s="34"/>
      <c r="GL5" s="34"/>
      <c r="GM5" s="34"/>
      <c r="GN5" s="34"/>
      <c r="GO5" s="21"/>
      <c r="GP5" s="34"/>
      <c r="GQ5" s="34"/>
      <c r="GR5" s="1"/>
    </row>
    <row r="6" spans="1:200" ht="15.5" customHeight="1" x14ac:dyDescent="0.4">
      <c r="A6" s="34"/>
      <c r="B6" s="21"/>
      <c r="C6" s="21"/>
      <c r="D6" s="34"/>
      <c r="E6" s="34"/>
      <c r="F6" s="139" t="s">
        <v>5</v>
      </c>
      <c r="G6" s="140"/>
      <c r="H6" s="140"/>
      <c r="I6" s="140"/>
      <c r="J6" s="140"/>
      <c r="K6" s="140"/>
      <c r="L6" s="140"/>
      <c r="M6" s="140"/>
      <c r="N6" s="140"/>
      <c r="O6" s="140"/>
      <c r="P6" s="140"/>
      <c r="Q6" s="140"/>
      <c r="R6" s="140"/>
      <c r="S6" s="140"/>
      <c r="T6" s="140"/>
      <c r="U6" s="141"/>
      <c r="V6" s="3"/>
      <c r="W6" s="34"/>
      <c r="X6" s="34"/>
      <c r="Y6" s="34"/>
      <c r="Z6" s="34"/>
      <c r="AA6" s="34"/>
      <c r="AB6" s="34"/>
      <c r="AC6" s="34"/>
      <c r="AD6" s="34"/>
      <c r="AE6" s="34"/>
      <c r="AF6" s="34"/>
      <c r="AG6" s="34"/>
      <c r="AH6" s="34"/>
      <c r="AI6" s="34"/>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69"/>
      <c r="CV6" s="69"/>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145" t="s">
        <v>6</v>
      </c>
      <c r="EG6" s="146"/>
      <c r="EH6" s="146"/>
      <c r="EI6" s="147"/>
      <c r="EJ6" s="34"/>
      <c r="EK6" s="151" t="s">
        <v>7</v>
      </c>
      <c r="EL6" s="152"/>
      <c r="EM6" s="152"/>
      <c r="EN6" s="152"/>
      <c r="EO6" s="152"/>
      <c r="EP6" s="152"/>
      <c r="EQ6" s="155" t="s">
        <v>8</v>
      </c>
      <c r="ER6" s="156"/>
      <c r="ES6" s="157"/>
      <c r="ET6" s="71"/>
      <c r="EU6" s="71"/>
      <c r="EV6" s="71"/>
      <c r="EW6" s="71"/>
      <c r="EX6" s="71"/>
      <c r="EY6" s="71"/>
      <c r="EZ6" s="71"/>
      <c r="FA6" s="161" t="s">
        <v>9</v>
      </c>
      <c r="FB6" s="147"/>
      <c r="FC6" s="189"/>
      <c r="FD6" s="71"/>
      <c r="FE6" s="164" t="s">
        <v>10</v>
      </c>
      <c r="FF6" s="71"/>
      <c r="FG6" s="166" t="s">
        <v>11</v>
      </c>
      <c r="FH6" s="152"/>
      <c r="FI6" s="152"/>
      <c r="FJ6" s="152"/>
      <c r="FK6" s="147"/>
      <c r="FL6" s="71"/>
      <c r="FM6" s="173" t="s">
        <v>12</v>
      </c>
      <c r="FN6" s="152"/>
      <c r="FO6" s="152"/>
      <c r="FP6" s="152"/>
      <c r="FQ6" s="147"/>
      <c r="FR6" s="71"/>
      <c r="FS6" s="133" t="s">
        <v>111</v>
      </c>
      <c r="FT6" s="134"/>
      <c r="FU6" s="134"/>
      <c r="FV6" s="135"/>
      <c r="FW6" s="133" t="s">
        <v>121</v>
      </c>
      <c r="FX6" s="134"/>
      <c r="FY6" s="134"/>
      <c r="FZ6" s="134"/>
      <c r="GA6" s="134"/>
      <c r="GB6" s="135"/>
      <c r="GC6" s="70"/>
      <c r="GD6" s="145" t="s">
        <v>13</v>
      </c>
      <c r="GE6" s="178"/>
      <c r="GF6" s="178"/>
      <c r="GG6" s="179"/>
      <c r="GH6" s="168" t="s">
        <v>14</v>
      </c>
      <c r="GI6" s="133" t="s">
        <v>15</v>
      </c>
      <c r="GJ6" s="134"/>
      <c r="GK6" s="134"/>
      <c r="GL6" s="135"/>
      <c r="GM6" s="173" t="s">
        <v>16</v>
      </c>
      <c r="GN6" s="183" t="s">
        <v>17</v>
      </c>
      <c r="GO6" s="185" t="s">
        <v>11</v>
      </c>
      <c r="GP6" s="164" t="s">
        <v>10</v>
      </c>
      <c r="GQ6" s="187" t="s">
        <v>9</v>
      </c>
      <c r="GR6" s="1"/>
    </row>
    <row r="7" spans="1:200" ht="40" customHeight="1" thickBot="1" x14ac:dyDescent="0.45">
      <c r="A7" s="51"/>
      <c r="B7" s="21"/>
      <c r="C7" s="21"/>
      <c r="D7" s="51"/>
      <c r="E7" s="51"/>
      <c r="F7" s="142"/>
      <c r="G7" s="143"/>
      <c r="H7" s="143"/>
      <c r="I7" s="143"/>
      <c r="J7" s="143"/>
      <c r="K7" s="143"/>
      <c r="L7" s="143"/>
      <c r="M7" s="143"/>
      <c r="N7" s="143"/>
      <c r="O7" s="143"/>
      <c r="P7" s="143"/>
      <c r="Q7" s="143"/>
      <c r="R7" s="143"/>
      <c r="S7" s="143"/>
      <c r="T7" s="143"/>
      <c r="U7" s="144"/>
      <c r="V7" s="3"/>
      <c r="W7" s="51" t="s">
        <v>18</v>
      </c>
      <c r="X7" s="51"/>
      <c r="Y7" s="51"/>
      <c r="Z7" s="51"/>
      <c r="AA7" s="51"/>
      <c r="AB7" s="51"/>
      <c r="AC7" s="51"/>
      <c r="AD7" s="51"/>
      <c r="AE7" s="51"/>
      <c r="AF7" s="51"/>
      <c r="AG7" s="51"/>
      <c r="AH7" s="51"/>
      <c r="AI7" s="51"/>
      <c r="AJ7" s="110"/>
      <c r="AK7" s="52" t="s">
        <v>19</v>
      </c>
      <c r="AL7" s="110"/>
      <c r="AM7" s="110"/>
      <c r="AN7" s="110"/>
      <c r="AO7" s="110"/>
      <c r="AP7" s="110"/>
      <c r="AQ7" s="110"/>
      <c r="AR7" s="110"/>
      <c r="AS7" s="110"/>
      <c r="AT7" s="110"/>
      <c r="AU7" s="110"/>
      <c r="AV7" s="110"/>
      <c r="AW7" s="110"/>
      <c r="AX7" s="110"/>
      <c r="AY7" s="110"/>
      <c r="AZ7" s="110"/>
      <c r="BA7" s="110" t="s">
        <v>20</v>
      </c>
      <c r="BB7" s="110"/>
      <c r="BC7" s="110"/>
      <c r="BD7" s="110"/>
      <c r="BE7" s="110"/>
      <c r="BF7" s="110"/>
      <c r="BG7" s="110"/>
      <c r="BH7" s="110"/>
      <c r="BI7" s="110"/>
      <c r="BJ7" s="110"/>
      <c r="BK7" s="110"/>
      <c r="BL7" s="110"/>
      <c r="BM7" s="110"/>
      <c r="BN7" s="110"/>
      <c r="BO7" s="110"/>
      <c r="BP7" s="110"/>
      <c r="BQ7" s="51" t="s">
        <v>21</v>
      </c>
      <c r="BR7" s="51"/>
      <c r="BS7" s="51"/>
      <c r="BT7" s="51"/>
      <c r="BU7" s="51"/>
      <c r="BV7" s="51"/>
      <c r="BW7" s="51"/>
      <c r="BX7" s="51"/>
      <c r="BY7" s="51"/>
      <c r="BZ7" s="51"/>
      <c r="CA7" s="51"/>
      <c r="CB7" s="51"/>
      <c r="CC7" s="51"/>
      <c r="CD7" s="51"/>
      <c r="CE7" s="51"/>
      <c r="CF7" s="51"/>
      <c r="CG7" s="51" t="s">
        <v>22</v>
      </c>
      <c r="CH7" s="51"/>
      <c r="CI7" s="51"/>
      <c r="CJ7" s="51"/>
      <c r="CK7" s="51"/>
      <c r="CL7" s="51"/>
      <c r="CM7" s="51"/>
      <c r="CN7" s="51"/>
      <c r="CO7" s="51"/>
      <c r="CP7" s="51"/>
      <c r="CQ7" s="51"/>
      <c r="CR7" s="51"/>
      <c r="CS7" s="51"/>
      <c r="CT7" s="51"/>
      <c r="CU7" s="110"/>
      <c r="CV7" s="110"/>
      <c r="CW7" s="51" t="s">
        <v>23</v>
      </c>
      <c r="CX7" s="51"/>
      <c r="CY7" s="51"/>
      <c r="CZ7" s="51"/>
      <c r="DA7" s="51"/>
      <c r="DB7" s="51"/>
      <c r="DC7" s="51"/>
      <c r="DD7" s="51"/>
      <c r="DE7" s="51"/>
      <c r="DF7" s="51"/>
      <c r="DG7" s="51"/>
      <c r="DH7" s="51"/>
      <c r="DI7" s="51"/>
      <c r="DJ7" s="51"/>
      <c r="DK7" s="51"/>
      <c r="DL7" s="51"/>
      <c r="DM7" s="51" t="s">
        <v>24</v>
      </c>
      <c r="DN7" s="51"/>
      <c r="DO7" s="51"/>
      <c r="DP7" s="51"/>
      <c r="DQ7" s="51"/>
      <c r="DR7" s="51"/>
      <c r="DS7" s="51"/>
      <c r="DT7" s="51"/>
      <c r="DU7" s="51"/>
      <c r="DV7" s="51"/>
      <c r="DW7" s="51"/>
      <c r="DX7" s="51"/>
      <c r="DY7" s="51"/>
      <c r="DZ7" s="51"/>
      <c r="EA7" s="51"/>
      <c r="EB7" s="51"/>
      <c r="EC7" s="51"/>
      <c r="ED7" s="51"/>
      <c r="EE7" s="51"/>
      <c r="EF7" s="148"/>
      <c r="EG7" s="149"/>
      <c r="EH7" s="149"/>
      <c r="EI7" s="150"/>
      <c r="EJ7" s="68"/>
      <c r="EK7" s="153"/>
      <c r="EL7" s="154"/>
      <c r="EM7" s="154"/>
      <c r="EN7" s="154"/>
      <c r="EO7" s="154"/>
      <c r="EP7" s="154"/>
      <c r="EQ7" s="158"/>
      <c r="ER7" s="159"/>
      <c r="ES7" s="160"/>
      <c r="ET7" s="67"/>
      <c r="EU7" s="67"/>
      <c r="EV7" s="67"/>
      <c r="EW7" s="67" t="s">
        <v>148</v>
      </c>
      <c r="EX7" s="67" t="s">
        <v>149</v>
      </c>
      <c r="EY7" s="67"/>
      <c r="EZ7" s="67"/>
      <c r="FA7" s="162"/>
      <c r="FB7" s="163"/>
      <c r="FC7" s="189"/>
      <c r="FD7" s="67"/>
      <c r="FE7" s="165"/>
      <c r="FF7" s="67"/>
      <c r="FG7" s="167"/>
      <c r="FH7" s="154"/>
      <c r="FI7" s="154"/>
      <c r="FJ7" s="154"/>
      <c r="FK7" s="163"/>
      <c r="FL7" s="67"/>
      <c r="FM7" s="174"/>
      <c r="FN7" s="154"/>
      <c r="FO7" s="154"/>
      <c r="FP7" s="154"/>
      <c r="FQ7" s="163"/>
      <c r="FR7" s="67"/>
      <c r="FS7" s="175"/>
      <c r="FT7" s="176"/>
      <c r="FU7" s="176"/>
      <c r="FV7" s="177"/>
      <c r="FW7" s="175"/>
      <c r="FX7" s="176"/>
      <c r="FY7" s="176"/>
      <c r="FZ7" s="176"/>
      <c r="GA7" s="176"/>
      <c r="GB7" s="177"/>
      <c r="GC7" s="51"/>
      <c r="GD7" s="180"/>
      <c r="GE7" s="181"/>
      <c r="GF7" s="181"/>
      <c r="GG7" s="182"/>
      <c r="GH7" s="169"/>
      <c r="GI7" s="136"/>
      <c r="GJ7" s="137"/>
      <c r="GK7" s="137"/>
      <c r="GL7" s="138"/>
      <c r="GM7" s="174"/>
      <c r="GN7" s="184"/>
      <c r="GO7" s="186"/>
      <c r="GP7" s="165"/>
      <c r="GQ7" s="188"/>
      <c r="GR7" s="1"/>
    </row>
    <row r="8" spans="1:200" ht="17" x14ac:dyDescent="0.4">
      <c r="A8" s="51"/>
      <c r="B8" s="21"/>
      <c r="C8" s="21"/>
      <c r="D8" s="51"/>
      <c r="E8" s="51"/>
      <c r="F8" s="66" t="s">
        <v>25</v>
      </c>
      <c r="G8" s="65" t="s">
        <v>26</v>
      </c>
      <c r="H8" s="65" t="s">
        <v>27</v>
      </c>
      <c r="I8" s="65" t="s">
        <v>108</v>
      </c>
      <c r="J8" s="65" t="s">
        <v>124</v>
      </c>
      <c r="K8" s="65" t="s">
        <v>125</v>
      </c>
      <c r="L8" s="65" t="s">
        <v>126</v>
      </c>
      <c r="M8" s="65" t="s">
        <v>127</v>
      </c>
      <c r="N8" s="65" t="s">
        <v>31</v>
      </c>
      <c r="O8" s="65" t="s">
        <v>32</v>
      </c>
      <c r="P8" s="65" t="s">
        <v>33</v>
      </c>
      <c r="Q8" s="65" t="s">
        <v>34</v>
      </c>
      <c r="R8" s="65" t="s">
        <v>131</v>
      </c>
      <c r="S8" s="65" t="s">
        <v>128</v>
      </c>
      <c r="T8" s="65" t="s">
        <v>129</v>
      </c>
      <c r="U8" s="65" t="s">
        <v>130</v>
      </c>
      <c r="V8" s="52"/>
      <c r="W8" s="114" t="s">
        <v>124</v>
      </c>
      <c r="X8" s="115" t="s">
        <v>125</v>
      </c>
      <c r="Y8" s="115" t="s">
        <v>126</v>
      </c>
      <c r="Z8" s="115" t="s">
        <v>127</v>
      </c>
      <c r="AA8" s="115" t="s">
        <v>31</v>
      </c>
      <c r="AB8" s="115" t="s">
        <v>32</v>
      </c>
      <c r="AC8" s="115" t="s">
        <v>33</v>
      </c>
      <c r="AD8" s="115" t="s">
        <v>34</v>
      </c>
      <c r="AE8" s="115" t="s">
        <v>131</v>
      </c>
      <c r="AF8" s="115" t="s">
        <v>128</v>
      </c>
      <c r="AG8" s="115" t="s">
        <v>129</v>
      </c>
      <c r="AH8" s="115" t="s">
        <v>130</v>
      </c>
      <c r="AI8" s="53" t="s">
        <v>38</v>
      </c>
      <c r="AJ8" s="60"/>
      <c r="AK8" s="114" t="s">
        <v>124</v>
      </c>
      <c r="AL8" s="115" t="s">
        <v>125</v>
      </c>
      <c r="AM8" s="115" t="s">
        <v>126</v>
      </c>
      <c r="AN8" s="115" t="s">
        <v>127</v>
      </c>
      <c r="AO8" s="115" t="s">
        <v>31</v>
      </c>
      <c r="AP8" s="115" t="s">
        <v>32</v>
      </c>
      <c r="AQ8" s="115" t="s">
        <v>33</v>
      </c>
      <c r="AR8" s="115" t="s">
        <v>34</v>
      </c>
      <c r="AS8" s="115" t="s">
        <v>131</v>
      </c>
      <c r="AT8" s="115" t="s">
        <v>128</v>
      </c>
      <c r="AU8" s="115" t="s">
        <v>129</v>
      </c>
      <c r="AV8" s="115" t="s">
        <v>130</v>
      </c>
      <c r="AW8" s="54" t="s">
        <v>39</v>
      </c>
      <c r="AX8" s="54" t="s">
        <v>40</v>
      </c>
      <c r="AY8" s="53" t="s">
        <v>132</v>
      </c>
      <c r="AZ8" s="60"/>
      <c r="BA8" s="114" t="s">
        <v>124</v>
      </c>
      <c r="BB8" s="115" t="s">
        <v>125</v>
      </c>
      <c r="BC8" s="115" t="s">
        <v>126</v>
      </c>
      <c r="BD8" s="115" t="s">
        <v>127</v>
      </c>
      <c r="BE8" s="115" t="s">
        <v>31</v>
      </c>
      <c r="BF8" s="54" t="s">
        <v>40</v>
      </c>
      <c r="BG8" s="54" t="s">
        <v>132</v>
      </c>
      <c r="BH8" s="115" t="s">
        <v>32</v>
      </c>
      <c r="BI8" s="115" t="s">
        <v>33</v>
      </c>
      <c r="BJ8" s="115" t="s">
        <v>34</v>
      </c>
      <c r="BK8" s="115" t="s">
        <v>131</v>
      </c>
      <c r="BL8" s="115" t="s">
        <v>128</v>
      </c>
      <c r="BM8" s="115" t="s">
        <v>129</v>
      </c>
      <c r="BN8" s="115" t="s">
        <v>130</v>
      </c>
      <c r="BO8" s="53" t="s">
        <v>41</v>
      </c>
      <c r="BP8" s="56"/>
      <c r="BQ8" s="55" t="s">
        <v>42</v>
      </c>
      <c r="BR8" s="54" t="s">
        <v>43</v>
      </c>
      <c r="BS8" s="54" t="s">
        <v>44</v>
      </c>
      <c r="BT8" s="54" t="s">
        <v>45</v>
      </c>
      <c r="BU8" s="54" t="s">
        <v>31</v>
      </c>
      <c r="BV8" s="54" t="s">
        <v>112</v>
      </c>
      <c r="BW8" s="54" t="s">
        <v>46</v>
      </c>
      <c r="BX8" s="54" t="s">
        <v>32</v>
      </c>
      <c r="BY8" s="54" t="s">
        <v>33</v>
      </c>
      <c r="BZ8" s="54" t="s">
        <v>34</v>
      </c>
      <c r="CA8" s="54" t="s">
        <v>35</v>
      </c>
      <c r="CB8" s="54" t="s">
        <v>36</v>
      </c>
      <c r="CC8" s="54" t="s">
        <v>47</v>
      </c>
      <c r="CD8" s="54" t="s">
        <v>37</v>
      </c>
      <c r="CE8" s="53" t="s">
        <v>38</v>
      </c>
      <c r="CF8" s="60"/>
      <c r="CG8" s="55" t="s">
        <v>42</v>
      </c>
      <c r="CH8" s="54" t="s">
        <v>43</v>
      </c>
      <c r="CI8" s="54" t="s">
        <v>44</v>
      </c>
      <c r="CJ8" s="54" t="s">
        <v>45</v>
      </c>
      <c r="CK8" s="54" t="s">
        <v>31</v>
      </c>
      <c r="CL8" s="54" t="s">
        <v>112</v>
      </c>
      <c r="CM8" s="54" t="s">
        <v>46</v>
      </c>
      <c r="CN8" s="54" t="s">
        <v>32</v>
      </c>
      <c r="CO8" s="54" t="s">
        <v>33</v>
      </c>
      <c r="CP8" s="54" t="s">
        <v>34</v>
      </c>
      <c r="CQ8" s="54" t="s">
        <v>35</v>
      </c>
      <c r="CR8" s="54" t="s">
        <v>36</v>
      </c>
      <c r="CS8" s="54" t="s">
        <v>47</v>
      </c>
      <c r="CT8" s="54" t="s">
        <v>37</v>
      </c>
      <c r="CU8" s="62" t="s">
        <v>41</v>
      </c>
      <c r="CV8" s="60"/>
      <c r="CW8" s="55" t="s">
        <v>29</v>
      </c>
      <c r="CX8" s="54" t="s">
        <v>30</v>
      </c>
      <c r="CY8" s="54" t="s">
        <v>48</v>
      </c>
      <c r="CZ8" s="54" t="s">
        <v>49</v>
      </c>
      <c r="DA8" s="54" t="s">
        <v>31</v>
      </c>
      <c r="DB8" s="54" t="s">
        <v>40</v>
      </c>
      <c r="DC8" s="54" t="s">
        <v>50</v>
      </c>
      <c r="DD8" s="54" t="s">
        <v>32</v>
      </c>
      <c r="DE8" s="54" t="s">
        <v>33</v>
      </c>
      <c r="DF8" s="54" t="s">
        <v>34</v>
      </c>
      <c r="DG8" s="54" t="s">
        <v>51</v>
      </c>
      <c r="DH8" s="54" t="s">
        <v>52</v>
      </c>
      <c r="DI8" s="54" t="s">
        <v>53</v>
      </c>
      <c r="DJ8" s="54" t="s">
        <v>113</v>
      </c>
      <c r="DK8" s="53" t="s">
        <v>38</v>
      </c>
      <c r="DL8" s="26"/>
      <c r="DM8" s="55" t="s">
        <v>29</v>
      </c>
      <c r="DN8" s="54" t="s">
        <v>30</v>
      </c>
      <c r="DO8" s="54" t="s">
        <v>48</v>
      </c>
      <c r="DP8" s="54" t="s">
        <v>49</v>
      </c>
      <c r="DQ8" s="54" t="s">
        <v>31</v>
      </c>
      <c r="DR8" s="54" t="s">
        <v>40</v>
      </c>
      <c r="DS8" s="54" t="s">
        <v>50</v>
      </c>
      <c r="DT8" s="54" t="s">
        <v>32</v>
      </c>
      <c r="DU8" s="54" t="s">
        <v>33</v>
      </c>
      <c r="DV8" s="54" t="s">
        <v>34</v>
      </c>
      <c r="DW8" s="54" t="s">
        <v>51</v>
      </c>
      <c r="DX8" s="54" t="s">
        <v>52</v>
      </c>
      <c r="DY8" s="54" t="s">
        <v>53</v>
      </c>
      <c r="DZ8" s="54" t="s">
        <v>113</v>
      </c>
      <c r="EA8" s="53" t="s">
        <v>38</v>
      </c>
      <c r="EB8" s="60"/>
      <c r="EC8" s="55" t="s">
        <v>54</v>
      </c>
      <c r="ED8" s="53" t="s">
        <v>55</v>
      </c>
      <c r="EE8" s="64"/>
      <c r="EF8" s="127" t="s">
        <v>56</v>
      </c>
      <c r="EG8" s="63" t="s">
        <v>28</v>
      </c>
      <c r="EH8" s="63" t="s">
        <v>57</v>
      </c>
      <c r="EI8" s="62" t="s">
        <v>58</v>
      </c>
      <c r="EJ8" s="56"/>
      <c r="EK8" s="106" t="s">
        <v>59</v>
      </c>
      <c r="EL8" s="107" t="s">
        <v>60</v>
      </c>
      <c r="EM8" s="107" t="s">
        <v>61</v>
      </c>
      <c r="EN8" s="108" t="s">
        <v>62</v>
      </c>
      <c r="EO8" s="108" t="s">
        <v>63</v>
      </c>
      <c r="EP8" s="108" t="s">
        <v>64</v>
      </c>
      <c r="EQ8" s="108" t="s">
        <v>65</v>
      </c>
      <c r="ER8" s="107" t="s">
        <v>133</v>
      </c>
      <c r="ES8" s="109" t="s">
        <v>56</v>
      </c>
      <c r="ET8" s="60" t="s">
        <v>37</v>
      </c>
      <c r="EU8" s="60" t="s">
        <v>145</v>
      </c>
      <c r="EV8" s="60" t="s">
        <v>146</v>
      </c>
      <c r="EW8" s="60" t="s">
        <v>145</v>
      </c>
      <c r="EX8" s="60" t="s">
        <v>146</v>
      </c>
      <c r="EY8" s="60" t="s">
        <v>147</v>
      </c>
      <c r="EZ8" s="60" t="s">
        <v>150</v>
      </c>
      <c r="FA8" s="59" t="s">
        <v>66</v>
      </c>
      <c r="FB8" s="57" t="s">
        <v>67</v>
      </c>
      <c r="FC8" s="191" t="s">
        <v>146</v>
      </c>
      <c r="FD8" s="60"/>
      <c r="FE8" s="61" t="s">
        <v>67</v>
      </c>
      <c r="FF8" s="60"/>
      <c r="FG8" s="59" t="s">
        <v>68</v>
      </c>
      <c r="FH8" s="58" t="s">
        <v>69</v>
      </c>
      <c r="FI8" s="58" t="s">
        <v>70</v>
      </c>
      <c r="FJ8" s="58" t="s">
        <v>71</v>
      </c>
      <c r="FK8" s="57" t="s">
        <v>67</v>
      </c>
      <c r="FL8" s="56"/>
      <c r="FM8" s="59" t="s">
        <v>72</v>
      </c>
      <c r="FN8" s="58" t="s">
        <v>73</v>
      </c>
      <c r="FO8" s="58" t="s">
        <v>74</v>
      </c>
      <c r="FP8" s="58" t="s">
        <v>67</v>
      </c>
      <c r="FQ8" s="57" t="s">
        <v>75</v>
      </c>
      <c r="FR8" s="64"/>
      <c r="FS8" s="55" t="s">
        <v>76</v>
      </c>
      <c r="FT8" s="54" t="s">
        <v>77</v>
      </c>
      <c r="FU8" s="54" t="s">
        <v>66</v>
      </c>
      <c r="FV8" s="54" t="s">
        <v>67</v>
      </c>
      <c r="FW8" s="54" t="s">
        <v>115</v>
      </c>
      <c r="FX8" s="54" t="s">
        <v>116</v>
      </c>
      <c r="FY8" s="54" t="s">
        <v>119</v>
      </c>
      <c r="FZ8" s="54" t="s">
        <v>120</v>
      </c>
      <c r="GA8" s="54" t="s">
        <v>117</v>
      </c>
      <c r="GB8" s="53" t="s">
        <v>118</v>
      </c>
      <c r="GC8" s="52"/>
      <c r="GD8" s="117" t="s">
        <v>108</v>
      </c>
      <c r="GE8" s="118" t="s">
        <v>109</v>
      </c>
      <c r="GF8" s="118" t="s">
        <v>110</v>
      </c>
      <c r="GG8" s="118" t="s">
        <v>78</v>
      </c>
      <c r="GH8" s="119" t="s">
        <v>79</v>
      </c>
      <c r="GI8" s="119" t="s">
        <v>80</v>
      </c>
      <c r="GJ8" s="119" t="s">
        <v>81</v>
      </c>
      <c r="GK8" s="119" t="s">
        <v>123</v>
      </c>
      <c r="GL8" s="120" t="s">
        <v>122</v>
      </c>
      <c r="GM8" s="119" t="s">
        <v>67</v>
      </c>
      <c r="GN8" s="119" t="s">
        <v>114</v>
      </c>
      <c r="GO8" s="119" t="s">
        <v>67</v>
      </c>
      <c r="GP8" s="119" t="s">
        <v>67</v>
      </c>
      <c r="GQ8" s="119" t="s">
        <v>67</v>
      </c>
      <c r="GR8" s="1"/>
    </row>
    <row r="9" spans="1:200" x14ac:dyDescent="0.4">
      <c r="A9" s="34"/>
      <c r="B9" s="21"/>
      <c r="C9" s="21"/>
      <c r="D9" s="34"/>
      <c r="E9" s="34"/>
      <c r="F9" s="20" t="s">
        <v>82</v>
      </c>
      <c r="G9" s="19">
        <v>1050</v>
      </c>
      <c r="H9" s="18">
        <v>1E-4</v>
      </c>
      <c r="I9" s="17">
        <v>1.5</v>
      </c>
      <c r="J9" s="16">
        <v>49.6</v>
      </c>
      <c r="K9" s="16">
        <v>0.92</v>
      </c>
      <c r="L9" s="16">
        <v>14.6</v>
      </c>
      <c r="M9" s="16">
        <v>0</v>
      </c>
      <c r="N9" s="16">
        <v>9</v>
      </c>
      <c r="O9" s="16">
        <v>0</v>
      </c>
      <c r="P9" s="16">
        <v>8.6999999999999993</v>
      </c>
      <c r="Q9" s="16">
        <v>12.4</v>
      </c>
      <c r="R9" s="16">
        <v>2.2999999999999998</v>
      </c>
      <c r="S9" s="16">
        <v>0.21</v>
      </c>
      <c r="T9" s="16">
        <v>0</v>
      </c>
      <c r="U9" s="15">
        <v>0</v>
      </c>
      <c r="V9" s="16"/>
      <c r="W9" s="28">
        <f>IF(J9="","",J9/SUM($J9:$U9)*100)</f>
        <v>50.752072035199014</v>
      </c>
      <c r="X9" s="24">
        <f t="shared" ref="X9:AH24" si="0">IF(K9="","",K9/SUM($J9:$U9)*100)</f>
        <v>0.94136907807223991</v>
      </c>
      <c r="Y9" s="24">
        <f t="shared" si="0"/>
        <v>14.939117978102937</v>
      </c>
      <c r="Z9" s="24">
        <f t="shared" si="0"/>
        <v>0</v>
      </c>
      <c r="AA9" s="24">
        <f t="shared" si="0"/>
        <v>9.209045328967564</v>
      </c>
      <c r="AB9" s="24">
        <f t="shared" si="0"/>
        <v>0</v>
      </c>
      <c r="AC9" s="24">
        <f t="shared" si="0"/>
        <v>8.9020771513353107</v>
      </c>
      <c r="AD9" s="24">
        <f t="shared" si="0"/>
        <v>12.688018008799753</v>
      </c>
      <c r="AE9" s="24">
        <f t="shared" si="0"/>
        <v>2.3534226951805994</v>
      </c>
      <c r="AF9" s="24">
        <f t="shared" si="0"/>
        <v>0.21487772434257646</v>
      </c>
      <c r="AG9" s="24">
        <f t="shared" si="0"/>
        <v>0</v>
      </c>
      <c r="AH9" s="24">
        <f>IF(U9="","",U9/SUM($J9:$U9)*100)</f>
        <v>0</v>
      </c>
      <c r="AI9" s="14">
        <f>SUM(W9:AH9)</f>
        <v>99.999999999999986</v>
      </c>
      <c r="AJ9" s="26"/>
      <c r="AK9" s="50">
        <f>IF(W9="","",W9/60.09)</f>
        <v>0.84460096580460997</v>
      </c>
      <c r="AL9" s="47">
        <f>IF(X9="","",X9/79.9)</f>
        <v>1.1781840776874091E-2</v>
      </c>
      <c r="AM9" s="47">
        <f t="shared" ref="AM9" si="1">IF(Y9="","",Y9/101.96)</f>
        <v>0.14651939954985227</v>
      </c>
      <c r="AN9" s="49">
        <f>IF(Z9="","",Z9/151.9922)</f>
        <v>0</v>
      </c>
      <c r="AO9" s="49">
        <f>IF(AA9="","",AA9/71.85)</f>
        <v>0.12817042907400925</v>
      </c>
      <c r="AP9" s="47">
        <f t="shared" ref="AP9" si="2">IF(AB9="","",AB9/71)</f>
        <v>0</v>
      </c>
      <c r="AQ9" s="47">
        <f>IF(AC9="","",AC9/40.32)</f>
        <v>0.2207856436343083</v>
      </c>
      <c r="AR9" s="47">
        <f>IF(AD9="","",AD9/56.08)</f>
        <v>0.22624853796005268</v>
      </c>
      <c r="AS9" s="47">
        <f>IF(AE9="","",AE9/61.98)</f>
        <v>3.7970679173614061E-2</v>
      </c>
      <c r="AT9" s="47">
        <f>IF(AF9="","",AF9/94.2)</f>
        <v>2.2810798762481575E-3</v>
      </c>
      <c r="AU9" s="47">
        <f>IF(AG9="","",AG9/70.97)</f>
        <v>0</v>
      </c>
      <c r="AV9" s="47">
        <f t="shared" ref="AV9" si="3">IF(AH9="","",AH9/18.02)</f>
        <v>0</v>
      </c>
      <c r="AW9" s="47">
        <f>IF(SUM(AK9:AV9)=0,"",SUM(AK9:AV9))</f>
        <v>1.6183585758495689</v>
      </c>
      <c r="AX9" s="47">
        <f t="shared" ref="AX9" si="4">IF(OR(AA9="",I9=""),"",$AA9*(1-$EP9)/71.85)</f>
        <v>9.0893484979454681E-2</v>
      </c>
      <c r="AY9" s="46">
        <f t="shared" ref="AY9" si="5">IF(OR(AA9="",I9=""),"",($AA9*$EP9)*1.111/159.6)</f>
        <v>1.8644392915277263E-2</v>
      </c>
      <c r="AZ9" s="26"/>
      <c r="BA9" s="131">
        <f>IF(OR(AW9="",$AK9=""),"",AK9/$AW9)</f>
        <v>0.52188741012555306</v>
      </c>
      <c r="BB9" s="121">
        <f t="shared" ref="BB9:BB72" si="6">IF(OR(AW9="",$AL9=""),"",AL9/$AW9)</f>
        <v>7.2801176158930848E-3</v>
      </c>
      <c r="BC9" s="121">
        <f t="shared" ref="BC9:BC72" si="7">IF(OR(AW9="",$AM9=""),"",AM9/$AW9)</f>
        <v>9.0535806919635142E-2</v>
      </c>
      <c r="BD9" s="121">
        <f t="shared" ref="BD9:BD72" si="8">IF(OR(AW9="",$AN9=""),"",AN9/$AW9)</f>
        <v>0</v>
      </c>
      <c r="BE9" s="121">
        <f t="shared" ref="BE9:BE72" si="9">IF(OR(AW9="",$AO9=""),"",AO9/$AW9)</f>
        <v>7.9197793978831463E-2</v>
      </c>
      <c r="BF9" s="121">
        <f t="shared" ref="BF9:BF72" si="10">IF(OR(AW9="",$AX9=""),"",AX9/$AW9)</f>
        <v>5.6163996246468124E-2</v>
      </c>
      <c r="BG9" s="121">
        <f t="shared" ref="BG9:BG72" si="11">IF(OR(AW9="",$AY9=""),"",AY9/$AW9)</f>
        <v>1.1520557429919235E-2</v>
      </c>
      <c r="BH9" s="121">
        <f t="shared" ref="BH9:BH72" si="12">IF(OR(AW9="",$AP9=""),"",AP9/$AW9)</f>
        <v>0</v>
      </c>
      <c r="BI9" s="121">
        <f t="shared" ref="BI9:BI72" si="13">IF(OR(AW9="",$AQ9=""),"",AQ9/$AW9)</f>
        <v>0.13642566420634272</v>
      </c>
      <c r="BJ9" s="121">
        <f t="shared" ref="BJ9:BJ72" si="14">IF(OR(AW9="",$AR9=""),"",AR9/$AW9)</f>
        <v>0.13980124141603284</v>
      </c>
      <c r="BK9" s="121">
        <f t="shared" ref="BK9:BK72" si="15">IF(OR(AW9="",$AS9=""),"",AS9/$AW9)</f>
        <v>2.3462463597525709E-2</v>
      </c>
      <c r="BL9" s="121">
        <f t="shared" ref="BL9:BL72" si="16">IF(OR(AW9="",$AT9=""),"",AT9/$AW9)</f>
        <v>1.4095021401858907E-3</v>
      </c>
      <c r="BM9" s="121">
        <f t="shared" ref="BM9:BM72" si="17">IF(OR(AW9="",$AU9=""),"",AU9/$AW9)</f>
        <v>0</v>
      </c>
      <c r="BN9" s="121">
        <f>IF(OR(AV9="",AW9=""),"",AV9/AW9)</f>
        <v>0</v>
      </c>
      <c r="BO9" s="132">
        <f>IF(SUM(BA9:BE9,BH9:BM9)=0,"",SUM(BA9:BE9,BH9:BM9))</f>
        <v>0.99999999999999989</v>
      </c>
      <c r="BP9" s="13"/>
      <c r="BQ9" s="45">
        <f>IF(W9="","",W9/(60.09/2))</f>
        <v>1.6892019316092199</v>
      </c>
      <c r="BR9" s="44">
        <f t="shared" ref="BR9:BR72" si="18">IF(X9="","",X9/(79.9/2))</f>
        <v>2.3563681553748182E-2</v>
      </c>
      <c r="BS9" s="44">
        <f t="shared" ref="BS9:BS72" si="19">IF(Y9="","",Y9/(102/3))</f>
        <v>0.43938582288538047</v>
      </c>
      <c r="BT9" s="44">
        <f t="shared" ref="BT9:BT72" si="20">IF(Z9="","",Z9/(151.9922/3))</f>
        <v>0</v>
      </c>
      <c r="BU9" s="44">
        <f t="shared" ref="BU9:BU72" si="21">IF(AA9="","",AA9/(71.85))</f>
        <v>0.12817042907400925</v>
      </c>
      <c r="BV9" s="13">
        <f>IF($AA9="","",$AA9*(1-$EP9)/71.85)</f>
        <v>9.0893484979454681E-2</v>
      </c>
      <c r="BW9" s="24">
        <f>IF(AA9="","",$AA9*$EP9*1.111/(159.6/3))</f>
        <v>5.5933178745831792E-2</v>
      </c>
      <c r="BX9" s="44">
        <f t="shared" ref="BX9:BX72" si="22">IF(AB9="","",AB9/71)</f>
        <v>0</v>
      </c>
      <c r="BY9" s="44">
        <f t="shared" ref="BY9:BY72" si="23">IF(AC9="","",AC9/40.3)</f>
        <v>0.22089521467333278</v>
      </c>
      <c r="BZ9" s="44">
        <f t="shared" ref="BZ9:BZ72" si="24">IF(AD9="","",AD9/56.1)</f>
        <v>0.22616787894473714</v>
      </c>
      <c r="CA9" s="44">
        <f t="shared" ref="CA9:CA72" si="25">IF(AE9="","",AE9/62)</f>
        <v>3.7958430567429022E-2</v>
      </c>
      <c r="CB9" s="44">
        <f t="shared" ref="CB9:CB72" si="26">IF(AF9="","",AF9/94.2)</f>
        <v>2.2810798762481575E-3</v>
      </c>
      <c r="CC9" s="44">
        <f t="shared" ref="CC9:CC72" si="27">IF(AG9="","",AG9/(70.97/5))</f>
        <v>0</v>
      </c>
      <c r="CD9" s="44">
        <f>IF(AH9="","",AH9/(18.02))</f>
        <v>0</v>
      </c>
      <c r="CE9" s="12">
        <f>IF(SUM(BQ9:BU9,BX9:CD9)=0,"",SUM(BQ9:BU9,BX9:CD9))</f>
        <v>2.767624469184105</v>
      </c>
      <c r="CF9" s="13"/>
      <c r="CG9" s="122">
        <f>IF(OR($CE9="",BQ9=""),"",BQ9/$CE9)</f>
        <v>0.61034361793570802</v>
      </c>
      <c r="CH9" s="123">
        <f t="shared" ref="CG9:CT27" si="28">IF(OR($CE9="",BR9=""),"",BR9/$CE9)</f>
        <v>8.5140458238161017E-3</v>
      </c>
      <c r="CI9" s="123">
        <f t="shared" si="28"/>
        <v>0.15875919142126652</v>
      </c>
      <c r="CJ9" s="123">
        <f t="shared" si="28"/>
        <v>0</v>
      </c>
      <c r="CK9" s="123">
        <f t="shared" si="28"/>
        <v>4.6310628664080956E-2</v>
      </c>
      <c r="CL9" s="123">
        <f>IF(OR($CE9="",BV9=""),"",BV9/$CE9)</f>
        <v>3.2841697271974932E-2</v>
      </c>
      <c r="CM9" s="123">
        <f t="shared" si="28"/>
        <v>2.0209815084602456E-2</v>
      </c>
      <c r="CN9" s="123">
        <f t="shared" si="28"/>
        <v>0</v>
      </c>
      <c r="CO9" s="123">
        <f t="shared" si="28"/>
        <v>7.9814012750961352E-2</v>
      </c>
      <c r="CP9" s="123">
        <f t="shared" si="28"/>
        <v>8.1719135476284968E-2</v>
      </c>
      <c r="CQ9" s="123">
        <f t="shared" si="28"/>
        <v>1.3715166558929563E-2</v>
      </c>
      <c r="CR9" s="123">
        <f t="shared" si="28"/>
        <v>8.2420136895256576E-4</v>
      </c>
      <c r="CS9" s="123">
        <f t="shared" si="28"/>
        <v>0</v>
      </c>
      <c r="CT9" s="123">
        <f>IF(OR($CE9="",CD9=""),"",CD9/$CE9)</f>
        <v>0</v>
      </c>
      <c r="CU9" s="124">
        <f t="shared" ref="CU9:CU72" si="29">IF(SUM(CG9:CK9,CN9:CT9)=0,"",SUM(CG9:CK9,CN9:CT9))</f>
        <v>1</v>
      </c>
      <c r="CV9" s="13"/>
      <c r="CW9" s="45">
        <f t="shared" ref="CW9:CW72" si="30">IF(W9="","",W9/60.09)</f>
        <v>0.84460096580460997</v>
      </c>
      <c r="CX9" s="44">
        <f t="shared" ref="CX9:CX72" si="31">IF(X9="","",X9/79.9)</f>
        <v>1.1781840776874091E-2</v>
      </c>
      <c r="CY9" s="44">
        <f t="shared" ref="CY9:CY72" si="32">IF(Y9="","",Y9/(102/2))</f>
        <v>0.29292388192358698</v>
      </c>
      <c r="CZ9" s="44">
        <f t="shared" ref="CZ9:CZ72" si="33">IF(Z9="","",Z9/(151.9922/2))</f>
        <v>0</v>
      </c>
      <c r="DA9" s="44">
        <f t="shared" ref="DA9:DA72" si="34">IF(Q9="","",Q9/71.8)</f>
        <v>0.17270194986072424</v>
      </c>
      <c r="DB9" s="44">
        <f t="shared" ref="DB9:DB72" si="35">IF($AA9="","",$AA9*(1-$EP9)/71.85)</f>
        <v>9.0893484979454681E-2</v>
      </c>
      <c r="DC9" s="47">
        <f t="shared" ref="DC9:DC72" si="36">IF($AA9="","",$AA9*$EP9*1.111/(159.6/2))</f>
        <v>3.7288785830554526E-2</v>
      </c>
      <c r="DD9" s="44">
        <f t="shared" ref="DD9:DD72" si="37">IF(AB9="","",AB9/71)</f>
        <v>0</v>
      </c>
      <c r="DE9" s="44">
        <f t="shared" ref="DE9:DE72" si="38">IF(AC9="","",AC9/40.3)</f>
        <v>0.22089521467333278</v>
      </c>
      <c r="DF9" s="44">
        <f t="shared" ref="DF9:DF72" si="39">IF(AD9="","",AD9/56.1)</f>
        <v>0.22616787894473714</v>
      </c>
      <c r="DG9" s="44">
        <f t="shared" ref="DG9:DG72" si="40">IF(AE9="","",AE9/(62/2))</f>
        <v>7.5916861134858044E-2</v>
      </c>
      <c r="DH9" s="44">
        <f t="shared" ref="DH9:DH72" si="41">IF(AF9="","",AF9/(94.2/2))</f>
        <v>4.5621597524963149E-3</v>
      </c>
      <c r="DI9" s="44">
        <f t="shared" ref="DI9:DI72" si="42">IF(AG9="","",AG9/(70.97/2))</f>
        <v>0</v>
      </c>
      <c r="DJ9" s="44">
        <f>IF(AH9="","",AH9/(18.02/2))</f>
        <v>0</v>
      </c>
      <c r="DK9" s="43">
        <f>IF(SUM(CW9:DA9,DD9:DJ9)=0,"",SUM(CW9:DA9,DD9:DJ9))</f>
        <v>1.8495507528712194</v>
      </c>
      <c r="DL9" s="26"/>
      <c r="DM9" s="45">
        <f>IF(OR($DK9="",CW9=""),"",CW9/$DK9)</f>
        <v>0.45665195426157518</v>
      </c>
      <c r="DN9" s="44">
        <f t="shared" ref="DN9:DZ24" si="43">IF(OR($DK9="",CX9=""),"",CX9/$DK9)</f>
        <v>6.3701094758195249E-3</v>
      </c>
      <c r="DO9" s="44">
        <f t="shared" si="43"/>
        <v>0.15837569283722311</v>
      </c>
      <c r="DP9" s="44">
        <f t="shared" si="43"/>
        <v>0</v>
      </c>
      <c r="DQ9" s="44">
        <f t="shared" si="43"/>
        <v>9.3375080187782844E-2</v>
      </c>
      <c r="DR9" s="44">
        <f t="shared" si="43"/>
        <v>4.9143547338916099E-2</v>
      </c>
      <c r="DS9" s="44">
        <f t="shared" si="43"/>
        <v>2.0160996270401275E-2</v>
      </c>
      <c r="DT9" s="44">
        <f t="shared" si="43"/>
        <v>0</v>
      </c>
      <c r="DU9" s="44">
        <f t="shared" si="43"/>
        <v>0.11943182112219296</v>
      </c>
      <c r="DV9" s="44">
        <f t="shared" si="43"/>
        <v>0.12228260219063303</v>
      </c>
      <c r="DW9" s="44">
        <f t="shared" si="43"/>
        <v>4.1046108638546769E-2</v>
      </c>
      <c r="DX9" s="44">
        <f t="shared" si="43"/>
        <v>2.4666312862267094E-3</v>
      </c>
      <c r="DY9" s="44">
        <f t="shared" si="43"/>
        <v>0</v>
      </c>
      <c r="DZ9" s="44">
        <f t="shared" si="43"/>
        <v>0</v>
      </c>
      <c r="EA9" s="43">
        <f t="shared" ref="EA9:EA72" si="44">IF($DK9="","",DK9/$DK9)</f>
        <v>1</v>
      </c>
      <c r="EB9" s="26"/>
      <c r="EC9" s="30">
        <f t="shared" ref="EC9:EC72" si="45">IF(G9="","",G9+273)</f>
        <v>1323</v>
      </c>
      <c r="ED9" s="14">
        <f>IF(H9="","",H9*1000000000)</f>
        <v>100000</v>
      </c>
      <c r="EE9" s="29"/>
      <c r="EF9" s="128">
        <f>IF(I9="","",-25096.3/(G9+273)+8.735+0.11*(H9*10000-1)/(273+G9)+I9)</f>
        <v>-8.7342365835222964</v>
      </c>
      <c r="EG9" s="13">
        <f>IF(I9="","",I9)</f>
        <v>1.5</v>
      </c>
      <c r="EH9" s="13">
        <f>IF(EF9="","",24930/($EC9)-9.36-0.046*($ED9/100000)/($EC9)+$EF9)</f>
        <v>0.74926606198035017</v>
      </c>
      <c r="EI9" s="12">
        <f t="shared" ref="EI9:EI72" si="46">IF(EF9="","",27489/($EC9)-6.702-0.055*($ED9/100000)/($EC9)+$EF9)</f>
        <v>5.3414996220710531</v>
      </c>
      <c r="EJ9" s="29"/>
      <c r="EK9" s="28">
        <f>IF(OR(EF9="",AW9=""),"",0.196*LN(10^$EF9)+11492/$EC9-6.675+($BC9*-2.243+$BE9*-1.828+$BJ9*3.201+$BK9*5.854+$BL9*6.215)-3.36*(1-1673.15/$EC9-LN($EC9/1673.15))-0.000000701*($ED9/$EC9)-0.000000000154*(($EC9-1673.15)*$ED9/$EC9)+0.0000000000000000385*($ED9^2/$EC9))</f>
        <v>-1.5844604920366181</v>
      </c>
      <c r="EL9" s="24">
        <f>IF(EK9="","",EK9/2.303)</f>
        <v>-0.68799847678533133</v>
      </c>
      <c r="EM9" s="24">
        <f>IF(EK9="","",EXP(EK9))</f>
        <v>0.2050583939155845</v>
      </c>
      <c r="EN9" s="24">
        <f>IF(OR(AA9=0,EM9=""),"",BE9/(1+2*EM9))</f>
        <v>5.6163996246468118E-2</v>
      </c>
      <c r="EO9" s="24">
        <f>IF(OR(AA9=0,EM9=""),"",EM9*EN9)</f>
        <v>1.1516898866181669E-2</v>
      </c>
      <c r="EP9" s="24">
        <f>IF(EN9="","",EO9*2/(EO9*2+EN9))</f>
        <v>0.29083888041780526</v>
      </c>
      <c r="EQ9" s="24">
        <f>IF(AA9="","",LN(AY9/AX9))</f>
        <v>-1.5841428733098544</v>
      </c>
      <c r="ER9" s="24">
        <f t="shared" ref="ER9:ER72" si="47">IF(EQ9="","",(11492/$EC9-6.675+($BC9*-2.243+$BE9*-1.828+$BJ9*3.201+$BK9*5.854+$BL9*6.215)-3.36*(1-1673/$EC9-LN($EC9/1673))-0.000000701*($ED9/$EC9)-0.000000000154*(($EC9-1673)*$ED9/$EC9)+0.0000000000000000385*($ED9^2/$EC9)-$EQ9)/-0.196)</f>
        <v>-20.10929575626913</v>
      </c>
      <c r="ES9" s="25">
        <f t="shared" ref="ES9:ES72" si="48">IF(ER9="","",ER9/2.303)</f>
        <v>-8.7317827860482549</v>
      </c>
      <c r="ET9" s="26">
        <v>0</v>
      </c>
      <c r="EU9" s="26">
        <v>0.29083888041780526</v>
      </c>
      <c r="EV9" s="26">
        <v>0.28292884353268088</v>
      </c>
      <c r="EW9" s="26">
        <v>0.29083888041780526</v>
      </c>
      <c r="EX9" s="26">
        <v>0.28292884353268088</v>
      </c>
      <c r="EY9" s="26">
        <f>EX9/EV9</f>
        <v>1</v>
      </c>
      <c r="EZ9" s="26">
        <f>EU9/EW9</f>
        <v>1</v>
      </c>
      <c r="FA9" s="45">
        <f>IF(EP9="","",8*LOG(BG9/BF9)+8743600/(EC9)^2-27703/(EC9)+20.273)</f>
        <v>-1.1750037142581853</v>
      </c>
      <c r="FB9" s="132">
        <f>IF(FA9="","",1-1/(1+10^FA9))</f>
        <v>6.2646889236044334E-2</v>
      </c>
      <c r="FC9" s="192">
        <v>6.2646889236044334E-2</v>
      </c>
      <c r="FD9" s="26"/>
      <c r="FE9" s="48">
        <f>IF(EG9="","",1/(1+10^(2.1-2*EG9)))</f>
        <v>0.88818423022188309</v>
      </c>
      <c r="FF9" s="26"/>
      <c r="FG9" s="45">
        <f t="shared" ref="FG9:FG40" si="49">IF(EA9="","",-23590/(EC9)+8.77+(1673/(EC9))*(6.7*(DW9+DX9)+1.8*DO9+4.9*DU9+8.1*DV9+5*DN9+8.9*(DQ9+DT9)-22.2*(DQ9+DT9)*DN9+7.2*(DQ9+DT9)*DM9)-2.06*ERF(-7.2*DQ9+DT9))</f>
        <v>-3.5202195889606056</v>
      </c>
      <c r="FH9" s="44">
        <f t="shared" ref="FH9:FH72" si="50">IF($EA9="","",-8.02+(21100+44000*$DW9+18700*$DU9+4300*$DO9+44200*$DX9+35600*$DV9+12600*$DT9+16500*$DR9)/($EC9))</f>
        <v>15.482323194414967</v>
      </c>
      <c r="FI9" s="44">
        <f t="shared" ref="FI9:FI40" si="51">IF(G9="","",-55921/(EC9)+25.07-0.6465*LN(EC9))</f>
        <v>-21.845149910644157</v>
      </c>
      <c r="FJ9" s="13">
        <f t="shared" ref="FJ9:FJ40" si="52">IF(FG9="","",(FH9-FI9-FG9)+2*LN(10)*EF9)</f>
        <v>0.62504678221636567</v>
      </c>
      <c r="FK9" s="43">
        <f t="shared" ref="FK9:FK72" si="53">IF(FJ9="","",1-1/(1+EXP(FJ9)))</f>
        <v>0.6513654884441038</v>
      </c>
      <c r="FL9" s="13"/>
      <c r="FM9" s="45">
        <f t="shared" ref="FM9:FM40" si="54">IF(CU9="","",0.225+(25237*CL9+5214*CP9+12705*CN9+19829*CR9-1109*CG9-8879)/(EC9))</f>
        <v>-6.036994328737384</v>
      </c>
      <c r="FN9" s="44">
        <f t="shared" ref="FN9:FN40" si="55">IF(CU9="","",-12.948+(28649*CQ9+15602*CP9+9496*CO9+16016*CN9+4194*CI9+29244)/(EC9))</f>
        <v>11.493162261792662</v>
      </c>
      <c r="FO9" s="44">
        <f t="shared" ref="FO9:FO40" si="56">IF(CU9="","",-213.65+(25696*CQ9+15076*CP9+9543*CO9+16158*CN9+4316*CI9+68254)/(EC9)+55.03*LOG(EC9))</f>
        <v>12.010989548537111</v>
      </c>
      <c r="FP9" s="47">
        <f>IF(FM9="","",1-1/(1+10^(FN9-$FM9+2*$EF9)))</f>
        <v>0.53544826169257653</v>
      </c>
      <c r="FQ9" s="46">
        <f t="shared" ref="FQ9:FQ40" si="57">IF(FO9="","",1-1/(1+10^(FO9-$FM9+2*$EF9)))</f>
        <v>0.79156301452818134</v>
      </c>
      <c r="FR9" s="13"/>
      <c r="FS9" s="23">
        <f>IF($CU9="","",195.99657+(-7632.6971*$CG9-10669.7107*$CH9-6900.9065*$CI9-4625.0612*$CK9+19113.53*$CN9+11739.931*$CP9+33266.912*$CQ9-4094.9829)/$EC9-57.2083*LOG($EC9))</f>
        <v>10.812353426545826</v>
      </c>
      <c r="FT9" s="13">
        <f>IF($CU9="","",0.646657+(-3368.52*$CG9-1233.439*$CI9+1295.54*$CP9+44885.3*$CR9+10914.48*($CG9*$CL9)-225569.4*($CL9*$CQ9)-871863.8*($CL9*$CR9)+54392.37*($CL9*$CI9)-7584.703)/($EC9)+3.86057*ERF($CL9))</f>
        <v>-6.2522347111496224</v>
      </c>
      <c r="FU9" s="13">
        <f>IF($FS9="","",$FS9-$FT9+2*$EF9)</f>
        <v>-0.40388502934914428</v>
      </c>
      <c r="FV9" s="13">
        <f t="shared" ref="FV9:FV72" si="58">IF($FU9="","",1-1/(1+10^FU9))</f>
        <v>0.28292884353268088</v>
      </c>
      <c r="FW9" s="23">
        <f>IF($FS9="","",$FS9-$FT9+2*($EF9-(0.0546*($H9*10000)/($G9+273))))</f>
        <v>-0.40396756903168551</v>
      </c>
      <c r="FX9" s="13">
        <f>IF($FW9="","",1-1/(1+10^FW9))</f>
        <v>0.28289028681609651</v>
      </c>
      <c r="FY9" s="13">
        <f>IF($FS9="","",$FS9-$FT9+2*($EF9-(0.0332*($H9*10000)/($G9+273))))</f>
        <v>-0.40393521831362023</v>
      </c>
      <c r="FZ9" s="13">
        <f>IF($GA9="","",1-1/(1+10^FY9))</f>
        <v>0.28290539841013385</v>
      </c>
      <c r="GA9" s="13">
        <f>IF($FS9="","",$FS9-$FT9+2*($EF9-(0.0601*($H9*10000)/($G9+273))))</f>
        <v>-0.4039758834685685</v>
      </c>
      <c r="GB9" s="12">
        <f>IF($GA9="","",1-1/(1+10^GA9))</f>
        <v>0.28288640307415291</v>
      </c>
      <c r="GC9" s="22"/>
      <c r="GD9" s="42">
        <f t="shared" ref="GD9:GD40" si="59">EG9</f>
        <v>1.5</v>
      </c>
      <c r="GE9" s="41">
        <f t="shared" ref="GE9:GE40" si="60">EH9</f>
        <v>0.74926606198035017</v>
      </c>
      <c r="GF9" s="41">
        <f t="shared" ref="GF9:GF40" si="61">EI9</f>
        <v>5.3414996220710531</v>
      </c>
      <c r="GG9" s="36">
        <f t="shared" ref="GG9:GG40" si="62">EF9</f>
        <v>-8.7342365835222964</v>
      </c>
      <c r="GH9" s="10">
        <f t="shared" ref="GH9:GH40" si="63">EP9</f>
        <v>0.29083888041780526</v>
      </c>
      <c r="GI9" s="40">
        <f>FS9</f>
        <v>10.812353426545826</v>
      </c>
      <c r="GJ9" s="39">
        <f>FT9</f>
        <v>-6.2522347111496224</v>
      </c>
      <c r="GK9" s="39">
        <f>$FV9</f>
        <v>0.28292884353268088</v>
      </c>
      <c r="GL9" s="38">
        <f>$FX9</f>
        <v>0.28289028681609651</v>
      </c>
      <c r="GM9" s="37">
        <f t="shared" ref="GM9:GM40" si="64">FP9</f>
        <v>0.53544826169257653</v>
      </c>
      <c r="GN9" s="36">
        <f t="shared" ref="GN9:GN40" si="65">FQ9</f>
        <v>0.79156301452818134</v>
      </c>
      <c r="GO9" s="35">
        <f t="shared" ref="GO9:GO40" si="66">FK9</f>
        <v>0.6513654884441038</v>
      </c>
      <c r="GP9" s="35">
        <f t="shared" ref="GP9:GP40" si="67">FE9</f>
        <v>0.88818423022188309</v>
      </c>
      <c r="GQ9" s="35">
        <f t="shared" ref="GQ9:GQ40" si="68">FB9</f>
        <v>6.2646889236044334E-2</v>
      </c>
      <c r="GR9" s="1"/>
    </row>
    <row r="10" spans="1:200" x14ac:dyDescent="0.4">
      <c r="A10" s="34"/>
      <c r="B10" s="21"/>
      <c r="C10" s="21"/>
      <c r="D10" s="34"/>
      <c r="E10" s="34"/>
      <c r="F10" s="20" t="s">
        <v>82</v>
      </c>
      <c r="G10" s="19">
        <v>1050</v>
      </c>
      <c r="H10" s="18">
        <v>1E-4</v>
      </c>
      <c r="I10" s="17">
        <v>1.5</v>
      </c>
      <c r="J10" s="16">
        <v>49.6</v>
      </c>
      <c r="K10" s="16">
        <v>0.92</v>
      </c>
      <c r="L10" s="16">
        <v>14.6</v>
      </c>
      <c r="M10" s="16">
        <v>0</v>
      </c>
      <c r="N10" s="16">
        <v>9</v>
      </c>
      <c r="O10" s="16">
        <v>0</v>
      </c>
      <c r="P10" s="16">
        <v>8.6999999999999993</v>
      </c>
      <c r="Q10" s="16">
        <v>12.4</v>
      </c>
      <c r="R10" s="16">
        <v>2.2999999999999998</v>
      </c>
      <c r="S10" s="16">
        <v>0.21</v>
      </c>
      <c r="T10" s="16">
        <v>0</v>
      </c>
      <c r="U10" s="15">
        <v>0.1</v>
      </c>
      <c r="V10" s="16"/>
      <c r="W10" s="28">
        <f t="shared" ref="W10:W73" si="69">IF(J10="","",J10/SUM($J10:$U10)*100)</f>
        <v>50.700194214453646</v>
      </c>
      <c r="X10" s="24">
        <f t="shared" si="0"/>
        <v>0.94040682817131771</v>
      </c>
      <c r="Y10" s="24">
        <f t="shared" si="0"/>
        <v>14.923847490544823</v>
      </c>
      <c r="Z10" s="24">
        <f t="shared" si="0"/>
        <v>0</v>
      </c>
      <c r="AA10" s="24">
        <f t="shared" si="0"/>
        <v>9.1996320147194108</v>
      </c>
      <c r="AB10" s="24">
        <f t="shared" si="0"/>
        <v>0</v>
      </c>
      <c r="AC10" s="24">
        <f t="shared" si="0"/>
        <v>8.892977614228764</v>
      </c>
      <c r="AD10" s="24">
        <f t="shared" si="0"/>
        <v>12.675048553613411</v>
      </c>
      <c r="AE10" s="24">
        <f t="shared" si="0"/>
        <v>2.351017070428294</v>
      </c>
      <c r="AF10" s="24">
        <f t="shared" si="0"/>
        <v>0.21465808034345293</v>
      </c>
      <c r="AG10" s="24">
        <f t="shared" si="0"/>
        <v>0</v>
      </c>
      <c r="AH10" s="24">
        <f t="shared" si="0"/>
        <v>0.10221813349688236</v>
      </c>
      <c r="AI10" s="14">
        <f>SUM(W10:AH10)</f>
        <v>100</v>
      </c>
      <c r="AJ10" s="26"/>
      <c r="AK10" s="50">
        <f t="shared" ref="AK10:AK73" si="70">IF(W10="","",W10/60.09)</f>
        <v>0.84373763046186789</v>
      </c>
      <c r="AL10" s="47">
        <f t="shared" ref="AL10:AL73" si="71">IF(X10="","",X10/79.9)</f>
        <v>1.1769797599140396E-2</v>
      </c>
      <c r="AM10" s="47">
        <f t="shared" ref="AM10:AM73" si="72">IF(Y10="","",Y10/101.96)</f>
        <v>0.14636963015442159</v>
      </c>
      <c r="AN10" s="49">
        <f t="shared" ref="AN10:AN73" si="73">IF(Z10="","",Z10/151.9922)</f>
        <v>0</v>
      </c>
      <c r="AO10" s="49">
        <f t="shared" ref="AO10:AO73" si="74">IF(AA10="","",AA10/71.85)</f>
        <v>0.12803941565371485</v>
      </c>
      <c r="AP10" s="47">
        <f t="shared" ref="AP10:AP73" si="75">IF(AB10="","",AB10/71)</f>
        <v>0</v>
      </c>
      <c r="AQ10" s="47">
        <f t="shared" ref="AQ10:AQ73" si="76">IF(AC10="","",AC10/40.32)</f>
        <v>0.22055996067035624</v>
      </c>
      <c r="AR10" s="47">
        <f t="shared" ref="AR10:AR73" si="77">IF(AD10="","",AD10/56.08)</f>
        <v>0.22601727092748594</v>
      </c>
      <c r="AS10" s="47">
        <f t="shared" ref="AS10:AS73" si="78">IF(AE10="","",AE10/61.98)</f>
        <v>3.7931866254086705E-2</v>
      </c>
      <c r="AT10" s="47">
        <f t="shared" ref="AT10:AT73" si="79">IF(AF10="","",AF10/94.2)</f>
        <v>2.278748198975084E-3</v>
      </c>
      <c r="AU10" s="47">
        <f t="shared" ref="AU10:AU73" si="80">IF(AG10="","",AG10/70.97)</f>
        <v>0</v>
      </c>
      <c r="AV10" s="47">
        <f t="shared" ref="AV10:AV73" si="81">IF(AH10="","",AH10/18.02)</f>
        <v>5.6724824360090097E-3</v>
      </c>
      <c r="AW10" s="47">
        <f t="shared" ref="AW10:AW73" si="82">IF(SUM(AK10:AV10)=0,"",SUM(AK10:AV10))</f>
        <v>1.6223768023560576</v>
      </c>
      <c r="AX10" s="47">
        <f t="shared" ref="AX10:AX73" si="83">IF(OR(AA10="",I10=""),"",$AA10*(1-$EP10)/71.85)</f>
        <v>9.0823264036230769E-2</v>
      </c>
      <c r="AY10" s="46">
        <f t="shared" ref="AY10:AY73" si="84">IF(OR(AA10="",I10=""),"",($AA10*$EP10)*1.111/159.6)</f>
        <v>1.8613987020794063E-2</v>
      </c>
      <c r="AZ10" s="26"/>
      <c r="BA10" s="23">
        <f t="shared" ref="BA10:BA72" si="85">IF(OR(AW10="",$AK10=""),"",AK10/$AW10)</f>
        <v>0.52006268163879699</v>
      </c>
      <c r="BB10" s="13">
        <f t="shared" si="6"/>
        <v>7.2546633938848177E-3</v>
      </c>
      <c r="BC10" s="13">
        <f t="shared" si="7"/>
        <v>9.02192572908216E-2</v>
      </c>
      <c r="BD10" s="13">
        <f t="shared" si="8"/>
        <v>0</v>
      </c>
      <c r="BE10" s="13">
        <f t="shared" si="9"/>
        <v>7.8920886607705867E-2</v>
      </c>
      <c r="BF10" s="13">
        <f t="shared" si="10"/>
        <v>5.5981609145504839E-2</v>
      </c>
      <c r="BG10" s="13">
        <f t="shared" si="11"/>
        <v>1.1473282281750052E-2</v>
      </c>
      <c r="BH10" s="13">
        <f t="shared" si="12"/>
        <v>0</v>
      </c>
      <c r="BI10" s="13">
        <f t="shared" si="13"/>
        <v>0.13594866516215798</v>
      </c>
      <c r="BJ10" s="13">
        <f t="shared" si="14"/>
        <v>0.13931243999498624</v>
      </c>
      <c r="BK10" s="13">
        <f t="shared" si="15"/>
        <v>2.3380429379291582E-2</v>
      </c>
      <c r="BL10" s="13">
        <f t="shared" si="16"/>
        <v>1.4045739532677162E-3</v>
      </c>
      <c r="BM10" s="13">
        <f t="shared" si="17"/>
        <v>0</v>
      </c>
      <c r="BN10" s="13">
        <f t="shared" ref="BN10:BN72" si="86">IF(OR(AV10="",AW10=""),"",AV10/AW10)</f>
        <v>3.4964025790872278E-3</v>
      </c>
      <c r="BO10" s="12">
        <f t="shared" ref="BO10:BO72" si="87">IF(SUM(BA10:BE10,BH10:BM10)=0,"",SUM(BA10:BE10,BH10:BM10))</f>
        <v>0.99650359742091288</v>
      </c>
      <c r="BP10" s="13"/>
      <c r="BQ10" s="23">
        <f t="shared" ref="BQ10:BQ72" si="88">IF(W10="","",W10/(60.09/2))</f>
        <v>1.6874752609237358</v>
      </c>
      <c r="BR10" s="13">
        <f t="shared" si="18"/>
        <v>2.3539595198280791E-2</v>
      </c>
      <c r="BS10" s="13">
        <f t="shared" si="19"/>
        <v>0.43893669089837717</v>
      </c>
      <c r="BT10" s="13">
        <f t="shared" si="20"/>
        <v>0</v>
      </c>
      <c r="BU10" s="13">
        <f t="shared" si="21"/>
        <v>0.12803941565371485</v>
      </c>
      <c r="BV10" s="13">
        <f t="shared" ref="BV10:BV72" si="89">IF($AA10="","",$AA10*(1-$EP10)/71.85)</f>
        <v>9.0823264036230769E-2</v>
      </c>
      <c r="BW10" s="24">
        <f t="shared" ref="BW10:BW72" si="90">IF(AA10="","",$AA10*$EP10*1.111/(159.6/3))</f>
        <v>5.5841961062382185E-2</v>
      </c>
      <c r="BX10" s="13">
        <f t="shared" si="22"/>
        <v>0</v>
      </c>
      <c r="BY10" s="13">
        <f t="shared" si="23"/>
        <v>0.22066941970790979</v>
      </c>
      <c r="BZ10" s="13">
        <f t="shared" si="24"/>
        <v>0.22593669436031036</v>
      </c>
      <c r="CA10" s="13">
        <f t="shared" si="25"/>
        <v>3.7919630168198291E-2</v>
      </c>
      <c r="CB10" s="13">
        <f t="shared" si="26"/>
        <v>2.278748198975084E-3</v>
      </c>
      <c r="CC10" s="13">
        <f t="shared" si="27"/>
        <v>0</v>
      </c>
      <c r="CD10" s="13">
        <f t="shared" ref="CD10:CD72" si="91">IF(AH10="","",AH10/(18.02))</f>
        <v>5.6724824360090097E-3</v>
      </c>
      <c r="CE10" s="12">
        <f t="shared" ref="CE10:CE72" si="92">IF(SUM(BQ10:BU10,BX10:CD10)=0,"",SUM(BQ10:BU10,BX10:CD10))</f>
        <v>2.7704679375455115</v>
      </c>
      <c r="CF10" s="13"/>
      <c r="CG10" s="23">
        <f t="shared" si="28"/>
        <v>0.60909395053990412</v>
      </c>
      <c r="CH10" s="13">
        <f t="shared" si="28"/>
        <v>8.4966134706960846E-3</v>
      </c>
      <c r="CI10" s="13">
        <f t="shared" si="28"/>
        <v>0.15843413488020797</v>
      </c>
      <c r="CJ10" s="13">
        <f t="shared" si="28"/>
        <v>0</v>
      </c>
      <c r="CK10" s="13">
        <f t="shared" si="28"/>
        <v>4.6215808498816638E-2</v>
      </c>
      <c r="CL10" s="13">
        <f>IF(OR($CE10="",BV10=""),"",BV10/$CE10)</f>
        <v>3.278264397338429E-2</v>
      </c>
      <c r="CM10" s="13">
        <f t="shared" si="28"/>
        <v>2.0156147741545501E-2</v>
      </c>
      <c r="CN10" s="13">
        <f t="shared" si="28"/>
        <v>0</v>
      </c>
      <c r="CO10" s="13">
        <f t="shared" si="28"/>
        <v>7.9650595019486584E-2</v>
      </c>
      <c r="CP10" s="13">
        <f t="shared" si="28"/>
        <v>8.1551817040870847E-2</v>
      </c>
      <c r="CQ10" s="13">
        <f t="shared" si="28"/>
        <v>1.368708500622212E-2</v>
      </c>
      <c r="CR10" s="13">
        <f t="shared" si="28"/>
        <v>8.2251383172256981E-4</v>
      </c>
      <c r="CS10" s="13">
        <f t="shared" si="28"/>
        <v>0</v>
      </c>
      <c r="CT10" s="13">
        <f t="shared" si="28"/>
        <v>2.0474817120729903E-3</v>
      </c>
      <c r="CU10" s="12">
        <f t="shared" si="29"/>
        <v>1</v>
      </c>
      <c r="CV10" s="26"/>
      <c r="CW10" s="23">
        <f t="shared" si="30"/>
        <v>0.84373763046186789</v>
      </c>
      <c r="CX10" s="13">
        <f t="shared" si="31"/>
        <v>1.1769797599140396E-2</v>
      </c>
      <c r="CY10" s="13">
        <f t="shared" si="32"/>
        <v>0.29262446059891811</v>
      </c>
      <c r="CZ10" s="13">
        <f t="shared" si="33"/>
        <v>0</v>
      </c>
      <c r="DA10" s="13">
        <f t="shared" si="34"/>
        <v>0.17270194986072424</v>
      </c>
      <c r="DB10" s="13">
        <f t="shared" si="35"/>
        <v>9.0823264036230769E-2</v>
      </c>
      <c r="DC10" s="24">
        <f t="shared" si="36"/>
        <v>3.7227974041588126E-2</v>
      </c>
      <c r="DD10" s="13">
        <f t="shared" si="37"/>
        <v>0</v>
      </c>
      <c r="DE10" s="13">
        <f t="shared" si="38"/>
        <v>0.22066941970790979</v>
      </c>
      <c r="DF10" s="13">
        <f t="shared" si="39"/>
        <v>0.22593669436031036</v>
      </c>
      <c r="DG10" s="13">
        <f t="shared" si="40"/>
        <v>7.5839260336396583E-2</v>
      </c>
      <c r="DH10" s="13">
        <f t="shared" si="41"/>
        <v>4.5574963979501679E-3</v>
      </c>
      <c r="DI10" s="13">
        <f t="shared" si="42"/>
        <v>0</v>
      </c>
      <c r="DJ10" s="13">
        <f t="shared" ref="DJ10:DJ73" si="93">IF(AH10="","",AH10/(18.02/2))</f>
        <v>1.1344964872018019E-2</v>
      </c>
      <c r="DK10" s="12">
        <f t="shared" ref="DK10:DK73" si="94">IF(SUM(CW10:DA10,DD10:DJ10)=0,"",SUM(CW10:DA10,DD10:DJ10))</f>
        <v>1.8591816741952356</v>
      </c>
      <c r="DL10" s="26"/>
      <c r="DM10" s="23">
        <f t="shared" ref="DM10:DZ42" si="95">IF(OR($DK10="",CW10=""),"",CW10/$DK10)</f>
        <v>0.45382204556587386</v>
      </c>
      <c r="DN10" s="13">
        <f t="shared" si="43"/>
        <v>6.3306333977474595E-3</v>
      </c>
      <c r="DO10" s="13">
        <f t="shared" si="43"/>
        <v>0.15739422599761982</v>
      </c>
      <c r="DP10" s="13">
        <f t="shared" si="43"/>
        <v>0</v>
      </c>
      <c r="DQ10" s="13">
        <f t="shared" si="43"/>
        <v>9.2891379179218678E-2</v>
      </c>
      <c r="DR10" s="13">
        <f t="shared" si="43"/>
        <v>4.8851204428714302E-2</v>
      </c>
      <c r="DS10" s="13">
        <f t="shared" si="43"/>
        <v>2.0023849502336884E-2</v>
      </c>
      <c r="DT10" s="13">
        <f t="shared" si="43"/>
        <v>0</v>
      </c>
      <c r="DU10" s="13">
        <f t="shared" si="43"/>
        <v>0.1186916925713721</v>
      </c>
      <c r="DV10" s="13">
        <f t="shared" si="43"/>
        <v>0.12152480712144992</v>
      </c>
      <c r="DW10" s="13">
        <f t="shared" si="43"/>
        <v>4.079174261935662E-2</v>
      </c>
      <c r="DX10" s="13">
        <f t="shared" si="43"/>
        <v>2.4513453747993311E-3</v>
      </c>
      <c r="DY10" s="13">
        <f t="shared" si="43"/>
        <v>0</v>
      </c>
      <c r="DZ10" s="13">
        <f t="shared" si="43"/>
        <v>6.1021281725621539E-3</v>
      </c>
      <c r="EA10" s="12">
        <f t="shared" si="44"/>
        <v>1</v>
      </c>
      <c r="EB10" s="26"/>
      <c r="EC10" s="30">
        <f t="shared" si="45"/>
        <v>1323</v>
      </c>
      <c r="ED10" s="14">
        <f t="shared" ref="ED10:ED72" si="96">IF(H10="","",H10*1000000000)</f>
        <v>100000</v>
      </c>
      <c r="EE10" s="29"/>
      <c r="EF10" s="128">
        <f>IF(I10="","",-25096.3/(G10+273)+8.735+0.11*(H10*10000-1)/(273+G10)+I10)</f>
        <v>-8.7342365835222964</v>
      </c>
      <c r="EG10" s="13">
        <f t="shared" ref="EG10:EG73" si="97">IF(I10="","",I10)</f>
        <v>1.5</v>
      </c>
      <c r="EH10" s="13">
        <f t="shared" ref="EH10:EH73" si="98">IF(EF10="","",24930/($EC10)-9.36-0.046*($ED10/100000)/($EC10)+$EF10)</f>
        <v>0.74926606198035017</v>
      </c>
      <c r="EI10" s="12">
        <f t="shared" si="46"/>
        <v>5.3414996220710531</v>
      </c>
      <c r="EJ10" s="29"/>
      <c r="EK10" s="28">
        <f t="shared" ref="EK10:EK73" si="99">IF(OR(EF10="",AW10=""),"",0.196*LN(10^$EF10)+11492/$EC10-6.675+($BC10*-2.243+$BE10*-1.828+$BJ10*3.201+$BK10*5.854+$BL10*6.215)-3.36*(1-1673.15/$EC10-LN($EC10/1673.15))-0.000000701*($ED10/$EC10)-0.000000000154*(($EC10-1673.15)*$ED10/$EC10)+0.0000000000000000385*($ED10^2/$EC10))</f>
        <v>-1.5853197948887809</v>
      </c>
      <c r="EL10" s="24">
        <f t="shared" ref="EL10:EL72" si="100">IF(EK10="","",EK10/2.303)</f>
        <v>-0.68837160003855014</v>
      </c>
      <c r="EM10" s="24">
        <f t="shared" ref="EM10:EM73" si="101">IF(EK10="","",EXP(EK10))</f>
        <v>0.20488226233885401</v>
      </c>
      <c r="EN10" s="24">
        <f t="shared" ref="EN10:EN72" si="102">IF(OR(AA10=0,EM10=""),"",BE10/(1+2*EM10))</f>
        <v>5.5981609145504846E-2</v>
      </c>
      <c r="EO10" s="24">
        <f t="shared" ref="EO10:EO72" si="103">IF(OR(AA10=0,EM10=""),"",EM10*EN10)</f>
        <v>1.1469638731100512E-2</v>
      </c>
      <c r="EP10" s="24">
        <f t="shared" ref="EP10:EP72" si="104">IF(EN10="","",EO10*2/(EO10*2+EN10))</f>
        <v>0.29066167966695428</v>
      </c>
      <c r="EQ10" s="24">
        <f t="shared" ref="EQ10:EQ72" si="105">IF(AA10="","",LN(AY10/AX10))</f>
        <v>-1.5850021761620172</v>
      </c>
      <c r="ER10" s="24">
        <f t="shared" si="47"/>
        <v>-20.109295756269134</v>
      </c>
      <c r="ES10" s="25">
        <f t="shared" si="48"/>
        <v>-8.7317827860482566</v>
      </c>
      <c r="ET10" s="26">
        <v>0.1</v>
      </c>
      <c r="EU10" s="26">
        <v>0.29083888041780526</v>
      </c>
      <c r="EV10" s="26">
        <v>0.28544953039426557</v>
      </c>
      <c r="EW10" s="26">
        <v>0.29066167966695428</v>
      </c>
      <c r="EX10" s="26">
        <v>0.28539947667942578</v>
      </c>
      <c r="EY10" s="26">
        <f t="shared" ref="EY10:EY73" si="106">EX10/EV10</f>
        <v>0.99982464951064853</v>
      </c>
      <c r="EZ10" s="26">
        <f t="shared" ref="EZ10:EZ73" si="107">EU10/EW10</f>
        <v>1.0006096460704901</v>
      </c>
      <c r="FA10" s="23">
        <f>IF(EP10="","",8*LOG(BG10/BF10)+8743600/(EC10)^2-27703/(EC10)+20.273)</f>
        <v>-1.1779892381540122</v>
      </c>
      <c r="FB10" s="190">
        <f t="shared" ref="FB9:FC72" si="108">IF(FA10="","",1-1/(1+10^FA10))</f>
        <v>6.2244419247251104E-2</v>
      </c>
      <c r="FC10" s="124">
        <v>6.2646889236044334E-2</v>
      </c>
      <c r="FD10" s="26"/>
      <c r="FE10" s="27">
        <f t="shared" ref="FE10:FE72" si="109">IF(EG10="","",1/(1+10^(2.1-2*EG10)))</f>
        <v>0.88818423022188309</v>
      </c>
      <c r="FF10" s="26"/>
      <c r="FG10" s="23">
        <f t="shared" si="49"/>
        <v>-3.5521583042379303</v>
      </c>
      <c r="FH10" s="13">
        <f t="shared" si="50"/>
        <v>15.435664376636169</v>
      </c>
      <c r="FI10" s="13">
        <f t="shared" si="51"/>
        <v>-21.845149910644157</v>
      </c>
      <c r="FJ10" s="13">
        <f t="shared" si="52"/>
        <v>0.61032667971488053</v>
      </c>
      <c r="FK10" s="12">
        <f t="shared" si="53"/>
        <v>0.64801531853803573</v>
      </c>
      <c r="FL10" s="13"/>
      <c r="FM10" s="23">
        <f t="shared" si="54"/>
        <v>-6.0377579776055388</v>
      </c>
      <c r="FN10" s="13">
        <f t="shared" si="55"/>
        <v>11.488377596226425</v>
      </c>
      <c r="FO10" s="13">
        <f t="shared" si="56"/>
        <v>12.006298304581463</v>
      </c>
      <c r="FP10" s="24">
        <f t="shared" ref="FP10:FP40" si="110">IF(FM10="","",1-1/(1+10^(FN10-$FM10+2*$EF10)))</f>
        <v>0.53314447308789625</v>
      </c>
      <c r="FQ10" s="25">
        <f t="shared" si="57"/>
        <v>0.79006696366088613</v>
      </c>
      <c r="FR10" s="13"/>
      <c r="FS10" s="23">
        <f t="shared" ref="FS10:FS72" si="111">IF($CU10="","",195.99657+(-7632.6971*$CG10-10669.7107*$CH10-6900.9065*$CI10-4625.0612*$CK10+19113.53*$CN10+11739.931*$CP10+33266.912*$CQ10-4094.9829)/$EC10-57.2083*LOG($EC10))</f>
        <v>10.819539799416134</v>
      </c>
      <c r="FT10" s="13">
        <f>IF($CU10="","",0.646657+(-3368.52*$CG10-1233.439*$CI10+1295.54*$CP10+44885.3*$CR10+10914.48*($CG10*$CL10)-225569.4*($CL10*$CQ10)-871863.8*($CL10*$CR10)+54392.37*($CL10*$CI10)-7584.703)/($EC10)+3.86057*ERF($CL10))</f>
        <v>-6.2503232101553534</v>
      </c>
      <c r="FU10" s="13">
        <f t="shared" ref="FU10:FU40" si="112">IF($FS10="","",$FS10-$FT10+2*$EF10)</f>
        <v>-0.39861015747310446</v>
      </c>
      <c r="FV10" s="13">
        <f t="shared" si="58"/>
        <v>0.28539947667942578</v>
      </c>
      <c r="FW10" s="23">
        <f t="shared" ref="FW10:FW40" si="113">IF($FS10="","",$FS10-$FT10+2*($EF10-(0.0546*($H10*10000)/($G10+273))))</f>
        <v>-0.3986926971556457</v>
      </c>
      <c r="FX10" s="13">
        <f t="shared" ref="FX10:FX40" si="114">IF($FW10="","",1-1/(1+10^FW10))</f>
        <v>0.28536071725927981</v>
      </c>
      <c r="FY10" s="13">
        <f t="shared" ref="FY10:FY40" si="115">IF($FS10="","",$FS10-$FT10+2*($EF10-(0.0332*($H10*10000)/($G10+273))))</f>
        <v>-0.39866034643758042</v>
      </c>
      <c r="FZ10" s="13">
        <f t="shared" ref="FZ10:FZ73" si="116">IF($GA10="","",1-1/(1+10^FY10))</f>
        <v>0.28537590830357729</v>
      </c>
      <c r="GA10" s="13">
        <f t="shared" ref="GA10:GA40" si="117">IF($FS10="","",$FS10-$FT10+2*($EF10-(0.0601*($H10*10000)/($G10+273))))</f>
        <v>-0.39870101159252869</v>
      </c>
      <c r="GB10" s="12">
        <f t="shared" ref="GB10:GB73" si="118">IF($GA10="","",1-1/(1+10^GA10))</f>
        <v>0.28535681309738881</v>
      </c>
      <c r="GC10" s="22"/>
      <c r="GD10" s="11">
        <f t="shared" si="59"/>
        <v>1.5</v>
      </c>
      <c r="GE10" s="10">
        <f t="shared" si="60"/>
        <v>0.74926606198035017</v>
      </c>
      <c r="GF10" s="10">
        <f t="shared" si="61"/>
        <v>5.3414996220710531</v>
      </c>
      <c r="GG10" s="5">
        <f t="shared" si="62"/>
        <v>-8.7342365835222964</v>
      </c>
      <c r="GH10" s="10">
        <f t="shared" si="63"/>
        <v>0.29066167966695428</v>
      </c>
      <c r="GI10" s="9">
        <f t="shared" ref="GI10:GI59" si="119">FS10</f>
        <v>10.819539799416134</v>
      </c>
      <c r="GJ10" s="8">
        <f t="shared" ref="GJ10:GJ59" si="120">FT10</f>
        <v>-6.2503232101553534</v>
      </c>
      <c r="GK10" s="8">
        <f t="shared" ref="GK10:GK73" si="121">$FV10</f>
        <v>0.28539947667942578</v>
      </c>
      <c r="GL10" s="7">
        <f t="shared" ref="GL10:GL73" si="122">$FX10</f>
        <v>0.28536071725927981</v>
      </c>
      <c r="GM10" s="6">
        <f t="shared" si="64"/>
        <v>0.53314447308789625</v>
      </c>
      <c r="GN10" s="5">
        <f t="shared" si="65"/>
        <v>0.79006696366088613</v>
      </c>
      <c r="GO10" s="4">
        <f t="shared" si="66"/>
        <v>0.64801531853803573</v>
      </c>
      <c r="GP10" s="4">
        <f t="shared" si="67"/>
        <v>0.88818423022188309</v>
      </c>
      <c r="GQ10" s="4">
        <f t="shared" si="68"/>
        <v>6.2244419247251104E-2</v>
      </c>
      <c r="GR10" s="1"/>
    </row>
    <row r="11" spans="1:200" x14ac:dyDescent="0.4">
      <c r="A11" s="34"/>
      <c r="B11" s="21"/>
      <c r="C11" s="21"/>
      <c r="D11" s="34"/>
      <c r="E11" s="34"/>
      <c r="F11" s="20" t="s">
        <v>82</v>
      </c>
      <c r="G11" s="19">
        <v>1050</v>
      </c>
      <c r="H11" s="18">
        <v>1E-4</v>
      </c>
      <c r="I11" s="17">
        <v>1.5</v>
      </c>
      <c r="J11" s="16">
        <v>49.6</v>
      </c>
      <c r="K11" s="16">
        <v>0.92</v>
      </c>
      <c r="L11" s="16">
        <v>14.6</v>
      </c>
      <c r="M11" s="16">
        <v>0</v>
      </c>
      <c r="N11" s="16">
        <v>9</v>
      </c>
      <c r="O11" s="16">
        <v>0</v>
      </c>
      <c r="P11" s="16">
        <v>8.6999999999999993</v>
      </c>
      <c r="Q11" s="16">
        <v>12.4</v>
      </c>
      <c r="R11" s="16">
        <v>2.2999999999999998</v>
      </c>
      <c r="S11" s="16">
        <v>0.21</v>
      </c>
      <c r="T11" s="16">
        <v>0</v>
      </c>
      <c r="U11" s="15">
        <v>0.2</v>
      </c>
      <c r="V11" s="16"/>
      <c r="W11" s="28">
        <f t="shared" si="69"/>
        <v>50.648422342489532</v>
      </c>
      <c r="X11" s="24">
        <f t="shared" si="0"/>
        <v>0.93944654344940248</v>
      </c>
      <c r="Y11" s="24">
        <f t="shared" si="0"/>
        <v>14.908608189523129</v>
      </c>
      <c r="Z11" s="24">
        <f t="shared" si="0"/>
        <v>0</v>
      </c>
      <c r="AA11" s="24">
        <f t="shared" si="0"/>
        <v>9.1902379250485033</v>
      </c>
      <c r="AB11" s="24">
        <f t="shared" si="0"/>
        <v>0</v>
      </c>
      <c r="AC11" s="24">
        <f t="shared" si="0"/>
        <v>8.8838966608802199</v>
      </c>
      <c r="AD11" s="24">
        <f t="shared" si="0"/>
        <v>12.662105585622383</v>
      </c>
      <c r="AE11" s="24">
        <f t="shared" si="0"/>
        <v>2.3486163586235063</v>
      </c>
      <c r="AF11" s="24">
        <f t="shared" si="0"/>
        <v>0.21443888491779842</v>
      </c>
      <c r="AG11" s="24">
        <f t="shared" si="0"/>
        <v>0</v>
      </c>
      <c r="AH11" s="24">
        <f t="shared" si="0"/>
        <v>0.20422750944552232</v>
      </c>
      <c r="AI11" s="14">
        <f t="shared" ref="AI11:AI73" si="123">SUM(W11:AH11)</f>
        <v>99.999999999999986</v>
      </c>
      <c r="AJ11" s="26"/>
      <c r="AK11" s="50">
        <f t="shared" si="70"/>
        <v>0.84287605828739443</v>
      </c>
      <c r="AL11" s="47">
        <f t="shared" si="71"/>
        <v>1.1757779016888641E-2</v>
      </c>
      <c r="AM11" s="47">
        <f t="shared" si="72"/>
        <v>0.14622016662929707</v>
      </c>
      <c r="AN11" s="49">
        <f t="shared" si="73"/>
        <v>0</v>
      </c>
      <c r="AO11" s="49">
        <f t="shared" si="74"/>
        <v>0.12790866979886575</v>
      </c>
      <c r="AP11" s="47">
        <f t="shared" si="75"/>
        <v>0</v>
      </c>
      <c r="AQ11" s="47">
        <f t="shared" si="76"/>
        <v>0.22033473861310068</v>
      </c>
      <c r="AR11" s="47">
        <f t="shared" si="77"/>
        <v>0.22578647620581996</v>
      </c>
      <c r="AS11" s="47">
        <f t="shared" si="78"/>
        <v>3.7893132601218238E-2</v>
      </c>
      <c r="AT11" s="47">
        <f t="shared" si="79"/>
        <v>2.2764212836284331E-3</v>
      </c>
      <c r="AU11" s="47">
        <f t="shared" si="80"/>
        <v>0</v>
      </c>
      <c r="AV11" s="47">
        <f t="shared" si="81"/>
        <v>1.1333380102415223E-2</v>
      </c>
      <c r="AW11" s="47">
        <f t="shared" si="82"/>
        <v>1.6263868225386284</v>
      </c>
      <c r="AX11" s="47">
        <f t="shared" si="83"/>
        <v>9.0753020492337799E-2</v>
      </c>
      <c r="AY11" s="46">
        <f t="shared" si="84"/>
        <v>1.8583726255456463E-2</v>
      </c>
      <c r="AZ11" s="26"/>
      <c r="BA11" s="23">
        <f t="shared" si="85"/>
        <v>0.51825066866426561</v>
      </c>
      <c r="BB11" s="13">
        <f t="shared" si="6"/>
        <v>7.2293865481127756E-3</v>
      </c>
      <c r="BC11" s="13">
        <f t="shared" si="7"/>
        <v>8.9904913519320021E-2</v>
      </c>
      <c r="BD11" s="13">
        <f t="shared" si="8"/>
        <v>0</v>
      </c>
      <c r="BE11" s="13">
        <f t="shared" si="9"/>
        <v>7.8645908849170956E-2</v>
      </c>
      <c r="BF11" s="13">
        <f t="shared" si="10"/>
        <v>5.580039092463953E-2</v>
      </c>
      <c r="BG11" s="13">
        <f t="shared" si="11"/>
        <v>1.1426387620657865E-2</v>
      </c>
      <c r="BH11" s="13">
        <f t="shared" si="12"/>
        <v>0</v>
      </c>
      <c r="BI11" s="13">
        <f t="shared" si="13"/>
        <v>0.13547499005751903</v>
      </c>
      <c r="BJ11" s="13">
        <f t="shared" si="14"/>
        <v>0.13882704475764854</v>
      </c>
      <c r="BK11" s="13">
        <f t="shared" si="15"/>
        <v>2.329896681164129E-2</v>
      </c>
      <c r="BL11" s="13">
        <f t="shared" si="16"/>
        <v>1.399680108127761E-3</v>
      </c>
      <c r="BM11" s="13">
        <f t="shared" si="17"/>
        <v>0</v>
      </c>
      <c r="BN11" s="13">
        <f t="shared" si="86"/>
        <v>6.9684406841940228E-3</v>
      </c>
      <c r="BO11" s="12">
        <f t="shared" si="87"/>
        <v>0.99303155931580611</v>
      </c>
      <c r="BP11" s="13"/>
      <c r="BQ11" s="23">
        <f t="shared" si="88"/>
        <v>1.6857521165747889</v>
      </c>
      <c r="BR11" s="13">
        <f t="shared" si="18"/>
        <v>2.3515558033777282E-2</v>
      </c>
      <c r="BS11" s="13">
        <f t="shared" si="19"/>
        <v>0.43848847616244496</v>
      </c>
      <c r="BT11" s="13">
        <f t="shared" si="20"/>
        <v>0</v>
      </c>
      <c r="BU11" s="13">
        <f t="shared" si="21"/>
        <v>0.12790866979886575</v>
      </c>
      <c r="BV11" s="13">
        <f t="shared" si="89"/>
        <v>9.0753020492337799E-2</v>
      </c>
      <c r="BW11" s="24">
        <f t="shared" si="90"/>
        <v>5.5751178766369397E-2</v>
      </c>
      <c r="BX11" s="13">
        <f t="shared" si="22"/>
        <v>0</v>
      </c>
      <c r="BY11" s="13">
        <f t="shared" si="23"/>
        <v>0.22044408587792111</v>
      </c>
      <c r="BZ11" s="13">
        <f t="shared" si="24"/>
        <v>0.22570598191840255</v>
      </c>
      <c r="CA11" s="13">
        <f t="shared" si="25"/>
        <v>3.788090901005655E-2</v>
      </c>
      <c r="CB11" s="13">
        <f t="shared" si="26"/>
        <v>2.2764212836284331E-3</v>
      </c>
      <c r="CC11" s="13">
        <f t="shared" si="27"/>
        <v>0</v>
      </c>
      <c r="CD11" s="13">
        <f t="shared" si="91"/>
        <v>1.1333380102415223E-2</v>
      </c>
      <c r="CE11" s="12">
        <f t="shared" si="92"/>
        <v>2.7733055987623012</v>
      </c>
      <c r="CF11" s="13"/>
      <c r="CG11" s="23">
        <f t="shared" si="28"/>
        <v>0.60784939003012262</v>
      </c>
      <c r="CH11" s="13">
        <f t="shared" si="28"/>
        <v>8.4792523565639655E-3</v>
      </c>
      <c r="CI11" s="13">
        <f t="shared" si="28"/>
        <v>0.15811040671397267</v>
      </c>
      <c r="CJ11" s="13">
        <f t="shared" si="28"/>
        <v>0</v>
      </c>
      <c r="CK11" s="13">
        <f t="shared" si="28"/>
        <v>4.6121375825278733E-2</v>
      </c>
      <c r="CL11" s="13">
        <f t="shared" si="28"/>
        <v>3.2723772141389676E-2</v>
      </c>
      <c r="CM11" s="13">
        <f t="shared" si="28"/>
        <v>2.0102789534355896E-2</v>
      </c>
      <c r="CN11" s="13">
        <f t="shared" si="28"/>
        <v>0</v>
      </c>
      <c r="CO11" s="13">
        <f t="shared" si="28"/>
        <v>7.9487845110291167E-2</v>
      </c>
      <c r="CP11" s="13">
        <f t="shared" si="28"/>
        <v>8.1385182368337944E-2</v>
      </c>
      <c r="CQ11" s="13">
        <f t="shared" si="28"/>
        <v>1.3659118211481067E-2</v>
      </c>
      <c r="CR11" s="13">
        <f t="shared" si="28"/>
        <v>8.208331907757938E-4</v>
      </c>
      <c r="CS11" s="13">
        <f t="shared" si="28"/>
        <v>0</v>
      </c>
      <c r="CT11" s="13">
        <f t="shared" si="28"/>
        <v>4.0865961931758248E-3</v>
      </c>
      <c r="CU11" s="12">
        <f t="shared" si="29"/>
        <v>0.99999999999999978</v>
      </c>
      <c r="CV11" s="26"/>
      <c r="CW11" s="23">
        <f t="shared" si="30"/>
        <v>0.84287605828739443</v>
      </c>
      <c r="CX11" s="13">
        <f t="shared" si="31"/>
        <v>1.1757779016888641E-2</v>
      </c>
      <c r="CY11" s="13">
        <f t="shared" si="32"/>
        <v>0.29232565077496331</v>
      </c>
      <c r="CZ11" s="13">
        <f t="shared" si="33"/>
        <v>0</v>
      </c>
      <c r="DA11" s="13">
        <f t="shared" si="34"/>
        <v>0.17270194986072424</v>
      </c>
      <c r="DB11" s="13">
        <f t="shared" si="35"/>
        <v>9.0753020492337799E-2</v>
      </c>
      <c r="DC11" s="24">
        <f t="shared" si="36"/>
        <v>3.7167452510912927E-2</v>
      </c>
      <c r="DD11" s="13">
        <f t="shared" si="37"/>
        <v>0</v>
      </c>
      <c r="DE11" s="13">
        <f t="shared" si="38"/>
        <v>0.22044408587792111</v>
      </c>
      <c r="DF11" s="13">
        <f t="shared" si="39"/>
        <v>0.22570598191840255</v>
      </c>
      <c r="DG11" s="13">
        <f t="shared" si="40"/>
        <v>7.57618180201131E-2</v>
      </c>
      <c r="DH11" s="13">
        <f t="shared" si="41"/>
        <v>4.5528425672568661E-3</v>
      </c>
      <c r="DI11" s="13">
        <f t="shared" si="42"/>
        <v>0</v>
      </c>
      <c r="DJ11" s="13">
        <f t="shared" si="93"/>
        <v>2.2666760204830445E-2</v>
      </c>
      <c r="DK11" s="12">
        <f t="shared" si="94"/>
        <v>1.868792926528495</v>
      </c>
      <c r="DL11" s="26"/>
      <c r="DM11" s="23">
        <f t="shared" si="95"/>
        <v>0.45102699519156297</v>
      </c>
      <c r="DN11" s="13">
        <f t="shared" si="43"/>
        <v>6.2916435791150567E-3</v>
      </c>
      <c r="DO11" s="13">
        <f t="shared" si="43"/>
        <v>0.15642484869524467</v>
      </c>
      <c r="DP11" s="13">
        <f t="shared" si="43"/>
        <v>0</v>
      </c>
      <c r="DQ11" s="13">
        <f t="shared" si="43"/>
        <v>9.2413636315254372E-2</v>
      </c>
      <c r="DR11" s="13">
        <f t="shared" si="43"/>
        <v>4.8562373714097003E-2</v>
      </c>
      <c r="DS11" s="13">
        <f t="shared" si="43"/>
        <v>1.9888480945802749E-2</v>
      </c>
      <c r="DT11" s="13">
        <f t="shared" si="43"/>
        <v>0</v>
      </c>
      <c r="DU11" s="13">
        <f t="shared" si="43"/>
        <v>0.11796068079486056</v>
      </c>
      <c r="DV11" s="13">
        <f t="shared" si="43"/>
        <v>0.12077634643966587</v>
      </c>
      <c r="DW11" s="13">
        <f t="shared" si="43"/>
        <v>4.0540509836394595E-2</v>
      </c>
      <c r="DX11" s="13">
        <f t="shared" si="43"/>
        <v>2.4362477525609605E-3</v>
      </c>
      <c r="DY11" s="13">
        <f t="shared" si="43"/>
        <v>0</v>
      </c>
      <c r="DZ11" s="13">
        <f t="shared" si="43"/>
        <v>1.212909139534076E-2</v>
      </c>
      <c r="EA11" s="12">
        <f t="shared" si="44"/>
        <v>1</v>
      </c>
      <c r="EB11" s="26"/>
      <c r="EC11" s="30">
        <f t="shared" si="45"/>
        <v>1323</v>
      </c>
      <c r="ED11" s="14">
        <f t="shared" si="96"/>
        <v>100000</v>
      </c>
      <c r="EE11" s="29"/>
      <c r="EF11" s="128">
        <f t="shared" ref="EF11:EF74" si="124">IF(I11="","",-25096.3/(G11+273)+8.735+0.11*(H11*10000-1)/(273+G11)+I11)</f>
        <v>-8.7342365835222964</v>
      </c>
      <c r="EG11" s="13">
        <f t="shared" si="97"/>
        <v>1.5</v>
      </c>
      <c r="EH11" s="13">
        <f t="shared" si="98"/>
        <v>0.74926606198035017</v>
      </c>
      <c r="EI11" s="12">
        <f t="shared" si="46"/>
        <v>5.3414996220710531</v>
      </c>
      <c r="EJ11" s="29"/>
      <c r="EK11" s="28">
        <f t="shared" si="99"/>
        <v>-1.5861731097399887</v>
      </c>
      <c r="EL11" s="24">
        <f t="shared" si="100"/>
        <v>-0.688742123204511</v>
      </c>
      <c r="EM11" s="24">
        <f t="shared" si="101"/>
        <v>0.20470750783256289</v>
      </c>
      <c r="EN11" s="24">
        <f t="shared" si="102"/>
        <v>5.5800390924639523E-2</v>
      </c>
      <c r="EO11" s="24">
        <f t="shared" si="103"/>
        <v>1.1422758962265717E-2</v>
      </c>
      <c r="EP11" s="24">
        <f t="shared" si="104"/>
        <v>0.29048577680429793</v>
      </c>
      <c r="EQ11" s="24">
        <f t="shared" si="105"/>
        <v>-1.585855491013225</v>
      </c>
      <c r="ER11" s="24">
        <f t="shared" si="47"/>
        <v>-20.10929575626913</v>
      </c>
      <c r="ES11" s="25">
        <f t="shared" si="48"/>
        <v>-8.7317827860482549</v>
      </c>
      <c r="ET11" s="26">
        <v>0.2</v>
      </c>
      <c r="EU11" s="26">
        <v>0.29083888041780526</v>
      </c>
      <c r="EV11" s="26">
        <v>0.28797215135911169</v>
      </c>
      <c r="EW11" s="26">
        <v>0.29048577680429793</v>
      </c>
      <c r="EX11" s="26">
        <v>0.28787223022722763</v>
      </c>
      <c r="EY11" s="26">
        <f t="shared" si="106"/>
        <v>0.99965301807340579</v>
      </c>
      <c r="EZ11" s="26">
        <f t="shared" si="107"/>
        <v>1.0012155624877468</v>
      </c>
      <c r="FA11" s="23">
        <f t="shared" ref="FA11:FA74" si="125">IF(EP11="","",8*LOG(BG11/BF11)+8743600/(EC11)^2-27703/(EC11)+20.273)</f>
        <v>-1.1809539576036556</v>
      </c>
      <c r="FB11" s="190">
        <f t="shared" si="108"/>
        <v>6.1847143732403409E-2</v>
      </c>
      <c r="FC11" s="124">
        <v>6.2646889236044334E-2</v>
      </c>
      <c r="FD11" s="26"/>
      <c r="FE11" s="27">
        <f t="shared" si="109"/>
        <v>0.88818423022188309</v>
      </c>
      <c r="FF11" s="26"/>
      <c r="FG11" s="23">
        <f t="shared" si="49"/>
        <v>-3.5837038563700618</v>
      </c>
      <c r="FH11" s="13">
        <f t="shared" si="50"/>
        <v>15.389579186132053</v>
      </c>
      <c r="FI11" s="13">
        <f t="shared" si="51"/>
        <v>-21.845149910644157</v>
      </c>
      <c r="FJ11" s="13">
        <f t="shared" si="52"/>
        <v>0.59578704134290206</v>
      </c>
      <c r="FK11" s="12">
        <f t="shared" si="53"/>
        <v>0.64469185727755085</v>
      </c>
      <c r="FL11" s="13"/>
      <c r="FM11" s="23">
        <f t="shared" si="54"/>
        <v>-6.0385196476211247</v>
      </c>
      <c r="FN11" s="13">
        <f t="shared" si="55"/>
        <v>11.48361248365628</v>
      </c>
      <c r="FO11" s="13">
        <f t="shared" si="56"/>
        <v>12.001626231845478</v>
      </c>
      <c r="FP11" s="24">
        <f t="shared" si="110"/>
        <v>0.53084934809726614</v>
      </c>
      <c r="FQ11" s="25">
        <f t="shared" si="57"/>
        <v>0.78856964345519631</v>
      </c>
      <c r="FR11" s="13"/>
      <c r="FS11" s="23">
        <f t="shared" si="111"/>
        <v>10.826696804482395</v>
      </c>
      <c r="FT11" s="13">
        <f t="shared" ref="FT11:FT72" si="126">IF($CU11="","",0.646657+(-3368.52*$CG11-1233.439*$CI11+1295.54*$CP11+44885.3*$CR11+10914.48*($CG11*$CL11)-225569.4*($CL11*$CQ11)-871863.8*($CL11*$CR11)+54392.37*($CL11*$CI11)-7584.703)/($EC11)+3.86057*ERF($CL11))</f>
        <v>-6.2484182133479562</v>
      </c>
      <c r="FU11" s="13">
        <f t="shared" si="112"/>
        <v>-0.39335814921424017</v>
      </c>
      <c r="FV11" s="13">
        <f t="shared" si="58"/>
        <v>0.28787223022722763</v>
      </c>
      <c r="FW11" s="23">
        <f t="shared" si="113"/>
        <v>-0.39344068889678141</v>
      </c>
      <c r="FX11" s="13">
        <f t="shared" si="114"/>
        <v>0.28783327025245287</v>
      </c>
      <c r="FY11" s="13">
        <f t="shared" si="115"/>
        <v>-0.39340833817871612</v>
      </c>
      <c r="FZ11" s="13">
        <f t="shared" si="116"/>
        <v>0.2878485399048244</v>
      </c>
      <c r="GA11" s="13">
        <f t="shared" si="117"/>
        <v>-0.39344900333366439</v>
      </c>
      <c r="GB11" s="12">
        <f t="shared" si="118"/>
        <v>0.28782934588704956</v>
      </c>
      <c r="GC11" s="22"/>
      <c r="GD11" s="11">
        <f t="shared" si="59"/>
        <v>1.5</v>
      </c>
      <c r="GE11" s="10">
        <f t="shared" si="60"/>
        <v>0.74926606198035017</v>
      </c>
      <c r="GF11" s="10">
        <f t="shared" si="61"/>
        <v>5.3414996220710531</v>
      </c>
      <c r="GG11" s="5">
        <f t="shared" si="62"/>
        <v>-8.7342365835222964</v>
      </c>
      <c r="GH11" s="10">
        <f t="shared" si="63"/>
        <v>0.29048577680429793</v>
      </c>
      <c r="GI11" s="9">
        <f t="shared" si="119"/>
        <v>10.826696804482395</v>
      </c>
      <c r="GJ11" s="8">
        <f t="shared" si="120"/>
        <v>-6.2484182133479562</v>
      </c>
      <c r="GK11" s="8">
        <f t="shared" si="121"/>
        <v>0.28787223022722763</v>
      </c>
      <c r="GL11" s="7">
        <f t="shared" si="122"/>
        <v>0.28783327025245287</v>
      </c>
      <c r="GM11" s="6">
        <f t="shared" si="64"/>
        <v>0.53084934809726614</v>
      </c>
      <c r="GN11" s="5">
        <f t="shared" si="65"/>
        <v>0.78856964345519631</v>
      </c>
      <c r="GO11" s="4">
        <f t="shared" si="66"/>
        <v>0.64469185727755085</v>
      </c>
      <c r="GP11" s="4">
        <f t="shared" si="67"/>
        <v>0.88818423022188309</v>
      </c>
      <c r="GQ11" s="4">
        <f t="shared" si="68"/>
        <v>6.1847143732403409E-2</v>
      </c>
      <c r="GR11" s="1"/>
    </row>
    <row r="12" spans="1:200" x14ac:dyDescent="0.4">
      <c r="A12" s="34"/>
      <c r="B12" s="21"/>
      <c r="C12" s="21"/>
      <c r="D12" s="34"/>
      <c r="E12" s="34"/>
      <c r="F12" s="20" t="s">
        <v>82</v>
      </c>
      <c r="G12" s="19">
        <v>1050</v>
      </c>
      <c r="H12" s="18">
        <v>1E-4</v>
      </c>
      <c r="I12" s="17">
        <v>1.5</v>
      </c>
      <c r="J12" s="16">
        <v>49.6</v>
      </c>
      <c r="K12" s="16">
        <v>0.92</v>
      </c>
      <c r="L12" s="16">
        <v>14.6</v>
      </c>
      <c r="M12" s="16">
        <v>0</v>
      </c>
      <c r="N12" s="16">
        <v>9</v>
      </c>
      <c r="O12" s="16">
        <v>0</v>
      </c>
      <c r="P12" s="16">
        <v>8.6999999999999993</v>
      </c>
      <c r="Q12" s="16">
        <v>12.4</v>
      </c>
      <c r="R12" s="16">
        <v>2.2999999999999998</v>
      </c>
      <c r="S12" s="16">
        <v>0.21</v>
      </c>
      <c r="T12" s="16">
        <v>0</v>
      </c>
      <c r="U12" s="15">
        <v>0.3</v>
      </c>
      <c r="V12" s="16"/>
      <c r="W12" s="28">
        <f t="shared" si="69"/>
        <v>50.596756095072934</v>
      </c>
      <c r="X12" s="24">
        <f t="shared" si="0"/>
        <v>0.93848821789248205</v>
      </c>
      <c r="Y12" s="24">
        <f t="shared" si="0"/>
        <v>14.893399979598081</v>
      </c>
      <c r="Z12" s="24">
        <f t="shared" si="0"/>
        <v>0</v>
      </c>
      <c r="AA12" s="24">
        <f t="shared" si="0"/>
        <v>9.1808630011221055</v>
      </c>
      <c r="AB12" s="24">
        <f t="shared" si="0"/>
        <v>0</v>
      </c>
      <c r="AC12" s="24">
        <f t="shared" si="0"/>
        <v>8.8748342344180351</v>
      </c>
      <c r="AD12" s="24">
        <f t="shared" si="0"/>
        <v>12.649189023768233</v>
      </c>
      <c r="AE12" s="24">
        <f t="shared" si="0"/>
        <v>2.3462205447312043</v>
      </c>
      <c r="AF12" s="24">
        <f t="shared" si="0"/>
        <v>0.21422013669284914</v>
      </c>
      <c r="AG12" s="24">
        <f t="shared" si="0"/>
        <v>0</v>
      </c>
      <c r="AH12" s="24">
        <f t="shared" si="0"/>
        <v>0.3060287667040702</v>
      </c>
      <c r="AI12" s="14">
        <f t="shared" si="123"/>
        <v>100</v>
      </c>
      <c r="AJ12" s="26"/>
      <c r="AK12" s="50">
        <f t="shared" si="70"/>
        <v>0.84201624388538743</v>
      </c>
      <c r="AL12" s="47">
        <f t="shared" si="71"/>
        <v>1.1745784954849587E-2</v>
      </c>
      <c r="AM12" s="47">
        <f t="shared" si="72"/>
        <v>0.14607100803842765</v>
      </c>
      <c r="AN12" s="49">
        <f t="shared" si="73"/>
        <v>0</v>
      </c>
      <c r="AO12" s="49">
        <f t="shared" si="74"/>
        <v>0.12777819069063473</v>
      </c>
      <c r="AP12" s="47">
        <f t="shared" si="75"/>
        <v>0</v>
      </c>
      <c r="AQ12" s="47">
        <f t="shared" si="76"/>
        <v>0.22010997605203461</v>
      </c>
      <c r="AR12" s="47">
        <f t="shared" si="77"/>
        <v>0.22555615234964754</v>
      </c>
      <c r="AS12" s="47">
        <f t="shared" si="78"/>
        <v>3.7854477972429891E-2</v>
      </c>
      <c r="AT12" s="47">
        <f t="shared" si="79"/>
        <v>2.2740991156353411E-3</v>
      </c>
      <c r="AU12" s="47">
        <f t="shared" si="80"/>
        <v>0</v>
      </c>
      <c r="AV12" s="47">
        <f t="shared" si="81"/>
        <v>1.6982728451946181E-2</v>
      </c>
      <c r="AW12" s="47">
        <f t="shared" si="82"/>
        <v>1.630388661510993</v>
      </c>
      <c r="AX12" s="47">
        <f t="shared" si="83"/>
        <v>9.0682756224234246E-2</v>
      </c>
      <c r="AY12" s="46">
        <f t="shared" si="84"/>
        <v>1.8553609271193497E-2</v>
      </c>
      <c r="AZ12" s="26"/>
      <c r="BA12" s="23">
        <f t="shared" si="85"/>
        <v>0.51645123875250287</v>
      </c>
      <c r="BB12" s="13">
        <f t="shared" si="6"/>
        <v>7.204285230960796E-3</v>
      </c>
      <c r="BC12" s="13">
        <f t="shared" si="7"/>
        <v>8.9592752628108702E-2</v>
      </c>
      <c r="BD12" s="13">
        <f t="shared" si="8"/>
        <v>0</v>
      </c>
      <c r="BE12" s="13">
        <f t="shared" si="9"/>
        <v>7.8372840603671709E-2</v>
      </c>
      <c r="BF12" s="13">
        <f t="shared" si="10"/>
        <v>5.5620330516891789E-2</v>
      </c>
      <c r="BG12" s="13">
        <f t="shared" si="11"/>
        <v>1.1379868928920662E-2</v>
      </c>
      <c r="BH12" s="13">
        <f t="shared" si="12"/>
        <v>0</v>
      </c>
      <c r="BI12" s="13">
        <f t="shared" si="13"/>
        <v>0.13500460426904809</v>
      </c>
      <c r="BJ12" s="13">
        <f t="shared" si="14"/>
        <v>0.13834502022395639</v>
      </c>
      <c r="BK12" s="13">
        <f t="shared" si="15"/>
        <v>2.3218069940051933E-2</v>
      </c>
      <c r="BL12" s="13">
        <f t="shared" si="16"/>
        <v>1.3948202470494228E-3</v>
      </c>
      <c r="BM12" s="13">
        <f t="shared" si="17"/>
        <v>0</v>
      </c>
      <c r="BN12" s="13">
        <f t="shared" si="86"/>
        <v>1.0416368104650041E-2</v>
      </c>
      <c r="BO12" s="12">
        <f t="shared" si="87"/>
        <v>0.98958363189535004</v>
      </c>
      <c r="BP12" s="13"/>
      <c r="BQ12" s="23">
        <f t="shared" si="88"/>
        <v>1.6840324877707749</v>
      </c>
      <c r="BR12" s="13">
        <f t="shared" si="18"/>
        <v>2.3491569909699174E-2</v>
      </c>
      <c r="BS12" s="13">
        <f t="shared" si="19"/>
        <v>0.43804117587053182</v>
      </c>
      <c r="BT12" s="13">
        <f t="shared" si="20"/>
        <v>0</v>
      </c>
      <c r="BU12" s="13">
        <f t="shared" si="21"/>
        <v>0.12777819069063473</v>
      </c>
      <c r="BV12" s="13">
        <f t="shared" si="89"/>
        <v>9.0682756224234246E-2</v>
      </c>
      <c r="BW12" s="24">
        <f t="shared" si="90"/>
        <v>5.5660827813580498E-2</v>
      </c>
      <c r="BX12" s="13">
        <f t="shared" si="22"/>
        <v>0</v>
      </c>
      <c r="BY12" s="13">
        <f t="shared" si="23"/>
        <v>0.2202192117721597</v>
      </c>
      <c r="BZ12" s="13">
        <f t="shared" si="24"/>
        <v>0.22547574017412181</v>
      </c>
      <c r="CA12" s="13">
        <f t="shared" si="25"/>
        <v>3.7842266850503299E-2</v>
      </c>
      <c r="CB12" s="13">
        <f t="shared" si="26"/>
        <v>2.2740991156353411E-3</v>
      </c>
      <c r="CC12" s="13">
        <f t="shared" si="27"/>
        <v>0</v>
      </c>
      <c r="CD12" s="13">
        <f t="shared" si="91"/>
        <v>1.6982728451946181E-2</v>
      </c>
      <c r="CE12" s="12">
        <f t="shared" si="92"/>
        <v>2.7761374706060065</v>
      </c>
      <c r="CF12" s="13"/>
      <c r="CG12" s="23">
        <f t="shared" si="28"/>
        <v>0.60660990516552671</v>
      </c>
      <c r="CH12" s="13">
        <f t="shared" si="28"/>
        <v>8.4619620456227521E-3</v>
      </c>
      <c r="CI12" s="13">
        <f t="shared" si="28"/>
        <v>0.15778799879636771</v>
      </c>
      <c r="CJ12" s="13">
        <f t="shared" si="28"/>
        <v>0</v>
      </c>
      <c r="CK12" s="13">
        <f t="shared" si="28"/>
        <v>4.602732827302744E-2</v>
      </c>
      <c r="CL12" s="13">
        <f t="shared" si="28"/>
        <v>3.2665081316898548E-2</v>
      </c>
      <c r="CM12" s="13">
        <f t="shared" si="28"/>
        <v>2.0049737595101955E-2</v>
      </c>
      <c r="CN12" s="13">
        <f t="shared" si="28"/>
        <v>0</v>
      </c>
      <c r="CO12" s="13">
        <f t="shared" si="28"/>
        <v>7.9325758938042709E-2</v>
      </c>
      <c r="CP12" s="13">
        <f t="shared" si="28"/>
        <v>8.1219227275838912E-2</v>
      </c>
      <c r="CQ12" s="13">
        <f t="shared" si="28"/>
        <v>1.3631265472686647E-2</v>
      </c>
      <c r="CR12" s="13">
        <f t="shared" si="28"/>
        <v>8.1915940392495226E-4</v>
      </c>
      <c r="CS12" s="13">
        <f t="shared" si="28"/>
        <v>0</v>
      </c>
      <c r="CT12" s="13">
        <f t="shared" si="28"/>
        <v>6.1173946289623041E-3</v>
      </c>
      <c r="CU12" s="12">
        <f t="shared" si="29"/>
        <v>1.0000000000000002</v>
      </c>
      <c r="CV12" s="26"/>
      <c r="CW12" s="23">
        <f t="shared" si="30"/>
        <v>0.84201624388538743</v>
      </c>
      <c r="CX12" s="13">
        <f t="shared" si="31"/>
        <v>1.1745784954849587E-2</v>
      </c>
      <c r="CY12" s="13">
        <f t="shared" si="32"/>
        <v>0.29202745058035456</v>
      </c>
      <c r="CZ12" s="13">
        <f t="shared" si="33"/>
        <v>0</v>
      </c>
      <c r="DA12" s="13">
        <f t="shared" si="34"/>
        <v>0.17270194986072424</v>
      </c>
      <c r="DB12" s="13">
        <f t="shared" si="35"/>
        <v>9.0682756224234246E-2</v>
      </c>
      <c r="DC12" s="24">
        <f t="shared" si="36"/>
        <v>3.7107218542386994E-2</v>
      </c>
      <c r="DD12" s="13">
        <f t="shared" si="37"/>
        <v>0</v>
      </c>
      <c r="DE12" s="13">
        <f t="shared" si="38"/>
        <v>0.2202192117721597</v>
      </c>
      <c r="DF12" s="13">
        <f t="shared" si="39"/>
        <v>0.22547574017412181</v>
      </c>
      <c r="DG12" s="13">
        <f t="shared" si="40"/>
        <v>7.5684533701006598E-2</v>
      </c>
      <c r="DH12" s="13">
        <f t="shared" si="41"/>
        <v>4.5481982312706821E-3</v>
      </c>
      <c r="DI12" s="13">
        <f t="shared" si="42"/>
        <v>0</v>
      </c>
      <c r="DJ12" s="13">
        <f t="shared" si="93"/>
        <v>3.3965456903892362E-2</v>
      </c>
      <c r="DK12" s="12">
        <f t="shared" si="94"/>
        <v>1.8783845700637671</v>
      </c>
      <c r="DL12" s="26"/>
      <c r="DM12" s="23">
        <f t="shared" si="95"/>
        <v>0.44826616301304201</v>
      </c>
      <c r="DN12" s="13">
        <f t="shared" si="43"/>
        <v>6.2531310904299234E-3</v>
      </c>
      <c r="DO12" s="13">
        <f t="shared" si="43"/>
        <v>0.15546733892221062</v>
      </c>
      <c r="DP12" s="13">
        <f t="shared" si="43"/>
        <v>0</v>
      </c>
      <c r="DQ12" s="13">
        <f t="shared" si="43"/>
        <v>9.1941742182678476E-2</v>
      </c>
      <c r="DR12" s="13">
        <f t="shared" si="43"/>
        <v>4.8276991660528686E-2</v>
      </c>
      <c r="DS12" s="13">
        <f t="shared" si="43"/>
        <v>1.9754856983906808E-2</v>
      </c>
      <c r="DT12" s="13">
        <f t="shared" si="43"/>
        <v>0</v>
      </c>
      <c r="DU12" s="13">
        <f t="shared" si="43"/>
        <v>0.11723861837551387</v>
      </c>
      <c r="DV12" s="13">
        <f t="shared" si="43"/>
        <v>0.12003704873196834</v>
      </c>
      <c r="DW12" s="13">
        <f t="shared" si="43"/>
        <v>4.0292352752044416E-2</v>
      </c>
      <c r="DX12" s="13">
        <f t="shared" si="43"/>
        <v>2.4213349618370642E-3</v>
      </c>
      <c r="DY12" s="13">
        <f t="shared" si="43"/>
        <v>0</v>
      </c>
      <c r="DZ12" s="13">
        <f t="shared" si="43"/>
        <v>1.8082269970275205E-2</v>
      </c>
      <c r="EA12" s="12">
        <f t="shared" si="44"/>
        <v>1</v>
      </c>
      <c r="EB12" s="26"/>
      <c r="EC12" s="30">
        <f t="shared" si="45"/>
        <v>1323</v>
      </c>
      <c r="ED12" s="14">
        <f t="shared" si="96"/>
        <v>100000</v>
      </c>
      <c r="EE12" s="29"/>
      <c r="EF12" s="128">
        <f t="shared" si="124"/>
        <v>-8.7342365835222964</v>
      </c>
      <c r="EG12" s="13">
        <f t="shared" si="97"/>
        <v>1.5</v>
      </c>
      <c r="EH12" s="13">
        <f t="shared" si="98"/>
        <v>0.74926606198035017</v>
      </c>
      <c r="EI12" s="12">
        <f t="shared" si="46"/>
        <v>5.3414996220710531</v>
      </c>
      <c r="EJ12" s="29"/>
      <c r="EK12" s="28">
        <f t="shared" si="99"/>
        <v>-1.5870204989634635</v>
      </c>
      <c r="EL12" s="24">
        <f t="shared" si="100"/>
        <v>-0.68911007336667984</v>
      </c>
      <c r="EM12" s="24">
        <f t="shared" si="101"/>
        <v>0.20453411437271155</v>
      </c>
      <c r="EN12" s="24">
        <f t="shared" si="102"/>
        <v>5.5620330516891789E-2</v>
      </c>
      <c r="EO12" s="24">
        <f t="shared" si="103"/>
        <v>1.1376255043389964E-2</v>
      </c>
      <c r="EP12" s="24">
        <f t="shared" si="104"/>
        <v>0.29031115768584231</v>
      </c>
      <c r="EQ12" s="24">
        <f t="shared" si="105"/>
        <v>-1.5867028802367</v>
      </c>
      <c r="ER12" s="24">
        <f t="shared" si="47"/>
        <v>-20.109295756269134</v>
      </c>
      <c r="ES12" s="25">
        <f t="shared" si="48"/>
        <v>-8.7317827860482566</v>
      </c>
      <c r="ET12" s="26">
        <v>0.3</v>
      </c>
      <c r="EU12" s="26">
        <v>0.29083888041780526</v>
      </c>
      <c r="EV12" s="26">
        <v>0.2904965157852254</v>
      </c>
      <c r="EW12" s="26">
        <v>0.29031115768584231</v>
      </c>
      <c r="EX12" s="26">
        <v>0.29034692238612103</v>
      </c>
      <c r="EY12" s="26">
        <f t="shared" si="106"/>
        <v>0.99948504236376123</v>
      </c>
      <c r="EZ12" s="26">
        <f t="shared" si="107"/>
        <v>1.0018177831543562</v>
      </c>
      <c r="FA12" s="23">
        <f t="shared" si="125"/>
        <v>-1.1838980893138924</v>
      </c>
      <c r="FB12" s="190">
        <f t="shared" si="108"/>
        <v>6.1454971852217266E-2</v>
      </c>
      <c r="FC12" s="124">
        <v>6.2646889236044334E-2</v>
      </c>
      <c r="FD12" s="26"/>
      <c r="FE12" s="27">
        <f t="shared" si="109"/>
        <v>0.88818423022188309</v>
      </c>
      <c r="FF12" s="26"/>
      <c r="FG12" s="23">
        <f t="shared" si="49"/>
        <v>-3.6148634475738635</v>
      </c>
      <c r="FH12" s="13">
        <f t="shared" si="50"/>
        <v>15.344057101018571</v>
      </c>
      <c r="FI12" s="13">
        <f t="shared" si="51"/>
        <v>-21.845149910644157</v>
      </c>
      <c r="FJ12" s="13">
        <f t="shared" si="52"/>
        <v>0.58142454743322247</v>
      </c>
      <c r="FK12" s="12">
        <f t="shared" si="53"/>
        <v>0.64139512876688953</v>
      </c>
      <c r="FL12" s="13"/>
      <c r="FM12" s="23">
        <f t="shared" si="54"/>
        <v>-6.0392793384711627</v>
      </c>
      <c r="FN12" s="13">
        <f t="shared" si="55"/>
        <v>11.478866804468826</v>
      </c>
      <c r="FO12" s="13">
        <f t="shared" si="56"/>
        <v>11.996973213051291</v>
      </c>
      <c r="FP12" s="24">
        <f t="shared" si="110"/>
        <v>0.52856293205864135</v>
      </c>
      <c r="FQ12" s="25">
        <f t="shared" si="57"/>
        <v>0.78707111115552886</v>
      </c>
      <c r="FR12" s="13"/>
      <c r="FS12" s="23">
        <f t="shared" si="111"/>
        <v>10.833824621399117</v>
      </c>
      <c r="FT12" s="13">
        <f t="shared" si="126"/>
        <v>-6.2465196820619155</v>
      </c>
      <c r="FU12" s="13">
        <f t="shared" si="112"/>
        <v>-0.38812886358356025</v>
      </c>
      <c r="FV12" s="13">
        <f t="shared" si="58"/>
        <v>0.29034692238612103</v>
      </c>
      <c r="FW12" s="23">
        <f t="shared" si="113"/>
        <v>-0.38821140326610148</v>
      </c>
      <c r="FX12" s="13">
        <f t="shared" si="114"/>
        <v>0.29030776402611946</v>
      </c>
      <c r="FY12" s="13">
        <f t="shared" si="115"/>
        <v>-0.3881790525480362</v>
      </c>
      <c r="FZ12" s="13">
        <f t="shared" si="116"/>
        <v>0.2903231114363557</v>
      </c>
      <c r="GA12" s="13">
        <f t="shared" si="117"/>
        <v>-0.38821971770298447</v>
      </c>
      <c r="GB12" s="12">
        <f t="shared" si="118"/>
        <v>0.29030381967570129</v>
      </c>
      <c r="GC12" s="22"/>
      <c r="GD12" s="11">
        <f t="shared" si="59"/>
        <v>1.5</v>
      </c>
      <c r="GE12" s="10">
        <f t="shared" si="60"/>
        <v>0.74926606198035017</v>
      </c>
      <c r="GF12" s="10">
        <f t="shared" si="61"/>
        <v>5.3414996220710531</v>
      </c>
      <c r="GG12" s="5">
        <f t="shared" si="62"/>
        <v>-8.7342365835222964</v>
      </c>
      <c r="GH12" s="10">
        <f t="shared" si="63"/>
        <v>0.29031115768584231</v>
      </c>
      <c r="GI12" s="9">
        <f t="shared" si="119"/>
        <v>10.833824621399117</v>
      </c>
      <c r="GJ12" s="8">
        <f t="shared" si="120"/>
        <v>-6.2465196820619155</v>
      </c>
      <c r="GK12" s="8">
        <f t="shared" si="121"/>
        <v>0.29034692238612103</v>
      </c>
      <c r="GL12" s="7">
        <f t="shared" si="122"/>
        <v>0.29030776402611946</v>
      </c>
      <c r="GM12" s="6">
        <f t="shared" si="64"/>
        <v>0.52856293205864135</v>
      </c>
      <c r="GN12" s="5">
        <f t="shared" si="65"/>
        <v>0.78707111115552886</v>
      </c>
      <c r="GO12" s="4">
        <f t="shared" si="66"/>
        <v>0.64139512876688953</v>
      </c>
      <c r="GP12" s="4">
        <f t="shared" si="67"/>
        <v>0.88818423022188309</v>
      </c>
      <c r="GQ12" s="4">
        <f t="shared" si="68"/>
        <v>6.1454971852217266E-2</v>
      </c>
      <c r="GR12" s="1"/>
    </row>
    <row r="13" spans="1:200" x14ac:dyDescent="0.4">
      <c r="A13" s="34"/>
      <c r="B13" s="21"/>
      <c r="C13" s="21"/>
      <c r="D13" s="34"/>
      <c r="E13" s="34"/>
      <c r="F13" s="20" t="s">
        <v>82</v>
      </c>
      <c r="G13" s="19">
        <v>1050</v>
      </c>
      <c r="H13" s="18">
        <v>1E-4</v>
      </c>
      <c r="I13" s="17">
        <v>1.5</v>
      </c>
      <c r="J13" s="16">
        <v>49.6</v>
      </c>
      <c r="K13" s="16">
        <v>0.92</v>
      </c>
      <c r="L13" s="16">
        <v>14.6</v>
      </c>
      <c r="M13" s="16">
        <v>0</v>
      </c>
      <c r="N13" s="16">
        <v>9</v>
      </c>
      <c r="O13" s="16">
        <v>0</v>
      </c>
      <c r="P13" s="16">
        <v>8.6999999999999993</v>
      </c>
      <c r="Q13" s="16">
        <v>12.4</v>
      </c>
      <c r="R13" s="16">
        <v>2.2999999999999998</v>
      </c>
      <c r="S13" s="16">
        <v>0.21</v>
      </c>
      <c r="T13" s="16">
        <v>0</v>
      </c>
      <c r="U13" s="15">
        <v>0.4</v>
      </c>
      <c r="V13" s="16"/>
      <c r="W13" s="28">
        <f t="shared" si="69"/>
        <v>50.545195149291757</v>
      </c>
      <c r="X13" s="24">
        <f t="shared" si="0"/>
        <v>0.93753184551105684</v>
      </c>
      <c r="Y13" s="24">
        <f t="shared" si="0"/>
        <v>14.878222765718943</v>
      </c>
      <c r="Z13" s="24">
        <f t="shared" si="0"/>
        <v>0</v>
      </c>
      <c r="AA13" s="24">
        <f t="shared" si="0"/>
        <v>9.1715071843472948</v>
      </c>
      <c r="AB13" s="24">
        <f t="shared" si="0"/>
        <v>0</v>
      </c>
      <c r="AC13" s="24">
        <f t="shared" si="0"/>
        <v>8.8657902782023825</v>
      </c>
      <c r="AD13" s="24">
        <f t="shared" si="0"/>
        <v>12.636298787322939</v>
      </c>
      <c r="AE13" s="24">
        <f t="shared" si="0"/>
        <v>2.3438296137776415</v>
      </c>
      <c r="AF13" s="24">
        <f t="shared" si="0"/>
        <v>0.21400183430143682</v>
      </c>
      <c r="AG13" s="24">
        <f t="shared" si="0"/>
        <v>0</v>
      </c>
      <c r="AH13" s="24">
        <f t="shared" si="0"/>
        <v>0.40762254152654637</v>
      </c>
      <c r="AI13" s="14">
        <f t="shared" si="123"/>
        <v>100.00000000000001</v>
      </c>
      <c r="AJ13" s="26"/>
      <c r="AK13" s="50">
        <f t="shared" si="70"/>
        <v>0.8411581818820395</v>
      </c>
      <c r="AL13" s="47">
        <f t="shared" si="71"/>
        <v>1.1733815338060786E-2</v>
      </c>
      <c r="AM13" s="47">
        <f t="shared" si="72"/>
        <v>0.14592215344957771</v>
      </c>
      <c r="AN13" s="49">
        <f t="shared" si="73"/>
        <v>0</v>
      </c>
      <c r="AO13" s="49">
        <f t="shared" si="74"/>
        <v>0.1276479775135323</v>
      </c>
      <c r="AP13" s="47">
        <f t="shared" si="75"/>
        <v>0</v>
      </c>
      <c r="AQ13" s="47">
        <f t="shared" si="76"/>
        <v>0.21988567158240035</v>
      </c>
      <c r="AR13" s="47">
        <f t="shared" si="77"/>
        <v>0.22532629791945327</v>
      </c>
      <c r="AS13" s="47">
        <f t="shared" si="78"/>
        <v>3.781590212613168E-2</v>
      </c>
      <c r="AT13" s="47">
        <f t="shared" si="79"/>
        <v>2.2717816804823441E-3</v>
      </c>
      <c r="AU13" s="47">
        <f t="shared" si="80"/>
        <v>0</v>
      </c>
      <c r="AV13" s="47">
        <f t="shared" si="81"/>
        <v>2.2620562792816115E-2</v>
      </c>
      <c r="AW13" s="47">
        <f t="shared" si="82"/>
        <v>1.6343823442844942</v>
      </c>
      <c r="AX13" s="47">
        <f t="shared" si="83"/>
        <v>9.0612473074702632E-2</v>
      </c>
      <c r="AY13" s="46">
        <f t="shared" si="84"/>
        <v>1.8523634738446936E-2</v>
      </c>
      <c r="AZ13" s="26"/>
      <c r="BA13" s="23">
        <f t="shared" si="85"/>
        <v>0.5146642612872111</v>
      </c>
      <c r="BB13" s="13">
        <f t="shared" si="6"/>
        <v>7.1793576203845111E-3</v>
      </c>
      <c r="BC13" s="13">
        <f t="shared" si="7"/>
        <v>8.9282751958177836E-2</v>
      </c>
      <c r="BD13" s="13">
        <f t="shared" si="8"/>
        <v>0</v>
      </c>
      <c r="BE13" s="13">
        <f t="shared" si="9"/>
        <v>7.8101662049839676E-2</v>
      </c>
      <c r="BF13" s="13">
        <f t="shared" si="10"/>
        <v>5.5441416992528324E-2</v>
      </c>
      <c r="BG13" s="13">
        <f t="shared" si="11"/>
        <v>1.1333721759308578E-2</v>
      </c>
      <c r="BH13" s="13">
        <f t="shared" si="12"/>
        <v>0</v>
      </c>
      <c r="BI13" s="13">
        <f t="shared" si="13"/>
        <v>0.13453747365256977</v>
      </c>
      <c r="BJ13" s="13">
        <f t="shared" si="14"/>
        <v>0.13786633140490601</v>
      </c>
      <c r="BK13" s="13">
        <f t="shared" si="15"/>
        <v>2.3137732892413776E-2</v>
      </c>
      <c r="BL13" s="13">
        <f t="shared" si="16"/>
        <v>1.3899940172670507E-3</v>
      </c>
      <c r="BM13" s="13">
        <f t="shared" si="17"/>
        <v>0</v>
      </c>
      <c r="BN13" s="13">
        <f t="shared" si="86"/>
        <v>1.3840435117230189E-2</v>
      </c>
      <c r="BO13" s="12">
        <f t="shared" si="87"/>
        <v>0.98615956488276968</v>
      </c>
      <c r="BP13" s="13"/>
      <c r="BQ13" s="23">
        <f t="shared" si="88"/>
        <v>1.682316363764079</v>
      </c>
      <c r="BR13" s="13">
        <f t="shared" si="18"/>
        <v>2.3467630676121572E-2</v>
      </c>
      <c r="BS13" s="13">
        <f t="shared" si="19"/>
        <v>0.43759478722702777</v>
      </c>
      <c r="BT13" s="13">
        <f t="shared" si="20"/>
        <v>0</v>
      </c>
      <c r="BU13" s="13">
        <f t="shared" si="21"/>
        <v>0.1276479775135323</v>
      </c>
      <c r="BV13" s="13">
        <f t="shared" si="89"/>
        <v>9.0612473074702632E-2</v>
      </c>
      <c r="BW13" s="24">
        <f t="shared" si="90"/>
        <v>5.5570904215340812E-2</v>
      </c>
      <c r="BX13" s="13">
        <f t="shared" si="22"/>
        <v>0</v>
      </c>
      <c r="BY13" s="13">
        <f t="shared" si="23"/>
        <v>0.2199947959851708</v>
      </c>
      <c r="BZ13" s="13">
        <f t="shared" si="24"/>
        <v>0.22524596768846594</v>
      </c>
      <c r="CA13" s="13">
        <f t="shared" si="25"/>
        <v>3.7803703448026478E-2</v>
      </c>
      <c r="CB13" s="13">
        <f t="shared" si="26"/>
        <v>2.2717816804823441E-3</v>
      </c>
      <c r="CC13" s="13">
        <f t="shared" si="27"/>
        <v>0</v>
      </c>
      <c r="CD13" s="13">
        <f t="shared" si="91"/>
        <v>2.2620562792816115E-2</v>
      </c>
      <c r="CE13" s="12">
        <f t="shared" si="92"/>
        <v>2.7789635707757228</v>
      </c>
      <c r="CF13" s="13"/>
      <c r="CG13" s="23">
        <f t="shared" si="28"/>
        <v>0.60537546495957684</v>
      </c>
      <c r="CH13" s="13">
        <f t="shared" si="28"/>
        <v>8.4447421056227778E-3</v>
      </c>
      <c r="CI13" s="13">
        <f t="shared" si="28"/>
        <v>0.15746690306734648</v>
      </c>
      <c r="CJ13" s="13">
        <f t="shared" si="28"/>
        <v>0</v>
      </c>
      <c r="CK13" s="13">
        <f t="shared" si="28"/>
        <v>4.5933663490918132E-2</v>
      </c>
      <c r="CL13" s="13">
        <f t="shared" si="28"/>
        <v>3.260657103518956E-2</v>
      </c>
      <c r="CM13" s="13">
        <f t="shared" si="28"/>
        <v>1.9996989093249859E-2</v>
      </c>
      <c r="CN13" s="13">
        <f t="shared" si="28"/>
        <v>0</v>
      </c>
      <c r="CO13" s="13">
        <f t="shared" si="28"/>
        <v>7.9164332450662969E-2</v>
      </c>
      <c r="CP13" s="13">
        <f t="shared" si="28"/>
        <v>8.1053947614574365E-2</v>
      </c>
      <c r="CQ13" s="13">
        <f t="shared" si="28"/>
        <v>1.3603526093533465E-2</v>
      </c>
      <c r="CR13" s="13">
        <f t="shared" si="28"/>
        <v>8.1749242932615943E-4</v>
      </c>
      <c r="CS13" s="13">
        <f t="shared" si="28"/>
        <v>0</v>
      </c>
      <c r="CT13" s="13">
        <f t="shared" si="28"/>
        <v>8.139927788438691E-3</v>
      </c>
      <c r="CU13" s="12">
        <f t="shared" si="29"/>
        <v>0.99999999999999978</v>
      </c>
      <c r="CV13" s="26"/>
      <c r="CW13" s="23">
        <f t="shared" si="30"/>
        <v>0.8411581818820395</v>
      </c>
      <c r="CX13" s="13">
        <f t="shared" si="31"/>
        <v>1.1733815338060786E-2</v>
      </c>
      <c r="CY13" s="13">
        <f t="shared" si="32"/>
        <v>0.29172985815135183</v>
      </c>
      <c r="CZ13" s="13">
        <f t="shared" si="33"/>
        <v>0</v>
      </c>
      <c r="DA13" s="13">
        <f t="shared" si="34"/>
        <v>0.17270194986072424</v>
      </c>
      <c r="DB13" s="13">
        <f t="shared" si="35"/>
        <v>9.0612473074702632E-2</v>
      </c>
      <c r="DC13" s="24">
        <f t="shared" si="36"/>
        <v>3.7047269476893872E-2</v>
      </c>
      <c r="DD13" s="13">
        <f t="shared" si="37"/>
        <v>0</v>
      </c>
      <c r="DE13" s="13">
        <f t="shared" si="38"/>
        <v>0.2199947959851708</v>
      </c>
      <c r="DF13" s="13">
        <f t="shared" si="39"/>
        <v>0.22524596768846594</v>
      </c>
      <c r="DG13" s="13">
        <f t="shared" si="40"/>
        <v>7.5607406896052956E-2</v>
      </c>
      <c r="DH13" s="13">
        <f t="shared" si="41"/>
        <v>4.5435633609646883E-3</v>
      </c>
      <c r="DI13" s="13">
        <f t="shared" si="42"/>
        <v>0</v>
      </c>
      <c r="DJ13" s="13">
        <f t="shared" si="93"/>
        <v>4.524112558563223E-2</v>
      </c>
      <c r="DK13" s="12">
        <f>IF(SUM(CW13:DA13,DD13:DJ13)=0,"",SUM(CW13:DA13,DD13:DJ13))</f>
        <v>1.8879566647484634</v>
      </c>
      <c r="DL13" s="26"/>
      <c r="DM13" s="23">
        <f t="shared" si="95"/>
        <v>0.44553892448273374</v>
      </c>
      <c r="DN13" s="13">
        <f t="shared" si="43"/>
        <v>6.2150872195067611E-3</v>
      </c>
      <c r="DO13" s="13">
        <f t="shared" si="43"/>
        <v>0.15452148007338909</v>
      </c>
      <c r="DP13" s="13">
        <f t="shared" si="43"/>
        <v>0</v>
      </c>
      <c r="DQ13" s="13">
        <f t="shared" si="43"/>
        <v>9.1475590030946866E-2</v>
      </c>
      <c r="DR13" s="13">
        <f t="shared" si="43"/>
        <v>4.7994996265857161E-2</v>
      </c>
      <c r="DS13" s="13">
        <f t="shared" si="43"/>
        <v>1.962294483164409E-2</v>
      </c>
      <c r="DT13" s="13">
        <f t="shared" si="43"/>
        <v>0</v>
      </c>
      <c r="DU13" s="13">
        <f t="shared" si="43"/>
        <v>0.11652534197043193</v>
      </c>
      <c r="DV13" s="13">
        <f t="shared" si="43"/>
        <v>0.11930674675653954</v>
      </c>
      <c r="DW13" s="13">
        <f t="shared" si="43"/>
        <v>4.0047215228918562E-2</v>
      </c>
      <c r="DX13" s="13">
        <f t="shared" si="43"/>
        <v>2.4066036290986783E-3</v>
      </c>
      <c r="DY13" s="13">
        <f t="shared" si="43"/>
        <v>0</v>
      </c>
      <c r="DZ13" s="13">
        <f t="shared" si="43"/>
        <v>2.3963010608434598E-2</v>
      </c>
      <c r="EA13" s="12">
        <f t="shared" si="44"/>
        <v>1</v>
      </c>
      <c r="EB13" s="26"/>
      <c r="EC13" s="30">
        <f t="shared" si="45"/>
        <v>1323</v>
      </c>
      <c r="ED13" s="14">
        <f t="shared" si="96"/>
        <v>100000</v>
      </c>
      <c r="EE13" s="29"/>
      <c r="EF13" s="128">
        <f t="shared" si="124"/>
        <v>-8.7342365835222964</v>
      </c>
      <c r="EG13" s="13">
        <f t="shared" si="97"/>
        <v>1.5</v>
      </c>
      <c r="EH13" s="13">
        <f t="shared" si="98"/>
        <v>0.74926606198035017</v>
      </c>
      <c r="EI13" s="12">
        <f t="shared" si="46"/>
        <v>5.3414996220710531</v>
      </c>
      <c r="EJ13" s="29"/>
      <c r="EK13" s="28">
        <f t="shared" si="99"/>
        <v>-1.5878620240691552</v>
      </c>
      <c r="EL13" s="24">
        <f t="shared" si="100"/>
        <v>-0.68947547723367575</v>
      </c>
      <c r="EM13" s="24">
        <f t="shared" si="101"/>
        <v>0.20436206618208561</v>
      </c>
      <c r="EN13" s="24">
        <f t="shared" si="102"/>
        <v>5.5441416992528317E-2</v>
      </c>
      <c r="EO13" s="24">
        <f t="shared" si="103"/>
        <v>1.1330122528655678E-2</v>
      </c>
      <c r="EP13" s="24">
        <f t="shared" si="104"/>
        <v>0.29013780837149128</v>
      </c>
      <c r="EQ13" s="24">
        <f t="shared" si="105"/>
        <v>-1.5875444053423915</v>
      </c>
      <c r="ER13" s="24">
        <f t="shared" si="47"/>
        <v>-20.109295756269134</v>
      </c>
      <c r="ES13" s="25">
        <f t="shared" si="48"/>
        <v>-8.7317827860482566</v>
      </c>
      <c r="ET13" s="26">
        <v>0.4</v>
      </c>
      <c r="EU13" s="26">
        <v>0.29083888041780526</v>
      </c>
      <c r="EV13" s="26">
        <v>0.29302243423886754</v>
      </c>
      <c r="EW13" s="26">
        <v>0.29013780837149128</v>
      </c>
      <c r="EX13" s="26">
        <v>0.29282337240127287</v>
      </c>
      <c r="EY13" s="26">
        <f t="shared" si="106"/>
        <v>0.99932066007808673</v>
      </c>
      <c r="EZ13" s="26">
        <f t="shared" si="107"/>
        <v>1.0024163415662681</v>
      </c>
      <c r="FA13" s="23">
        <f t="shared" si="125"/>
        <v>-1.1868218469921707</v>
      </c>
      <c r="FB13" s="190">
        <f t="shared" si="108"/>
        <v>6.1067814727576275E-2</v>
      </c>
      <c r="FC13" s="124">
        <v>6.2646889236044334E-2</v>
      </c>
      <c r="FD13" s="26"/>
      <c r="FE13" s="27">
        <f t="shared" si="109"/>
        <v>0.88818423022188309</v>
      </c>
      <c r="FF13" s="26"/>
      <c r="FG13" s="23">
        <f t="shared" si="49"/>
        <v>-3.6456441044299543</v>
      </c>
      <c r="FH13" s="13">
        <f t="shared" si="50"/>
        <v>15.299087855299078</v>
      </c>
      <c r="FI13" s="13">
        <f t="shared" si="51"/>
        <v>-21.845149910644157</v>
      </c>
      <c r="FJ13" s="13">
        <f t="shared" si="52"/>
        <v>0.56723595856981746</v>
      </c>
      <c r="FK13" s="12">
        <f t="shared" si="53"/>
        <v>0.63812514270441889</v>
      </c>
      <c r="FL13" s="13"/>
      <c r="FM13" s="23">
        <f t="shared" si="54"/>
        <v>-6.0400370500238791</v>
      </c>
      <c r="FN13" s="13">
        <f t="shared" si="55"/>
        <v>11.474140440024321</v>
      </c>
      <c r="FO13" s="13">
        <f t="shared" si="56"/>
        <v>11.992339131875553</v>
      </c>
      <c r="FP13" s="24">
        <f t="shared" si="110"/>
        <v>0.52628526844966028</v>
      </c>
      <c r="FQ13" s="25">
        <f t="shared" si="57"/>
        <v>0.78557142369058686</v>
      </c>
      <c r="FR13" s="13"/>
      <c r="FS13" s="23">
        <f t="shared" si="111"/>
        <v>10.840923428358337</v>
      </c>
      <c r="FT13" s="13">
        <f t="shared" si="126"/>
        <v>-6.244627578035673</v>
      </c>
      <c r="FU13" s="13">
        <f t="shared" si="112"/>
        <v>-0.38292216065058327</v>
      </c>
      <c r="FV13" s="13">
        <f t="shared" si="58"/>
        <v>0.29282337240127287</v>
      </c>
      <c r="FW13" s="23">
        <f t="shared" si="113"/>
        <v>-0.3830047003331245</v>
      </c>
      <c r="FX13" s="13">
        <f t="shared" si="114"/>
        <v>0.29278401784515484</v>
      </c>
      <c r="FY13" s="13">
        <f t="shared" si="115"/>
        <v>-0.38297234961505922</v>
      </c>
      <c r="FZ13" s="13">
        <f t="shared" si="116"/>
        <v>0.29279944215532094</v>
      </c>
      <c r="GA13" s="13">
        <f t="shared" si="117"/>
        <v>-0.38301301477000749</v>
      </c>
      <c r="GB13" s="12">
        <f t="shared" si="118"/>
        <v>0.29278005373020488</v>
      </c>
      <c r="GC13" s="22"/>
      <c r="GD13" s="11">
        <f t="shared" si="59"/>
        <v>1.5</v>
      </c>
      <c r="GE13" s="10">
        <f t="shared" si="60"/>
        <v>0.74926606198035017</v>
      </c>
      <c r="GF13" s="10">
        <f t="shared" si="61"/>
        <v>5.3414996220710531</v>
      </c>
      <c r="GG13" s="5">
        <f t="shared" si="62"/>
        <v>-8.7342365835222964</v>
      </c>
      <c r="GH13" s="10">
        <f t="shared" si="63"/>
        <v>0.29013780837149128</v>
      </c>
      <c r="GI13" s="9">
        <f t="shared" si="119"/>
        <v>10.840923428358337</v>
      </c>
      <c r="GJ13" s="8">
        <f t="shared" si="120"/>
        <v>-6.244627578035673</v>
      </c>
      <c r="GK13" s="8">
        <f t="shared" si="121"/>
        <v>0.29282337240127287</v>
      </c>
      <c r="GL13" s="7">
        <f t="shared" si="122"/>
        <v>0.29278401784515484</v>
      </c>
      <c r="GM13" s="6">
        <f t="shared" si="64"/>
        <v>0.52628526844966028</v>
      </c>
      <c r="GN13" s="5">
        <f t="shared" si="65"/>
        <v>0.78557142369058686</v>
      </c>
      <c r="GO13" s="4">
        <f t="shared" si="66"/>
        <v>0.63812514270441889</v>
      </c>
      <c r="GP13" s="4">
        <f t="shared" si="67"/>
        <v>0.88818423022188309</v>
      </c>
      <c r="GQ13" s="4">
        <f t="shared" si="68"/>
        <v>6.1067814727576275E-2</v>
      </c>
      <c r="GR13" s="1"/>
    </row>
    <row r="14" spans="1:200" x14ac:dyDescent="0.4">
      <c r="A14" s="34"/>
      <c r="B14" s="21"/>
      <c r="C14" s="21"/>
      <c r="D14" s="34"/>
      <c r="E14" s="34"/>
      <c r="F14" s="20" t="s">
        <v>82</v>
      </c>
      <c r="G14" s="19">
        <v>1050</v>
      </c>
      <c r="H14" s="18">
        <v>1E-4</v>
      </c>
      <c r="I14" s="17">
        <v>1.5</v>
      </c>
      <c r="J14" s="16">
        <v>49.6</v>
      </c>
      <c r="K14" s="16">
        <v>0.92</v>
      </c>
      <c r="L14" s="16">
        <v>14.6</v>
      </c>
      <c r="M14" s="16">
        <v>0</v>
      </c>
      <c r="N14" s="16">
        <v>9</v>
      </c>
      <c r="O14" s="16">
        <v>0</v>
      </c>
      <c r="P14" s="16">
        <v>8.6999999999999993</v>
      </c>
      <c r="Q14" s="16">
        <v>12.4</v>
      </c>
      <c r="R14" s="16">
        <v>2.2999999999999998</v>
      </c>
      <c r="S14" s="16">
        <v>0.21</v>
      </c>
      <c r="T14" s="16">
        <v>0</v>
      </c>
      <c r="U14" s="15">
        <v>0.5</v>
      </c>
      <c r="V14" s="16"/>
      <c r="W14" s="28">
        <f t="shared" si="69"/>
        <v>50.493739183548811</v>
      </c>
      <c r="X14" s="24">
        <f t="shared" si="0"/>
        <v>0.93657742034001823</v>
      </c>
      <c r="Y14" s="24">
        <f t="shared" si="0"/>
        <v>14.86307645322203</v>
      </c>
      <c r="Z14" s="24">
        <f t="shared" si="0"/>
        <v>0</v>
      </c>
      <c r="AA14" s="24">
        <f t="shared" si="0"/>
        <v>9.1621704163697437</v>
      </c>
      <c r="AB14" s="24">
        <f t="shared" si="0"/>
        <v>0</v>
      </c>
      <c r="AC14" s="24">
        <f t="shared" si="0"/>
        <v>8.8567647358240862</v>
      </c>
      <c r="AD14" s="24">
        <f t="shared" si="0"/>
        <v>12.623434795887203</v>
      </c>
      <c r="AE14" s="24">
        <f t="shared" si="0"/>
        <v>2.3414435508500455</v>
      </c>
      <c r="AF14" s="24">
        <f t="shared" si="0"/>
        <v>0.21378397638196067</v>
      </c>
      <c r="AG14" s="24">
        <f t="shared" si="0"/>
        <v>0</v>
      </c>
      <c r="AH14" s="24">
        <f t="shared" si="0"/>
        <v>0.50900946757609689</v>
      </c>
      <c r="AI14" s="14">
        <f t="shared" si="123"/>
        <v>100</v>
      </c>
      <c r="AJ14" s="26"/>
      <c r="AK14" s="50">
        <f t="shared" si="70"/>
        <v>0.8403018669254253</v>
      </c>
      <c r="AL14" s="47">
        <f t="shared" si="71"/>
        <v>1.1721870091865058E-2</v>
      </c>
      <c r="AM14" s="47">
        <f t="shared" si="72"/>
        <v>0.14577360193430788</v>
      </c>
      <c r="AN14" s="49">
        <f t="shared" si="73"/>
        <v>0</v>
      </c>
      <c r="AO14" s="49">
        <f t="shared" si="74"/>
        <v>0.12751802945538962</v>
      </c>
      <c r="AP14" s="47">
        <f t="shared" si="75"/>
        <v>0</v>
      </c>
      <c r="AQ14" s="47">
        <f t="shared" si="76"/>
        <v>0.21966182380516086</v>
      </c>
      <c r="AR14" s="47">
        <f t="shared" si="77"/>
        <v>0.22509691148158351</v>
      </c>
      <c r="AS14" s="47">
        <f t="shared" si="78"/>
        <v>3.7777404821717417E-2</v>
      </c>
      <c r="AT14" s="47">
        <f t="shared" si="79"/>
        <v>2.2694689637150814E-3</v>
      </c>
      <c r="AU14" s="47">
        <f t="shared" si="80"/>
        <v>0</v>
      </c>
      <c r="AV14" s="47">
        <f t="shared" si="81"/>
        <v>2.8246918289461537E-2</v>
      </c>
      <c r="AW14" s="47">
        <f t="shared" si="82"/>
        <v>1.6383678957686263</v>
      </c>
      <c r="AX14" s="47">
        <f t="shared" si="83"/>
        <v>9.05421728534858E-2</v>
      </c>
      <c r="AY14" s="46">
        <f t="shared" si="84"/>
        <v>1.8493801345844506E-2</v>
      </c>
      <c r="AZ14" s="26"/>
      <c r="BA14" s="23">
        <f t="shared" si="85"/>
        <v>0.51288960745364509</v>
      </c>
      <c r="BB14" s="13">
        <f t="shared" si="6"/>
        <v>7.1546019194704998E-3</v>
      </c>
      <c r="BC14" s="13">
        <f t="shared" si="7"/>
        <v>8.8974889163046883E-2</v>
      </c>
      <c r="BD14" s="13">
        <f t="shared" si="8"/>
        <v>0</v>
      </c>
      <c r="BE14" s="13">
        <f t="shared" si="9"/>
        <v>7.7832353639696789E-2</v>
      </c>
      <c r="BF14" s="13">
        <f t="shared" si="10"/>
        <v>5.5263639556980403E-2</v>
      </c>
      <c r="BG14" s="13">
        <f t="shared" si="11"/>
        <v>1.1287941733726598E-2</v>
      </c>
      <c r="BH14" s="13">
        <f t="shared" si="12"/>
        <v>0</v>
      </c>
      <c r="BI14" s="13">
        <f t="shared" si="13"/>
        <v>0.13407356453484973</v>
      </c>
      <c r="BJ14" s="13">
        <f t="shared" si="14"/>
        <v>0.13739094379408676</v>
      </c>
      <c r="BK14" s="13">
        <f t="shared" si="15"/>
        <v>2.3057949877609431E-2</v>
      </c>
      <c r="BL14" s="13">
        <f t="shared" si="16"/>
        <v>1.3852010708805909E-3</v>
      </c>
      <c r="BM14" s="13">
        <f t="shared" si="17"/>
        <v>0</v>
      </c>
      <c r="BN14" s="13">
        <f t="shared" si="86"/>
        <v>1.7240888546714191E-2</v>
      </c>
      <c r="BO14" s="12">
        <f t="shared" si="87"/>
        <v>0.98275911145328576</v>
      </c>
      <c r="BP14" s="13"/>
      <c r="BQ14" s="23">
        <f t="shared" si="88"/>
        <v>1.6806037338508506</v>
      </c>
      <c r="BR14" s="13">
        <f t="shared" si="18"/>
        <v>2.3443740183730116E-2</v>
      </c>
      <c r="BS14" s="13">
        <f t="shared" si="19"/>
        <v>0.43714930744770675</v>
      </c>
      <c r="BT14" s="13">
        <f t="shared" si="20"/>
        <v>0</v>
      </c>
      <c r="BU14" s="13">
        <f t="shared" si="21"/>
        <v>0.12751802945538962</v>
      </c>
      <c r="BV14" s="13">
        <f t="shared" si="89"/>
        <v>9.05421728534858E-2</v>
      </c>
      <c r="BW14" s="24">
        <f t="shared" si="90"/>
        <v>5.5481404037533523E-2</v>
      </c>
      <c r="BX14" s="13">
        <f t="shared" si="22"/>
        <v>0</v>
      </c>
      <c r="BY14" s="13">
        <f t="shared" si="23"/>
        <v>0.21977083711722301</v>
      </c>
      <c r="BZ14" s="13">
        <f t="shared" si="24"/>
        <v>0.22501666302829237</v>
      </c>
      <c r="CA14" s="13">
        <f t="shared" si="25"/>
        <v>3.7765218562097511E-2</v>
      </c>
      <c r="CB14" s="13">
        <f t="shared" si="26"/>
        <v>2.2694689637150814E-3</v>
      </c>
      <c r="CC14" s="13">
        <f t="shared" si="27"/>
        <v>0</v>
      </c>
      <c r="CD14" s="13">
        <f t="shared" si="91"/>
        <v>2.8246918289461537E-2</v>
      </c>
      <c r="CE14" s="12">
        <f t="shared" si="92"/>
        <v>2.7817839168984668</v>
      </c>
      <c r="CF14" s="13"/>
      <c r="CG14" s="23">
        <f t="shared" si="28"/>
        <v>0.60414603867745043</v>
      </c>
      <c r="CH14" s="13">
        <f t="shared" si="28"/>
        <v>8.4275921078257477E-3</v>
      </c>
      <c r="CI14" s="13">
        <f t="shared" si="28"/>
        <v>0.15714711153233776</v>
      </c>
      <c r="CJ14" s="13">
        <f t="shared" si="28"/>
        <v>0</v>
      </c>
      <c r="CK14" s="13">
        <f t="shared" si="28"/>
        <v>4.5840379146905516E-2</v>
      </c>
      <c r="CL14" s="13">
        <f t="shared" si="28"/>
        <v>3.2548240826136936E-2</v>
      </c>
      <c r="CM14" s="13">
        <f t="shared" si="28"/>
        <v>1.9944541235033159E-2</v>
      </c>
      <c r="CN14" s="13">
        <f t="shared" si="28"/>
        <v>0</v>
      </c>
      <c r="CO14" s="13">
        <f t="shared" si="28"/>
        <v>7.9003561628990637E-2</v>
      </c>
      <c r="CP14" s="13">
        <f t="shared" si="28"/>
        <v>8.0889339269447413E-2</v>
      </c>
      <c r="CQ14" s="13">
        <f t="shared" si="28"/>
        <v>1.3575899383372527E-2</v>
      </c>
      <c r="CR14" s="13">
        <f t="shared" si="28"/>
        <v>8.1583222547544675E-4</v>
      </c>
      <c r="CS14" s="13">
        <f t="shared" si="28"/>
        <v>0</v>
      </c>
      <c r="CT14" s="13">
        <f t="shared" si="28"/>
        <v>1.0154246028194478E-2</v>
      </c>
      <c r="CU14" s="12">
        <f t="shared" si="29"/>
        <v>1</v>
      </c>
      <c r="CV14" s="26"/>
      <c r="CW14" s="23">
        <f t="shared" si="30"/>
        <v>0.8403018669254253</v>
      </c>
      <c r="CX14" s="13">
        <f t="shared" si="31"/>
        <v>1.1721870091865058E-2</v>
      </c>
      <c r="CY14" s="13">
        <f t="shared" si="32"/>
        <v>0.29143287163180454</v>
      </c>
      <c r="CZ14" s="13">
        <f t="shared" si="33"/>
        <v>0</v>
      </c>
      <c r="DA14" s="13">
        <f t="shared" si="34"/>
        <v>0.17270194986072424</v>
      </c>
      <c r="DB14" s="13">
        <f t="shared" si="35"/>
        <v>9.05421728534858E-2</v>
      </c>
      <c r="DC14" s="24">
        <f t="shared" si="36"/>
        <v>3.6987602691689013E-2</v>
      </c>
      <c r="DD14" s="13">
        <f t="shared" si="37"/>
        <v>0</v>
      </c>
      <c r="DE14" s="13">
        <f t="shared" si="38"/>
        <v>0.21977083711722301</v>
      </c>
      <c r="DF14" s="13">
        <f t="shared" si="39"/>
        <v>0.22501666302829237</v>
      </c>
      <c r="DG14" s="13">
        <f t="shared" si="40"/>
        <v>7.5530437124195021E-2</v>
      </c>
      <c r="DH14" s="13">
        <f t="shared" si="41"/>
        <v>4.5389379274301629E-3</v>
      </c>
      <c r="DI14" s="13">
        <f t="shared" si="42"/>
        <v>0</v>
      </c>
      <c r="DJ14" s="13">
        <f t="shared" si="93"/>
        <v>5.6493836578923075E-2</v>
      </c>
      <c r="DK14" s="12">
        <f t="shared" si="94"/>
        <v>1.8975092702858827</v>
      </c>
      <c r="DL14" s="26"/>
      <c r="DM14" s="23">
        <f t="shared" si="95"/>
        <v>0.44284467016006918</v>
      </c>
      <c r="DN14" s="13">
        <f t="shared" si="43"/>
        <v>6.1775034648969152E-3</v>
      </c>
      <c r="DO14" s="13">
        <f t="shared" si="43"/>
        <v>0.15358706078305306</v>
      </c>
      <c r="DP14" s="13">
        <f t="shared" si="43"/>
        <v>0</v>
      </c>
      <c r="DQ14" s="13">
        <f t="shared" si="43"/>
        <v>9.1015075691674802E-2</v>
      </c>
      <c r="DR14" s="13">
        <f t="shared" si="43"/>
        <v>4.7716327014225617E-2</v>
      </c>
      <c r="DS14" s="13">
        <f t="shared" si="43"/>
        <v>1.9492712510498767E-2</v>
      </c>
      <c r="DT14" s="13">
        <f t="shared" si="43"/>
        <v>0</v>
      </c>
      <c r="DU14" s="13">
        <f t="shared" si="43"/>
        <v>0.11582069218777091</v>
      </c>
      <c r="DV14" s="13">
        <f t="shared" si="43"/>
        <v>0.11858527731692763</v>
      </c>
      <c r="DW14" s="13">
        <f t="shared" si="43"/>
        <v>3.9805042487521258E-2</v>
      </c>
      <c r="DX14" s="13">
        <f t="shared" si="43"/>
        <v>2.3920504624181981E-3</v>
      </c>
      <c r="DY14" s="13">
        <f t="shared" si="43"/>
        <v>0</v>
      </c>
      <c r="DZ14" s="13">
        <f t="shared" si="43"/>
        <v>2.9772627445668075E-2</v>
      </c>
      <c r="EA14" s="12">
        <f t="shared" si="44"/>
        <v>1</v>
      </c>
      <c r="EB14" s="26"/>
      <c r="EC14" s="30">
        <f t="shared" si="45"/>
        <v>1323</v>
      </c>
      <c r="ED14" s="14">
        <f t="shared" si="96"/>
        <v>100000</v>
      </c>
      <c r="EE14" s="29"/>
      <c r="EF14" s="128">
        <f t="shared" si="124"/>
        <v>-8.7342365835222964</v>
      </c>
      <c r="EG14" s="13">
        <f t="shared" si="97"/>
        <v>1.5</v>
      </c>
      <c r="EH14" s="13">
        <f>IF(EF14="","",24930/($EC14)-9.36-0.046*($ED14/100000)/($EC14)+$EF14)</f>
        <v>0.74926606198035017</v>
      </c>
      <c r="EI14" s="12">
        <f t="shared" si="46"/>
        <v>5.3414996220710531</v>
      </c>
      <c r="EJ14" s="29"/>
      <c r="EK14" s="28">
        <f t="shared" si="99"/>
        <v>-1.5886977457186242</v>
      </c>
      <c r="EL14" s="24">
        <f t="shared" si="100"/>
        <v>-0.68983836114573349</v>
      </c>
      <c r="EM14" s="24">
        <f t="shared" si="101"/>
        <v>0.20419134772553832</v>
      </c>
      <c r="EN14" s="24">
        <f t="shared" si="102"/>
        <v>5.5263639556980389E-2</v>
      </c>
      <c r="EO14" s="24">
        <f t="shared" si="103"/>
        <v>1.1284357041358196E-2</v>
      </c>
      <c r="EP14" s="24">
        <f t="shared" si="104"/>
        <v>0.28996571512140018</v>
      </c>
      <c r="EQ14" s="24">
        <f t="shared" si="105"/>
        <v>-1.5883801269918607</v>
      </c>
      <c r="ER14" s="24">
        <f t="shared" si="47"/>
        <v>-20.109295756269134</v>
      </c>
      <c r="ES14" s="25">
        <f t="shared" si="48"/>
        <v>-8.7317827860482566</v>
      </c>
      <c r="ET14" s="26">
        <v>0.5</v>
      </c>
      <c r="EU14" s="26">
        <v>0.29083888041780526</v>
      </c>
      <c r="EV14" s="26">
        <v>0.2955497185374798</v>
      </c>
      <c r="EW14" s="26">
        <v>0.28996571512140018</v>
      </c>
      <c r="EX14" s="26">
        <v>0.29530140059440135</v>
      </c>
      <c r="EY14" s="26">
        <f t="shared" si="106"/>
        <v>0.99915980991520736</v>
      </c>
      <c r="EZ14" s="26">
        <f t="shared" si="107"/>
        <v>1.0030112708188259</v>
      </c>
      <c r="FA14" s="23">
        <f t="shared" si="125"/>
        <v>-1.1897254413983447</v>
      </c>
      <c r="FB14" s="190">
        <f t="shared" si="108"/>
        <v>6.0685585390010233E-2</v>
      </c>
      <c r="FC14" s="124">
        <v>6.2646889236044334E-2</v>
      </c>
      <c r="FD14" s="26"/>
      <c r="FE14" s="27">
        <f t="shared" si="109"/>
        <v>0.88818423022188309</v>
      </c>
      <c r="FF14" s="26"/>
      <c r="FG14" s="23">
        <f t="shared" si="49"/>
        <v>-3.6760526832567879</v>
      </c>
      <c r="FH14" s="13">
        <f t="shared" si="50"/>
        <v>15.254661431130469</v>
      </c>
      <c r="FI14" s="13">
        <f t="shared" si="51"/>
        <v>-21.845149910644157</v>
      </c>
      <c r="FJ14" s="13">
        <f t="shared" si="52"/>
        <v>0.55321811322804137</v>
      </c>
      <c r="FK14" s="12">
        <f t="shared" si="53"/>
        <v>0.63488189508014981</v>
      </c>
      <c r="FL14" s="13"/>
      <c r="FM14" s="23">
        <f t="shared" si="54"/>
        <v>-6.0407927823236767</v>
      </c>
      <c r="FN14" s="13">
        <f t="shared" si="55"/>
        <v>11.469433272646768</v>
      </c>
      <c r="FO14" s="13">
        <f t="shared" si="56"/>
        <v>11.987723872940023</v>
      </c>
      <c r="FP14" s="24">
        <f t="shared" si="110"/>
        <v>0.52401639891318297</v>
      </c>
      <c r="FQ14" s="25">
        <f t="shared" si="57"/>
        <v>0.78407063766839447</v>
      </c>
      <c r="FR14" s="13"/>
      <c r="FS14" s="23">
        <f t="shared" si="111"/>
        <v>10.847993402104606</v>
      </c>
      <c r="FT14" s="13">
        <f t="shared" si="126"/>
        <v>-6.2427418634048699</v>
      </c>
      <c r="FU14" s="13">
        <f t="shared" si="112"/>
        <v>-0.37773790153511655</v>
      </c>
      <c r="FV14" s="13">
        <f t="shared" si="58"/>
        <v>0.29530140059440135</v>
      </c>
      <c r="FW14" s="23">
        <f t="shared" si="113"/>
        <v>-0.37782044121765779</v>
      </c>
      <c r="FX14" s="13">
        <f t="shared" si="114"/>
        <v>0.29526185205022537</v>
      </c>
      <c r="FY14" s="13">
        <f t="shared" si="115"/>
        <v>-0.3777880904995925</v>
      </c>
      <c r="FZ14" s="13">
        <f t="shared" si="116"/>
        <v>0.29527735239495911</v>
      </c>
      <c r="GA14" s="13">
        <f t="shared" si="117"/>
        <v>-0.37782875565454077</v>
      </c>
      <c r="GB14" s="12">
        <f t="shared" si="118"/>
        <v>0.29525786839313584</v>
      </c>
      <c r="GC14" s="22"/>
      <c r="GD14" s="11">
        <f t="shared" si="59"/>
        <v>1.5</v>
      </c>
      <c r="GE14" s="10">
        <f t="shared" si="60"/>
        <v>0.74926606198035017</v>
      </c>
      <c r="GF14" s="10">
        <f t="shared" si="61"/>
        <v>5.3414996220710531</v>
      </c>
      <c r="GG14" s="5">
        <f t="shared" si="62"/>
        <v>-8.7342365835222964</v>
      </c>
      <c r="GH14" s="10">
        <f t="shared" si="63"/>
        <v>0.28996571512140018</v>
      </c>
      <c r="GI14" s="9">
        <f t="shared" si="119"/>
        <v>10.847993402104606</v>
      </c>
      <c r="GJ14" s="8">
        <f t="shared" si="120"/>
        <v>-6.2427418634048699</v>
      </c>
      <c r="GK14" s="8">
        <f t="shared" si="121"/>
        <v>0.29530140059440135</v>
      </c>
      <c r="GL14" s="7">
        <f t="shared" si="122"/>
        <v>0.29526185205022537</v>
      </c>
      <c r="GM14" s="6">
        <f t="shared" si="64"/>
        <v>0.52401639891318297</v>
      </c>
      <c r="GN14" s="5">
        <f t="shared" si="65"/>
        <v>0.78407063766839447</v>
      </c>
      <c r="GO14" s="4">
        <f t="shared" si="66"/>
        <v>0.63488189508014981</v>
      </c>
      <c r="GP14" s="4">
        <f t="shared" si="67"/>
        <v>0.88818423022188309</v>
      </c>
      <c r="GQ14" s="4">
        <f t="shared" si="68"/>
        <v>6.0685585390010233E-2</v>
      </c>
      <c r="GR14" s="1"/>
    </row>
    <row r="15" spans="1:200" x14ac:dyDescent="0.4">
      <c r="A15" s="34"/>
      <c r="B15" s="21"/>
      <c r="C15" s="21"/>
      <c r="D15" s="34"/>
      <c r="E15" s="34"/>
      <c r="F15" s="20" t="s">
        <v>82</v>
      </c>
      <c r="G15" s="19">
        <v>1050</v>
      </c>
      <c r="H15" s="18">
        <v>1E-4</v>
      </c>
      <c r="I15" s="17">
        <v>1.5</v>
      </c>
      <c r="J15" s="16">
        <v>49.6</v>
      </c>
      <c r="K15" s="16">
        <v>0.92</v>
      </c>
      <c r="L15" s="16">
        <v>14.6</v>
      </c>
      <c r="M15" s="16">
        <v>0</v>
      </c>
      <c r="N15" s="16">
        <v>9</v>
      </c>
      <c r="O15" s="16">
        <v>0</v>
      </c>
      <c r="P15" s="16">
        <v>8.6999999999999993</v>
      </c>
      <c r="Q15" s="16">
        <v>12.4</v>
      </c>
      <c r="R15" s="16">
        <v>2.2999999999999998</v>
      </c>
      <c r="S15" s="16">
        <v>0.21</v>
      </c>
      <c r="T15" s="16">
        <v>0</v>
      </c>
      <c r="U15" s="15">
        <v>0.6</v>
      </c>
      <c r="V15" s="16"/>
      <c r="W15" s="28">
        <f t="shared" si="69"/>
        <v>50.44238787755517</v>
      </c>
      <c r="X15" s="24">
        <f t="shared" si="0"/>
        <v>0.9356249364385234</v>
      </c>
      <c r="Y15" s="24">
        <f t="shared" si="0"/>
        <v>14.847960947828739</v>
      </c>
      <c r="Z15" s="24">
        <f t="shared" si="0"/>
        <v>0</v>
      </c>
      <c r="AA15" s="24">
        <f t="shared" si="0"/>
        <v>9.1528526390725098</v>
      </c>
      <c r="AB15" s="24">
        <f t="shared" si="0"/>
        <v>0</v>
      </c>
      <c r="AC15" s="24">
        <f t="shared" si="0"/>
        <v>8.8477575511034274</v>
      </c>
      <c r="AD15" s="24">
        <f t="shared" si="0"/>
        <v>12.610596969388792</v>
      </c>
      <c r="AE15" s="24">
        <f t="shared" si="0"/>
        <v>2.3390623410963083</v>
      </c>
      <c r="AF15" s="24">
        <f t="shared" si="0"/>
        <v>0.21356656157835857</v>
      </c>
      <c r="AG15" s="24">
        <f t="shared" si="0"/>
        <v>0</v>
      </c>
      <c r="AH15" s="24">
        <f t="shared" si="0"/>
        <v>0.61019017593816738</v>
      </c>
      <c r="AI15" s="14">
        <f t="shared" si="123"/>
        <v>100</v>
      </c>
      <c r="AJ15" s="26"/>
      <c r="AK15" s="50">
        <f t="shared" si="70"/>
        <v>0.83944729368539139</v>
      </c>
      <c r="AL15" s="47">
        <f t="shared" si="71"/>
        <v>1.1709949141908928E-2</v>
      </c>
      <c r="AM15" s="47">
        <f t="shared" si="72"/>
        <v>0.14562535256795547</v>
      </c>
      <c r="AN15" s="49">
        <f t="shared" si="73"/>
        <v>0</v>
      </c>
      <c r="AO15" s="49">
        <f t="shared" si="74"/>
        <v>0.12738834570734184</v>
      </c>
      <c r="AP15" s="47">
        <f t="shared" si="75"/>
        <v>0</v>
      </c>
      <c r="AQ15" s="47">
        <f t="shared" si="76"/>
        <v>0.21943843132696991</v>
      </c>
      <c r="AR15" s="47">
        <f t="shared" si="77"/>
        <v>0.22486799160821672</v>
      </c>
      <c r="AS15" s="47">
        <f t="shared" si="78"/>
        <v>3.7738985819559673E-2</v>
      </c>
      <c r="AT15" s="47">
        <f t="shared" si="79"/>
        <v>2.2671609509379892E-3</v>
      </c>
      <c r="AU15" s="47">
        <f t="shared" si="80"/>
        <v>0</v>
      </c>
      <c r="AV15" s="47">
        <f t="shared" si="81"/>
        <v>3.3861829963272333E-2</v>
      </c>
      <c r="AW15" s="47">
        <f t="shared" si="82"/>
        <v>1.6423453407715543</v>
      </c>
      <c r="AX15" s="47">
        <f t="shared" si="83"/>
        <v>9.0471857337909509E-2</v>
      </c>
      <c r="AY15" s="46">
        <f t="shared" si="84"/>
        <v>1.8464107799880104E-2</v>
      </c>
      <c r="AZ15" s="26"/>
      <c r="BA15" s="23">
        <f t="shared" si="85"/>
        <v>0.5111271502076592</v>
      </c>
      <c r="BB15" s="13">
        <f t="shared" si="6"/>
        <v>7.1300163560044771E-3</v>
      </c>
      <c r="BC15" s="13">
        <f t="shared" si="7"/>
        <v>8.8669142203394585E-2</v>
      </c>
      <c r="BD15" s="13">
        <f t="shared" si="8"/>
        <v>0</v>
      </c>
      <c r="BE15" s="13">
        <f t="shared" si="9"/>
        <v>7.7564896093958113E-2</v>
      </c>
      <c r="BF15" s="13">
        <f t="shared" si="10"/>
        <v>5.5086987548798302E-2</v>
      </c>
      <c r="BG15" s="13">
        <f t="shared" si="11"/>
        <v>1.1242524541888302E-2</v>
      </c>
      <c r="BH15" s="13">
        <f t="shared" si="12"/>
        <v>0</v>
      </c>
      <c r="BI15" s="13">
        <f t="shared" si="13"/>
        <v>0.1336128437055025</v>
      </c>
      <c r="BJ15" s="13">
        <f t="shared" si="14"/>
        <v>0.13691882335938946</v>
      </c>
      <c r="BK15" s="13">
        <f t="shared" si="15"/>
        <v>2.2978715184122207E-2</v>
      </c>
      <c r="BL15" s="13">
        <f t="shared" si="16"/>
        <v>1.3804410647719827E-3</v>
      </c>
      <c r="BM15" s="13">
        <f t="shared" si="17"/>
        <v>0</v>
      </c>
      <c r="BN15" s="13">
        <f t="shared" si="86"/>
        <v>2.0617971825197524E-2</v>
      </c>
      <c r="BO15" s="12">
        <f t="shared" si="87"/>
        <v>0.97938202817480258</v>
      </c>
      <c r="BP15" s="13"/>
      <c r="BQ15" s="23">
        <f t="shared" si="88"/>
        <v>1.6788945873707828</v>
      </c>
      <c r="BR15" s="13">
        <f t="shared" si="18"/>
        <v>2.3419898283817856E-2</v>
      </c>
      <c r="BS15" s="13">
        <f t="shared" si="19"/>
        <v>0.43670473375966878</v>
      </c>
      <c r="BT15" s="13">
        <f t="shared" si="20"/>
        <v>0</v>
      </c>
      <c r="BU15" s="13">
        <f t="shared" si="21"/>
        <v>0.12738834570734184</v>
      </c>
      <c r="BV15" s="13">
        <f t="shared" si="89"/>
        <v>9.0471857337909509E-2</v>
      </c>
      <c r="BW15" s="24">
        <f t="shared" si="90"/>
        <v>5.5392323399640314E-2</v>
      </c>
      <c r="BX15" s="13">
        <f t="shared" si="22"/>
        <v>0</v>
      </c>
      <c r="BY15" s="13">
        <f t="shared" si="23"/>
        <v>0.21954733377427862</v>
      </c>
      <c r="BZ15" s="13">
        <f t="shared" si="24"/>
        <v>0.22478782476628864</v>
      </c>
      <c r="CA15" s="13">
        <f t="shared" si="25"/>
        <v>3.772681195316626E-2</v>
      </c>
      <c r="CB15" s="13">
        <f t="shared" si="26"/>
        <v>2.2671609509379892E-3</v>
      </c>
      <c r="CC15" s="13">
        <f t="shared" si="27"/>
        <v>0</v>
      </c>
      <c r="CD15" s="13">
        <f t="shared" si="91"/>
        <v>3.3861829963272333E-2</v>
      </c>
      <c r="CE15" s="12">
        <f t="shared" si="92"/>
        <v>2.784598526529555</v>
      </c>
      <c r="CF15" s="13"/>
      <c r="CG15" s="23">
        <f t="shared" si="28"/>
        <v>0.60292159583348948</v>
      </c>
      <c r="CH15" s="13">
        <f t="shared" si="28"/>
        <v>8.4105116269691041E-3</v>
      </c>
      <c r="CI15" s="13">
        <f t="shared" si="28"/>
        <v>0.15682861626158148</v>
      </c>
      <c r="CJ15" s="13">
        <f t="shared" si="28"/>
        <v>0</v>
      </c>
      <c r="CK15" s="13">
        <f t="shared" si="28"/>
        <v>4.5747472927850009E-2</v>
      </c>
      <c r="CL15" s="13">
        <f t="shared" si="28"/>
        <v>3.2490090214428356E-2</v>
      </c>
      <c r="CM15" s="13">
        <f t="shared" si="28"/>
        <v>1.9892391262835207E-2</v>
      </c>
      <c r="CN15" s="13">
        <f t="shared" si="28"/>
        <v>0</v>
      </c>
      <c r="CO15" s="13">
        <f t="shared" si="28"/>
        <v>7.8843442486447216E-2</v>
      </c>
      <c r="CP15" s="13">
        <f t="shared" si="28"/>
        <v>8.07253981587219E-2</v>
      </c>
      <c r="CQ15" s="13">
        <f t="shared" si="28"/>
        <v>1.3548384657153857E-2</v>
      </c>
      <c r="CR15" s="13">
        <f t="shared" si="28"/>
        <v>8.1417875120531349E-4</v>
      </c>
      <c r="CS15" s="13">
        <f t="shared" si="28"/>
        <v>0</v>
      </c>
      <c r="CT15" s="13">
        <f t="shared" si="28"/>
        <v>1.2160399296581663E-2</v>
      </c>
      <c r="CU15" s="12">
        <f t="shared" si="29"/>
        <v>1.0000000000000002</v>
      </c>
      <c r="CV15" s="26"/>
      <c r="CW15" s="23">
        <f t="shared" si="30"/>
        <v>0.83944729368539139</v>
      </c>
      <c r="CX15" s="13">
        <f t="shared" si="31"/>
        <v>1.1709949141908928E-2</v>
      </c>
      <c r="CY15" s="13">
        <f t="shared" si="32"/>
        <v>0.29113648917311252</v>
      </c>
      <c r="CZ15" s="13">
        <f t="shared" si="33"/>
        <v>0</v>
      </c>
      <c r="DA15" s="13">
        <f t="shared" si="34"/>
        <v>0.17270194986072424</v>
      </c>
      <c r="DB15" s="13">
        <f t="shared" si="35"/>
        <v>9.0471857337909509E-2</v>
      </c>
      <c r="DC15" s="24">
        <f t="shared" si="36"/>
        <v>3.6928215599760207E-2</v>
      </c>
      <c r="DD15" s="13">
        <f t="shared" si="37"/>
        <v>0</v>
      </c>
      <c r="DE15" s="13">
        <f t="shared" si="38"/>
        <v>0.21954733377427862</v>
      </c>
      <c r="DF15" s="13">
        <f t="shared" si="39"/>
        <v>0.22478782476628864</v>
      </c>
      <c r="DG15" s="13">
        <f t="shared" si="40"/>
        <v>7.545362390633252E-2</v>
      </c>
      <c r="DH15" s="13">
        <f t="shared" si="41"/>
        <v>4.5343219018759784E-3</v>
      </c>
      <c r="DI15" s="13">
        <f t="shared" si="42"/>
        <v>0</v>
      </c>
      <c r="DJ15" s="13">
        <f t="shared" si="93"/>
        <v>6.7723659926544666E-2</v>
      </c>
      <c r="DK15" s="12">
        <f t="shared" si="94"/>
        <v>1.9070424461364577</v>
      </c>
      <c r="DL15" s="26"/>
      <c r="DM15" s="23">
        <f t="shared" si="95"/>
        <v>0.44018280525745834</v>
      </c>
      <c r="DN15" s="13">
        <f t="shared" si="43"/>
        <v>6.1403715295548422E-3</v>
      </c>
      <c r="DO15" s="13">
        <f t="shared" si="43"/>
        <v>0.15266387476741058</v>
      </c>
      <c r="DP15" s="13">
        <f t="shared" si="43"/>
        <v>0</v>
      </c>
      <c r="DQ15" s="13">
        <f t="shared" si="43"/>
        <v>9.0560097501032027E-2</v>
      </c>
      <c r="DR15" s="13">
        <f t="shared" si="43"/>
        <v>4.7440924831641543E-2</v>
      </c>
      <c r="DS15" s="13">
        <f t="shared" si="43"/>
        <v>1.9364128823967364E-2</v>
      </c>
      <c r="DT15" s="13">
        <f t="shared" si="43"/>
        <v>0</v>
      </c>
      <c r="DU15" s="13">
        <f t="shared" si="43"/>
        <v>0.11512451346799703</v>
      </c>
      <c r="DV15" s="13">
        <f t="shared" si="43"/>
        <v>0.11787248114046646</v>
      </c>
      <c r="DW15" s="13">
        <f t="shared" si="43"/>
        <v>3.9565781065438052E-2</v>
      </c>
      <c r="DX15" s="13">
        <f t="shared" si="43"/>
        <v>2.3776722490169086E-3</v>
      </c>
      <c r="DY15" s="13">
        <f t="shared" si="43"/>
        <v>0</v>
      </c>
      <c r="DZ15" s="13">
        <f t="shared" si="43"/>
        <v>3.551240302162563E-2</v>
      </c>
      <c r="EA15" s="12">
        <f t="shared" si="44"/>
        <v>1</v>
      </c>
      <c r="EB15" s="26"/>
      <c r="EC15" s="30">
        <f t="shared" si="45"/>
        <v>1323</v>
      </c>
      <c r="ED15" s="14">
        <f t="shared" si="96"/>
        <v>100000</v>
      </c>
      <c r="EE15" s="29"/>
      <c r="EF15" s="128">
        <f t="shared" si="124"/>
        <v>-8.7342365835222964</v>
      </c>
      <c r="EG15" s="13">
        <f t="shared" si="97"/>
        <v>1.5</v>
      </c>
      <c r="EH15" s="13">
        <f t="shared" si="98"/>
        <v>0.74926606198035017</v>
      </c>
      <c r="EI15" s="12">
        <f t="shared" si="46"/>
        <v>5.3414996220710531</v>
      </c>
      <c r="EJ15" s="29"/>
      <c r="EK15" s="28">
        <f t="shared" si="99"/>
        <v>-1.589527723739619</v>
      </c>
      <c r="EL15" s="24">
        <f t="shared" si="100"/>
        <v>-0.69019875108103301</v>
      </c>
      <c r="EM15" s="24">
        <f t="shared" si="101"/>
        <v>0.20402194370538018</v>
      </c>
      <c r="EN15" s="24">
        <f t="shared" si="102"/>
        <v>5.5086987548798302E-2</v>
      </c>
      <c r="EO15" s="24">
        <f t="shared" si="103"/>
        <v>1.1238954272579905E-2</v>
      </c>
      <c r="EP15" s="24">
        <f t="shared" si="104"/>
        <v>0.28979486439240804</v>
      </c>
      <c r="EQ15" s="24">
        <f t="shared" si="105"/>
        <v>-1.5892101050128551</v>
      </c>
      <c r="ER15" s="24">
        <f t="shared" si="47"/>
        <v>-20.10929575626913</v>
      </c>
      <c r="ES15" s="25">
        <f t="shared" si="48"/>
        <v>-8.7317827860482549</v>
      </c>
      <c r="ET15" s="26">
        <v>0.6</v>
      </c>
      <c r="EU15" s="26">
        <v>0.29083888041780526</v>
      </c>
      <c r="EV15" s="26">
        <v>0.29807818179131884</v>
      </c>
      <c r="EW15" s="26">
        <v>0.28979486439240804</v>
      </c>
      <c r="EX15" s="26">
        <v>0.29778082840406173</v>
      </c>
      <c r="EY15" s="26">
        <f t="shared" si="106"/>
        <v>0.999002431558492</v>
      </c>
      <c r="EZ15" s="26">
        <f t="shared" si="107"/>
        <v>1.0036026036126835</v>
      </c>
      <c r="FA15" s="23">
        <f t="shared" si="125"/>
        <v>-1.1926090803952967</v>
      </c>
      <c r="FB15" s="190">
        <f t="shared" si="108"/>
        <v>6.0308198733593499E-2</v>
      </c>
      <c r="FC15" s="124">
        <v>6.2646889236044334E-2</v>
      </c>
      <c r="FD15" s="26"/>
      <c r="FE15" s="27">
        <f t="shared" si="109"/>
        <v>0.88818423022188309</v>
      </c>
      <c r="FF15" s="26"/>
      <c r="FG15" s="23">
        <f t="shared" si="49"/>
        <v>-3.7060958752859934</v>
      </c>
      <c r="FH15" s="13">
        <f t="shared" si="50"/>
        <v>15.210768051368046</v>
      </c>
      <c r="FI15" s="13">
        <f t="shared" si="51"/>
        <v>-21.845149910644157</v>
      </c>
      <c r="FJ15" s="13">
        <f t="shared" si="52"/>
        <v>0.53936792549482959</v>
      </c>
      <c r="FK15" s="12">
        <f t="shared" si="53"/>
        <v>0.63166536885029112</v>
      </c>
      <c r="FL15" s="13"/>
      <c r="FM15" s="23">
        <f t="shared" si="54"/>
        <v>-6.0415465355862326</v>
      </c>
      <c r="FN15" s="13">
        <f t="shared" si="55"/>
        <v>11.464745185614177</v>
      </c>
      <c r="FO15" s="13">
        <f t="shared" si="56"/>
        <v>11.983127321801618</v>
      </c>
      <c r="FP15" s="24">
        <f t="shared" si="110"/>
        <v>0.5217563632829193</v>
      </c>
      <c r="FQ15" s="25">
        <f t="shared" si="57"/>
        <v>0.7825688093712404</v>
      </c>
      <c r="FR15" s="13"/>
      <c r="FS15" s="23">
        <f t="shared" si="111"/>
        <v>10.855034717949593</v>
      </c>
      <c r="FT15" s="13">
        <f t="shared" si="126"/>
        <v>-6.2408625006957443</v>
      </c>
      <c r="FU15" s="13">
        <f t="shared" si="112"/>
        <v>-0.37257594839925545</v>
      </c>
      <c r="FV15" s="13">
        <f t="shared" si="58"/>
        <v>0.29778082840406173</v>
      </c>
      <c r="FW15" s="23">
        <f t="shared" si="113"/>
        <v>-0.37265848808179669</v>
      </c>
      <c r="FX15" s="13">
        <f t="shared" si="114"/>
        <v>0.29774108809807454</v>
      </c>
      <c r="FY15" s="13">
        <f t="shared" si="115"/>
        <v>-0.3726261373637314</v>
      </c>
      <c r="FZ15" s="13">
        <f t="shared" si="116"/>
        <v>0.29775666360488406</v>
      </c>
      <c r="GA15" s="13">
        <f t="shared" si="117"/>
        <v>-0.37266680251867967</v>
      </c>
      <c r="GB15" s="12">
        <f t="shared" si="118"/>
        <v>0.29773708512307007</v>
      </c>
      <c r="GC15" s="22"/>
      <c r="GD15" s="11">
        <f t="shared" si="59"/>
        <v>1.5</v>
      </c>
      <c r="GE15" s="10">
        <f t="shared" si="60"/>
        <v>0.74926606198035017</v>
      </c>
      <c r="GF15" s="10">
        <f t="shared" si="61"/>
        <v>5.3414996220710531</v>
      </c>
      <c r="GG15" s="5">
        <f t="shared" si="62"/>
        <v>-8.7342365835222964</v>
      </c>
      <c r="GH15" s="10">
        <f t="shared" si="63"/>
        <v>0.28979486439240804</v>
      </c>
      <c r="GI15" s="9">
        <f t="shared" si="119"/>
        <v>10.855034717949593</v>
      </c>
      <c r="GJ15" s="8">
        <f t="shared" si="120"/>
        <v>-6.2408625006957443</v>
      </c>
      <c r="GK15" s="8">
        <f t="shared" si="121"/>
        <v>0.29778082840406173</v>
      </c>
      <c r="GL15" s="7">
        <f t="shared" si="122"/>
        <v>0.29774108809807454</v>
      </c>
      <c r="GM15" s="6">
        <f t="shared" si="64"/>
        <v>0.5217563632829193</v>
      </c>
      <c r="GN15" s="5">
        <f t="shared" si="65"/>
        <v>0.7825688093712404</v>
      </c>
      <c r="GO15" s="4">
        <f t="shared" si="66"/>
        <v>0.63166536885029112</v>
      </c>
      <c r="GP15" s="4">
        <f t="shared" si="67"/>
        <v>0.88818423022188309</v>
      </c>
      <c r="GQ15" s="4">
        <f t="shared" si="68"/>
        <v>6.0308198733593499E-2</v>
      </c>
      <c r="GR15" s="1"/>
    </row>
    <row r="16" spans="1:200" x14ac:dyDescent="0.4">
      <c r="A16" s="34"/>
      <c r="B16" s="21"/>
      <c r="C16" s="21"/>
      <c r="D16" s="34"/>
      <c r="E16" s="34"/>
      <c r="F16" s="20" t="s">
        <v>82</v>
      </c>
      <c r="G16" s="19">
        <v>1050</v>
      </c>
      <c r="H16" s="18">
        <v>1E-4</v>
      </c>
      <c r="I16" s="17">
        <v>1.5</v>
      </c>
      <c r="J16" s="16">
        <v>49.6</v>
      </c>
      <c r="K16" s="16">
        <v>0.92</v>
      </c>
      <c r="L16" s="16">
        <v>14.6</v>
      </c>
      <c r="M16" s="16">
        <v>0</v>
      </c>
      <c r="N16" s="16">
        <v>9</v>
      </c>
      <c r="O16" s="16">
        <v>0</v>
      </c>
      <c r="P16" s="16">
        <v>8.6999999999999993</v>
      </c>
      <c r="Q16" s="16">
        <v>12.4</v>
      </c>
      <c r="R16" s="16">
        <v>2.2999999999999998</v>
      </c>
      <c r="S16" s="16">
        <v>0.21</v>
      </c>
      <c r="T16" s="16">
        <v>0</v>
      </c>
      <c r="U16" s="15">
        <v>0.7</v>
      </c>
      <c r="V16" s="16"/>
      <c r="W16" s="28">
        <f t="shared" si="69"/>
        <v>50.391140912323472</v>
      </c>
      <c r="X16" s="24">
        <f t="shared" si="0"/>
        <v>0.93467438788987101</v>
      </c>
      <c r="Y16" s="24">
        <f t="shared" si="0"/>
        <v>14.832876155643604</v>
      </c>
      <c r="Z16" s="24">
        <f t="shared" si="0"/>
        <v>0</v>
      </c>
      <c r="AA16" s="24">
        <f t="shared" si="0"/>
        <v>9.1435537945748244</v>
      </c>
      <c r="AB16" s="24">
        <f t="shared" si="0"/>
        <v>0</v>
      </c>
      <c r="AC16" s="24">
        <f t="shared" si="0"/>
        <v>8.8387686680889956</v>
      </c>
      <c r="AD16" s="24">
        <f t="shared" si="0"/>
        <v>12.597785228080868</v>
      </c>
      <c r="AE16" s="24">
        <f t="shared" si="0"/>
        <v>2.3366859697246771</v>
      </c>
      <c r="AF16" s="24">
        <f t="shared" si="0"/>
        <v>0.21334958854007921</v>
      </c>
      <c r="AG16" s="24">
        <f t="shared" si="0"/>
        <v>0</v>
      </c>
      <c r="AH16" s="24">
        <f t="shared" si="0"/>
        <v>0.71116529513359739</v>
      </c>
      <c r="AI16" s="14">
        <f t="shared" si="123"/>
        <v>100</v>
      </c>
      <c r="AJ16" s="26"/>
      <c r="AK16" s="50">
        <f t="shared" si="70"/>
        <v>0.83859445685344436</v>
      </c>
      <c r="AL16" s="47">
        <f t="shared" si="71"/>
        <v>1.1698052414141064E-2</v>
      </c>
      <c r="AM16" s="47">
        <f t="shared" si="72"/>
        <v>0.14547740442961557</v>
      </c>
      <c r="AN16" s="49">
        <f t="shared" si="73"/>
        <v>0</v>
      </c>
      <c r="AO16" s="49">
        <f t="shared" si="74"/>
        <v>0.12725892546381107</v>
      </c>
      <c r="AP16" s="47">
        <f t="shared" si="75"/>
        <v>0</v>
      </c>
      <c r="AQ16" s="47">
        <f t="shared" si="76"/>
        <v>0.21921549276014374</v>
      </c>
      <c r="AR16" s="47">
        <f t="shared" si="77"/>
        <v>0.2246395368773336</v>
      </c>
      <c r="AS16" s="47">
        <f t="shared" si="78"/>
        <v>3.7700644881004795E-2</v>
      </c>
      <c r="AT16" s="47">
        <f t="shared" si="79"/>
        <v>2.2648576278140042E-3</v>
      </c>
      <c r="AU16" s="47">
        <f t="shared" si="80"/>
        <v>0</v>
      </c>
      <c r="AV16" s="47">
        <f t="shared" si="81"/>
        <v>3.9465332693318388E-2</v>
      </c>
      <c r="AW16" s="47">
        <f t="shared" si="82"/>
        <v>1.6463147040006263</v>
      </c>
      <c r="AX16" s="47">
        <f t="shared" si="83"/>
        <v>9.0401528273491571E-2</v>
      </c>
      <c r="AY16" s="46">
        <f t="shared" si="84"/>
        <v>1.843455282460069E-2</v>
      </c>
      <c r="AZ16" s="26"/>
      <c r="BA16" s="23">
        <f t="shared" si="85"/>
        <v>0.50937676424538902</v>
      </c>
      <c r="BB16" s="13">
        <f t="shared" si="6"/>
        <v>7.1055991820483753E-3</v>
      </c>
      <c r="BC16" s="13">
        <f t="shared" si="7"/>
        <v>8.8365489341799761E-2</v>
      </c>
      <c r="BD16" s="13">
        <f t="shared" si="8"/>
        <v>0</v>
      </c>
      <c r="BE16" s="13">
        <f t="shared" si="9"/>
        <v>7.729927039743105E-2</v>
      </c>
      <c r="BF16" s="13">
        <f t="shared" si="10"/>
        <v>5.4911450437641951E-2</v>
      </c>
      <c r="BG16" s="13">
        <f t="shared" si="11"/>
        <v>1.1197465940019738E-2</v>
      </c>
      <c r="BH16" s="13">
        <f t="shared" si="12"/>
        <v>0</v>
      </c>
      <c r="BI16" s="13">
        <f t="shared" si="13"/>
        <v>0.13315527840906677</v>
      </c>
      <c r="BJ16" s="13">
        <f t="shared" si="14"/>
        <v>0.1364499365348851</v>
      </c>
      <c r="BK16" s="13">
        <f t="shared" si="15"/>
        <v>2.2900023178673165E-2</v>
      </c>
      <c r="BL16" s="13">
        <f t="shared" si="16"/>
        <v>1.3757136605232814E-3</v>
      </c>
      <c r="BM16" s="13">
        <f t="shared" si="17"/>
        <v>0</v>
      </c>
      <c r="BN16" s="13">
        <f t="shared" si="86"/>
        <v>2.3971925050183706E-2</v>
      </c>
      <c r="BO16" s="12">
        <f t="shared" si="87"/>
        <v>0.97602807494981636</v>
      </c>
      <c r="BP16" s="13"/>
      <c r="BQ16" s="23">
        <f t="shared" si="88"/>
        <v>1.6771889137068887</v>
      </c>
      <c r="BR16" s="13">
        <f t="shared" si="18"/>
        <v>2.3396104828282128E-2</v>
      </c>
      <c r="BS16" s="13">
        <f t="shared" si="19"/>
        <v>0.43626106340128246</v>
      </c>
      <c r="BT16" s="13">
        <f t="shared" si="20"/>
        <v>0</v>
      </c>
      <c r="BU16" s="13">
        <f t="shared" si="21"/>
        <v>0.12725892546381107</v>
      </c>
      <c r="BV16" s="13">
        <f t="shared" si="89"/>
        <v>9.0401528273491571E-2</v>
      </c>
      <c r="BW16" s="24">
        <f t="shared" si="90"/>
        <v>5.5303658473802066E-2</v>
      </c>
      <c r="BX16" s="13">
        <f t="shared" si="22"/>
        <v>0</v>
      </c>
      <c r="BY16" s="13">
        <f t="shared" si="23"/>
        <v>0.21932428456796516</v>
      </c>
      <c r="BZ16" s="13">
        <f t="shared" si="24"/>
        <v>0.22455945148094239</v>
      </c>
      <c r="CA16" s="13">
        <f t="shared" si="25"/>
        <v>3.7688483382656082E-2</v>
      </c>
      <c r="CB16" s="13">
        <f t="shared" si="26"/>
        <v>2.2648576278140042E-3</v>
      </c>
      <c r="CC16" s="13">
        <f t="shared" si="27"/>
        <v>0</v>
      </c>
      <c r="CD16" s="13">
        <f t="shared" si="91"/>
        <v>3.9465332693318388E-2</v>
      </c>
      <c r="CE16" s="12">
        <f t="shared" si="92"/>
        <v>2.787407417152961</v>
      </c>
      <c r="CF16" s="13"/>
      <c r="CG16" s="23">
        <f t="shared" si="28"/>
        <v>0.60170210618868125</v>
      </c>
      <c r="CH16" s="13">
        <f t="shared" si="28"/>
        <v>8.3935002412308824E-3</v>
      </c>
      <c r="CI16" s="13">
        <f t="shared" si="28"/>
        <v>0.15651140938947367</v>
      </c>
      <c r="CJ16" s="13">
        <f t="shared" si="28"/>
        <v>0</v>
      </c>
      <c r="CK16" s="13">
        <f t="shared" si="28"/>
        <v>4.5654942539326553E-2</v>
      </c>
      <c r="CL16" s="13">
        <f t="shared" si="28"/>
        <v>3.2432118719776915E-2</v>
      </c>
      <c r="CM16" s="13">
        <f t="shared" si="28"/>
        <v>1.9840536454584327E-2</v>
      </c>
      <c r="CN16" s="13">
        <f t="shared" si="28"/>
        <v>0</v>
      </c>
      <c r="CO16" s="13">
        <f t="shared" si="28"/>
        <v>7.8683971068707809E-2</v>
      </c>
      <c r="CP16" s="13">
        <f t="shared" si="28"/>
        <v>8.0562120233685072E-2</v>
      </c>
      <c r="CQ16" s="13">
        <f t="shared" si="28"/>
        <v>1.3520981235369905E-2</v>
      </c>
      <c r="CR16" s="13">
        <f t="shared" si="28"/>
        <v>8.1253196568132637E-4</v>
      </c>
      <c r="CS16" s="13">
        <f t="shared" si="28"/>
        <v>0</v>
      </c>
      <c r="CT16" s="13">
        <f t="shared" si="28"/>
        <v>1.4158437137843313E-2</v>
      </c>
      <c r="CU16" s="12">
        <f t="shared" si="29"/>
        <v>0.99999999999999978</v>
      </c>
      <c r="CV16" s="26"/>
      <c r="CW16" s="23">
        <f t="shared" si="30"/>
        <v>0.83859445685344436</v>
      </c>
      <c r="CX16" s="13">
        <f t="shared" si="31"/>
        <v>1.1698052414141064E-2</v>
      </c>
      <c r="CY16" s="13">
        <f t="shared" si="32"/>
        <v>0.29084070893418829</v>
      </c>
      <c r="CZ16" s="13">
        <f t="shared" si="33"/>
        <v>0</v>
      </c>
      <c r="DA16" s="13">
        <f t="shared" si="34"/>
        <v>0.17270194986072424</v>
      </c>
      <c r="DB16" s="13">
        <f t="shared" si="35"/>
        <v>9.0401528273491571E-2</v>
      </c>
      <c r="DC16" s="24">
        <f t="shared" si="36"/>
        <v>3.6869105649201379E-2</v>
      </c>
      <c r="DD16" s="13">
        <f t="shared" si="37"/>
        <v>0</v>
      </c>
      <c r="DE16" s="13">
        <f t="shared" si="38"/>
        <v>0.21932428456796516</v>
      </c>
      <c r="DF16" s="13">
        <f t="shared" si="39"/>
        <v>0.22455945148094239</v>
      </c>
      <c r="DG16" s="13">
        <f t="shared" si="40"/>
        <v>7.5376966765312164E-2</v>
      </c>
      <c r="DH16" s="13">
        <f t="shared" si="41"/>
        <v>4.5297152556280085E-3</v>
      </c>
      <c r="DI16" s="13">
        <f t="shared" si="42"/>
        <v>0</v>
      </c>
      <c r="DJ16" s="13">
        <f t="shared" si="93"/>
        <v>7.8930665386636775E-2</v>
      </c>
      <c r="DK16" s="12">
        <f t="shared" si="94"/>
        <v>1.9165562515189827</v>
      </c>
      <c r="DL16" s="26"/>
      <c r="DM16" s="23">
        <f t="shared" si="95"/>
        <v>0.43755274920253934</v>
      </c>
      <c r="DN16" s="13">
        <f t="shared" si="43"/>
        <v>6.1036833147316569E-3</v>
      </c>
      <c r="DO16" s="13">
        <f t="shared" si="43"/>
        <v>0.15175172067278486</v>
      </c>
      <c r="DP16" s="13">
        <f t="shared" si="43"/>
        <v>0</v>
      </c>
      <c r="DQ16" s="13">
        <f t="shared" si="43"/>
        <v>9.0110556224920535E-2</v>
      </c>
      <c r="DR16" s="13">
        <f t="shared" si="43"/>
        <v>4.7168732043133661E-2</v>
      </c>
      <c r="DS16" s="13">
        <f t="shared" si="43"/>
        <v>1.9237163333964479E-2</v>
      </c>
      <c r="DT16" s="13">
        <f t="shared" si="43"/>
        <v>0</v>
      </c>
      <c r="DU16" s="13">
        <f t="shared" si="43"/>
        <v>0.11443665396939842</v>
      </c>
      <c r="DV16" s="13">
        <f t="shared" si="43"/>
        <v>0.11716820276105433</v>
      </c>
      <c r="DW16" s="13">
        <f t="shared" si="43"/>
        <v>3.9329378777988658E-2</v>
      </c>
      <c r="DX16" s="13">
        <f t="shared" si="43"/>
        <v>2.3634658529004533E-3</v>
      </c>
      <c r="DY16" s="13">
        <f t="shared" si="43"/>
        <v>0</v>
      </c>
      <c r="DZ16" s="13">
        <f t="shared" si="43"/>
        <v>4.1183589223681601E-2</v>
      </c>
      <c r="EA16" s="12">
        <f t="shared" si="44"/>
        <v>1</v>
      </c>
      <c r="EB16" s="26"/>
      <c r="EC16" s="30">
        <f t="shared" si="45"/>
        <v>1323</v>
      </c>
      <c r="ED16" s="14">
        <f t="shared" si="96"/>
        <v>100000</v>
      </c>
      <c r="EE16" s="29"/>
      <c r="EF16" s="128">
        <f t="shared" si="124"/>
        <v>-8.7342365835222964</v>
      </c>
      <c r="EG16" s="13">
        <f t="shared" si="97"/>
        <v>1.5</v>
      </c>
      <c r="EH16" s="13">
        <f t="shared" si="98"/>
        <v>0.74926606198035017</v>
      </c>
      <c r="EI16" s="12">
        <f t="shared" si="46"/>
        <v>5.3414996220710531</v>
      </c>
      <c r="EJ16" s="29"/>
      <c r="EK16" s="28">
        <f t="shared" si="99"/>
        <v>-1.5903520171403533</v>
      </c>
      <c r="EL16" s="24">
        <f t="shared" si="100"/>
        <v>-0.69055667266189902</v>
      </c>
      <c r="EM16" s="24">
        <f t="shared" si="101"/>
        <v>0.20385383905687343</v>
      </c>
      <c r="EN16" s="24">
        <f t="shared" si="102"/>
        <v>5.4911450437641965E-2</v>
      </c>
      <c r="EO16" s="24">
        <f t="shared" si="103"/>
        <v>1.1193909979894548E-2</v>
      </c>
      <c r="EP16" s="24">
        <f t="shared" si="104"/>
        <v>0.28962524283454461</v>
      </c>
      <c r="EQ16" s="24">
        <f t="shared" si="105"/>
        <v>-1.5900343984135894</v>
      </c>
      <c r="ER16" s="24">
        <f t="shared" si="47"/>
        <v>-20.109295756269134</v>
      </c>
      <c r="ES16" s="25">
        <f t="shared" si="48"/>
        <v>-8.7317827860482566</v>
      </c>
      <c r="ET16" s="26">
        <v>0.7</v>
      </c>
      <c r="EU16" s="26">
        <v>0.2908388804178052</v>
      </c>
      <c r="EV16" s="26">
        <v>0.3006076384439772</v>
      </c>
      <c r="EW16" s="26">
        <v>0.28962524283454461</v>
      </c>
      <c r="EX16" s="26">
        <v>0.30026147842495776</v>
      </c>
      <c r="EY16" s="26">
        <f t="shared" si="106"/>
        <v>0.99884846565838692</v>
      </c>
      <c r="EZ16" s="26">
        <f t="shared" si="107"/>
        <v>1.0041903722596235</v>
      </c>
      <c r="FA16" s="23">
        <f t="shared" si="125"/>
        <v>-1.1954729689985584</v>
      </c>
      <c r="FB16" s="190">
        <f t="shared" si="108"/>
        <v>5.9935571468206494E-2</v>
      </c>
      <c r="FC16" s="124">
        <v>6.2646889236044334E-2</v>
      </c>
      <c r="FD16" s="26"/>
      <c r="FE16" s="27">
        <f t="shared" si="109"/>
        <v>0.88818423022188309</v>
      </c>
      <c r="FF16" s="26"/>
      <c r="FG16" s="23">
        <f t="shared" si="49"/>
        <v>-3.7357802116475383</v>
      </c>
      <c r="FH16" s="13">
        <f t="shared" si="50"/>
        <v>15.167398172377677</v>
      </c>
      <c r="FI16" s="13">
        <f t="shared" si="51"/>
        <v>-21.845149910644157</v>
      </c>
      <c r="FJ16" s="13">
        <f t="shared" si="52"/>
        <v>0.52568238286600177</v>
      </c>
      <c r="FK16" s="12">
        <f t="shared" si="53"/>
        <v>0.62847553458916405</v>
      </c>
      <c r="FL16" s="13"/>
      <c r="FM16" s="23">
        <f t="shared" si="54"/>
        <v>-6.0422983101937335</v>
      </c>
      <c r="FN16" s="13">
        <f t="shared" si="55"/>
        <v>11.460076063148879</v>
      </c>
      <c r="FO16" s="13">
        <f t="shared" si="56"/>
        <v>11.978549364943319</v>
      </c>
      <c r="FP16" s="24">
        <f t="shared" si="110"/>
        <v>0.51950519960908159</v>
      </c>
      <c r="FQ16" s="25">
        <f t="shared" si="57"/>
        <v>0.78106599475103822</v>
      </c>
      <c r="FR16" s="13"/>
      <c r="FS16" s="23">
        <f t="shared" si="111"/>
        <v>10.862047549786666</v>
      </c>
      <c r="FT16" s="13">
        <f t="shared" si="126"/>
        <v>-6.2389894528186751</v>
      </c>
      <c r="FU16" s="13">
        <f t="shared" si="112"/>
        <v>-0.3674361644392512</v>
      </c>
      <c r="FV16" s="13">
        <f t="shared" si="58"/>
        <v>0.30026147842495776</v>
      </c>
      <c r="FW16" s="23">
        <f t="shared" si="113"/>
        <v>-0.36751870412179244</v>
      </c>
      <c r="FX16" s="13">
        <f t="shared" si="114"/>
        <v>0.30022154860083616</v>
      </c>
      <c r="FY16" s="13">
        <f t="shared" si="115"/>
        <v>-0.36748635340372715</v>
      </c>
      <c r="FZ16" s="13">
        <f t="shared" si="116"/>
        <v>0.30023719839039731</v>
      </c>
      <c r="GA16" s="13">
        <f t="shared" si="117"/>
        <v>-0.36752701855867542</v>
      </c>
      <c r="GB16" s="12">
        <f t="shared" si="118"/>
        <v>0.30021752653389777</v>
      </c>
      <c r="GC16" s="22"/>
      <c r="GD16" s="11">
        <f t="shared" si="59"/>
        <v>1.5</v>
      </c>
      <c r="GE16" s="10">
        <f t="shared" si="60"/>
        <v>0.74926606198035017</v>
      </c>
      <c r="GF16" s="10">
        <f t="shared" si="61"/>
        <v>5.3414996220710531</v>
      </c>
      <c r="GG16" s="5">
        <f t="shared" si="62"/>
        <v>-8.7342365835222964</v>
      </c>
      <c r="GH16" s="10">
        <f t="shared" si="63"/>
        <v>0.28962524283454461</v>
      </c>
      <c r="GI16" s="9">
        <f t="shared" si="119"/>
        <v>10.862047549786666</v>
      </c>
      <c r="GJ16" s="8">
        <f t="shared" si="120"/>
        <v>-6.2389894528186751</v>
      </c>
      <c r="GK16" s="8">
        <f t="shared" si="121"/>
        <v>0.30026147842495776</v>
      </c>
      <c r="GL16" s="7">
        <f t="shared" si="122"/>
        <v>0.30022154860083616</v>
      </c>
      <c r="GM16" s="6">
        <f t="shared" si="64"/>
        <v>0.51950519960908159</v>
      </c>
      <c r="GN16" s="5">
        <f t="shared" si="65"/>
        <v>0.78106599475103822</v>
      </c>
      <c r="GO16" s="4">
        <f t="shared" si="66"/>
        <v>0.62847553458916405</v>
      </c>
      <c r="GP16" s="4">
        <f t="shared" si="67"/>
        <v>0.88818423022188309</v>
      </c>
      <c r="GQ16" s="4">
        <f t="shared" si="68"/>
        <v>5.9935571468206494E-2</v>
      </c>
      <c r="GR16" s="1"/>
    </row>
    <row r="17" spans="1:200" x14ac:dyDescent="0.4">
      <c r="A17" s="34"/>
      <c r="B17" s="21"/>
      <c r="C17" s="21"/>
      <c r="D17" s="34"/>
      <c r="E17" s="34"/>
      <c r="F17" s="20" t="s">
        <v>82</v>
      </c>
      <c r="G17" s="19">
        <v>1050</v>
      </c>
      <c r="H17" s="18">
        <v>1E-4</v>
      </c>
      <c r="I17" s="17">
        <v>1.5</v>
      </c>
      <c r="J17" s="16">
        <v>49.6</v>
      </c>
      <c r="K17" s="16">
        <v>0.92</v>
      </c>
      <c r="L17" s="16">
        <v>14.6</v>
      </c>
      <c r="M17" s="16">
        <v>0</v>
      </c>
      <c r="N17" s="16">
        <v>9</v>
      </c>
      <c r="O17" s="16">
        <v>0</v>
      </c>
      <c r="P17" s="16">
        <v>8.6999999999999993</v>
      </c>
      <c r="Q17" s="16">
        <v>12.4</v>
      </c>
      <c r="R17" s="16">
        <v>2.2999999999999998</v>
      </c>
      <c r="S17" s="16">
        <v>0.21</v>
      </c>
      <c r="T17" s="16">
        <v>0</v>
      </c>
      <c r="U17" s="15">
        <v>0.8</v>
      </c>
      <c r="V17" s="16"/>
      <c r="W17" s="28">
        <f t="shared" si="69"/>
        <v>50.339997970161377</v>
      </c>
      <c r="X17" s="24">
        <f t="shared" si="0"/>
        <v>0.93372576880138036</v>
      </c>
      <c r="Y17" s="24">
        <f t="shared" si="0"/>
        <v>14.817821983152339</v>
      </c>
      <c r="Z17" s="24">
        <f t="shared" si="0"/>
        <v>0</v>
      </c>
      <c r="AA17" s="24">
        <f t="shared" si="0"/>
        <v>9.1342738252308937</v>
      </c>
      <c r="AB17" s="24">
        <f t="shared" si="0"/>
        <v>0</v>
      </c>
      <c r="AC17" s="24">
        <f t="shared" si="0"/>
        <v>8.82979803105653</v>
      </c>
      <c r="AD17" s="24">
        <f t="shared" si="0"/>
        <v>12.584999492540344</v>
      </c>
      <c r="AE17" s="24">
        <f t="shared" si="0"/>
        <v>2.3343144220034504</v>
      </c>
      <c r="AF17" s="24">
        <f t="shared" si="0"/>
        <v>0.21313305592205417</v>
      </c>
      <c r="AG17" s="24">
        <f t="shared" si="0"/>
        <v>0</v>
      </c>
      <c r="AH17" s="24">
        <f t="shared" si="0"/>
        <v>0.81193545113163512</v>
      </c>
      <c r="AI17" s="14">
        <f t="shared" si="123"/>
        <v>100</v>
      </c>
      <c r="AJ17" s="26"/>
      <c r="AK17" s="50">
        <f t="shared" si="70"/>
        <v>0.83774335114264231</v>
      </c>
      <c r="AL17" s="47">
        <f t="shared" si="71"/>
        <v>1.1686179834810767E-2</v>
      </c>
      <c r="AM17" s="47">
        <f t="shared" si="72"/>
        <v>0.1453297566021218</v>
      </c>
      <c r="AN17" s="49">
        <f t="shared" si="73"/>
        <v>0</v>
      </c>
      <c r="AO17" s="49">
        <f t="shared" si="74"/>
        <v>0.12712976792248984</v>
      </c>
      <c r="AP17" s="47">
        <f t="shared" si="75"/>
        <v>0</v>
      </c>
      <c r="AQ17" s="47">
        <f t="shared" si="76"/>
        <v>0.21899300672263219</v>
      </c>
      <c r="AR17" s="47">
        <f t="shared" si="77"/>
        <v>0.22441154587268802</v>
      </c>
      <c r="AS17" s="47">
        <f t="shared" si="78"/>
        <v>3.7662381768368031E-2</v>
      </c>
      <c r="AT17" s="47">
        <f t="shared" si="79"/>
        <v>2.2625589800642693E-3</v>
      </c>
      <c r="AU17" s="47">
        <f t="shared" si="80"/>
        <v>0</v>
      </c>
      <c r="AV17" s="47">
        <f t="shared" si="81"/>
        <v>4.5057461217071874E-2</v>
      </c>
      <c r="AW17" s="47">
        <f t="shared" si="82"/>
        <v>1.650276010062889</v>
      </c>
      <c r="AX17" s="47">
        <f t="shared" si="83"/>
        <v>9.0331187374537839E-2</v>
      </c>
      <c r="AY17" s="46">
        <f t="shared" si="84"/>
        <v>1.8405135161299876E-2</v>
      </c>
      <c r="AZ17" s="26"/>
      <c r="BA17" s="23">
        <f t="shared" si="85"/>
        <v>0.50763832597355485</v>
      </c>
      <c r="BB17" s="13">
        <f t="shared" si="6"/>
        <v>7.0813486735260894E-3</v>
      </c>
      <c r="BC17" s="13">
        <f t="shared" si="7"/>
        <v>8.806390913758938E-2</v>
      </c>
      <c r="BD17" s="13">
        <f t="shared" si="8"/>
        <v>0</v>
      </c>
      <c r="BE17" s="13">
        <f t="shared" si="9"/>
        <v>7.7035457794508655E-2</v>
      </c>
      <c r="BF17" s="13">
        <f t="shared" si="10"/>
        <v>5.4737017822306874E-2</v>
      </c>
      <c r="BG17" s="13">
        <f t="shared" si="11"/>
        <v>1.1152761749592718E-2</v>
      </c>
      <c r="BH17" s="13">
        <f t="shared" si="12"/>
        <v>0</v>
      </c>
      <c r="BI17" s="13">
        <f t="shared" si="13"/>
        <v>0.132700836337242</v>
      </c>
      <c r="BJ17" s="13">
        <f t="shared" si="14"/>
        <v>0.13598425021286961</v>
      </c>
      <c r="BK17" s="13">
        <f t="shared" si="15"/>
        <v>2.2821868304886032E-2</v>
      </c>
      <c r="BL17" s="13">
        <f t="shared" si="16"/>
        <v>1.3710185243364515E-3</v>
      </c>
      <c r="BM17" s="13">
        <f t="shared" si="17"/>
        <v>0</v>
      </c>
      <c r="BN17" s="13">
        <f t="shared" si="86"/>
        <v>2.7302985041486979E-2</v>
      </c>
      <c r="BO17" s="12">
        <f t="shared" si="87"/>
        <v>0.97269701495851302</v>
      </c>
      <c r="BP17" s="13"/>
      <c r="BQ17" s="23">
        <f t="shared" si="88"/>
        <v>1.6754867022852846</v>
      </c>
      <c r="BR17" s="13">
        <f t="shared" si="18"/>
        <v>2.3372359669621534E-2</v>
      </c>
      <c r="BS17" s="13">
        <f t="shared" si="19"/>
        <v>0.43581829362212759</v>
      </c>
      <c r="BT17" s="13">
        <f t="shared" si="20"/>
        <v>0</v>
      </c>
      <c r="BU17" s="13">
        <f t="shared" si="21"/>
        <v>0.12712976792248984</v>
      </c>
      <c r="BV17" s="13">
        <f t="shared" si="89"/>
        <v>9.0331187374537839E-2</v>
      </c>
      <c r="BW17" s="24">
        <f t="shared" si="90"/>
        <v>5.5215405483899631E-2</v>
      </c>
      <c r="BX17" s="13">
        <f t="shared" si="22"/>
        <v>0</v>
      </c>
      <c r="BY17" s="13">
        <f t="shared" si="23"/>
        <v>0.21910168811554667</v>
      </c>
      <c r="BZ17" s="13">
        <f t="shared" si="24"/>
        <v>0.22433154175651238</v>
      </c>
      <c r="CA17" s="13">
        <f t="shared" si="25"/>
        <v>3.7650232612958877E-2</v>
      </c>
      <c r="CB17" s="13">
        <f t="shared" si="26"/>
        <v>2.2625589800642693E-3</v>
      </c>
      <c r="CC17" s="13">
        <f t="shared" si="27"/>
        <v>0</v>
      </c>
      <c r="CD17" s="13">
        <f t="shared" si="91"/>
        <v>4.5057461217071874E-2</v>
      </c>
      <c r="CE17" s="12">
        <f t="shared" si="92"/>
        <v>2.7902106061816778</v>
      </c>
      <c r="CF17" s="13"/>
      <c r="CG17" s="23">
        <f t="shared" si="28"/>
        <v>0.6004875397481696</v>
      </c>
      <c r="CH17" s="13">
        <f t="shared" si="28"/>
        <v>8.3765575321950083E-3</v>
      </c>
      <c r="CI17" s="13">
        <f t="shared" si="28"/>
        <v>0.15619548311391887</v>
      </c>
      <c r="CJ17" s="13">
        <f t="shared" si="28"/>
        <v>0</v>
      </c>
      <c r="CK17" s="13">
        <f t="shared" si="28"/>
        <v>4.5562785705435774E-2</v>
      </c>
      <c r="CL17" s="13">
        <f t="shared" si="28"/>
        <v>3.2374325857127122E-2</v>
      </c>
      <c r="CM17" s="13">
        <f t="shared" si="28"/>
        <v>1.9788974123161374E-2</v>
      </c>
      <c r="CN17" s="13">
        <f t="shared" si="28"/>
        <v>0</v>
      </c>
      <c r="CO17" s="13">
        <f t="shared" si="28"/>
        <v>7.8525143453375718E-2</v>
      </c>
      <c r="CP17" s="13">
        <f t="shared" si="28"/>
        <v>8.0399501478314414E-2</v>
      </c>
      <c r="CQ17" s="13">
        <f t="shared" si="28"/>
        <v>1.3493688443999619E-2</v>
      </c>
      <c r="CR17" s="13">
        <f t="shared" si="28"/>
        <v>8.1089182839875866E-4</v>
      </c>
      <c r="CS17" s="13">
        <f t="shared" si="28"/>
        <v>0</v>
      </c>
      <c r="CT17" s="13">
        <f t="shared" si="28"/>
        <v>1.6148408696192187E-2</v>
      </c>
      <c r="CU17" s="12">
        <f t="shared" si="29"/>
        <v>1</v>
      </c>
      <c r="CV17" s="26"/>
      <c r="CW17" s="23">
        <f t="shared" si="30"/>
        <v>0.83774335114264231</v>
      </c>
      <c r="CX17" s="13">
        <f t="shared" si="31"/>
        <v>1.1686179834810767E-2</v>
      </c>
      <c r="CY17" s="13">
        <f t="shared" si="32"/>
        <v>0.2905455290814184</v>
      </c>
      <c r="CZ17" s="13">
        <f t="shared" si="33"/>
        <v>0</v>
      </c>
      <c r="DA17" s="13">
        <f t="shared" si="34"/>
        <v>0.17270194986072424</v>
      </c>
      <c r="DB17" s="13">
        <f t="shared" si="35"/>
        <v>9.0331187374537839E-2</v>
      </c>
      <c r="DC17" s="24">
        <f t="shared" si="36"/>
        <v>3.6810270322599752E-2</v>
      </c>
      <c r="DD17" s="13">
        <f t="shared" si="37"/>
        <v>0</v>
      </c>
      <c r="DE17" s="13">
        <f t="shared" si="38"/>
        <v>0.21910168811554667</v>
      </c>
      <c r="DF17" s="13">
        <f t="shared" si="39"/>
        <v>0.22433154175651238</v>
      </c>
      <c r="DG17" s="13">
        <f t="shared" si="40"/>
        <v>7.5300465225917754E-2</v>
      </c>
      <c r="DH17" s="13">
        <f t="shared" si="41"/>
        <v>4.5251179601285387E-3</v>
      </c>
      <c r="DI17" s="13">
        <f t="shared" si="42"/>
        <v>0</v>
      </c>
      <c r="DJ17" s="13">
        <f t="shared" si="93"/>
        <v>9.0114922434143749E-2</v>
      </c>
      <c r="DK17" s="12">
        <f t="shared" si="94"/>
        <v>1.9260507454118447</v>
      </c>
      <c r="DL17" s="26"/>
      <c r="DM17" s="23">
        <f t="shared" si="95"/>
        <v>0.4349539352160261</v>
      </c>
      <c r="DN17" s="13">
        <f t="shared" si="43"/>
        <v>6.0674309140862888E-3</v>
      </c>
      <c r="DO17" s="13">
        <f t="shared" si="43"/>
        <v>0.15085040192920329</v>
      </c>
      <c r="DP17" s="13">
        <f t="shared" si="43"/>
        <v>0</v>
      </c>
      <c r="DQ17" s="13">
        <f t="shared" si="43"/>
        <v>8.9666354986818173E-2</v>
      </c>
      <c r="DR17" s="13">
        <f t="shared" si="43"/>
        <v>4.6899692331430473E-2</v>
      </c>
      <c r="DS17" s="13">
        <f t="shared" si="43"/>
        <v>1.9111786338074213E-2</v>
      </c>
      <c r="DT17" s="13">
        <f t="shared" si="43"/>
        <v>0</v>
      </c>
      <c r="DU17" s="13">
        <f t="shared" si="43"/>
        <v>0.11375696545767618</v>
      </c>
      <c r="DV17" s="13">
        <f t="shared" si="43"/>
        <v>0.11647229040610967</v>
      </c>
      <c r="DW17" s="13">
        <f t="shared" si="43"/>
        <v>3.9095784680281805E-2</v>
      </c>
      <c r="DX17" s="13">
        <f t="shared" si="43"/>
        <v>2.3494282125785522E-3</v>
      </c>
      <c r="DY17" s="13">
        <f t="shared" si="43"/>
        <v>0</v>
      </c>
      <c r="DZ17" s="13">
        <f t="shared" si="43"/>
        <v>4.6787408197219958E-2</v>
      </c>
      <c r="EA17" s="12">
        <f t="shared" si="44"/>
        <v>1</v>
      </c>
      <c r="EB17" s="26"/>
      <c r="EC17" s="30">
        <f t="shared" si="45"/>
        <v>1323</v>
      </c>
      <c r="ED17" s="14">
        <f t="shared" si="96"/>
        <v>100000</v>
      </c>
      <c r="EE17" s="29"/>
      <c r="EF17" s="128">
        <f t="shared" si="124"/>
        <v>-8.7342365835222964</v>
      </c>
      <c r="EG17" s="13">
        <f t="shared" si="97"/>
        <v>1.5</v>
      </c>
      <c r="EH17" s="13">
        <f t="shared" si="98"/>
        <v>0.74926606198035017</v>
      </c>
      <c r="EI17" s="12">
        <f t="shared" si="46"/>
        <v>5.3414996220710531</v>
      </c>
      <c r="EJ17" s="29"/>
      <c r="EK17" s="28">
        <f t="shared" si="99"/>
        <v>-1.5911706841234898</v>
      </c>
      <c r="EL17" s="24">
        <f t="shared" si="100"/>
        <v>-0.69091215116087268</v>
      </c>
      <c r="EM17" s="24">
        <f t="shared" si="101"/>
        <v>0.2036870189438284</v>
      </c>
      <c r="EN17" s="24">
        <f t="shared" si="102"/>
        <v>5.4737017822306867E-2</v>
      </c>
      <c r="EO17" s="24">
        <f t="shared" si="103"/>
        <v>1.1149219986100892E-2</v>
      </c>
      <c r="EP17" s="24">
        <f t="shared" si="104"/>
        <v>0.2894568372876119</v>
      </c>
      <c r="EQ17" s="24">
        <f t="shared" si="105"/>
        <v>-1.5908530653967261</v>
      </c>
      <c r="ER17" s="24">
        <f t="shared" si="47"/>
        <v>-20.10929575626913</v>
      </c>
      <c r="ES17" s="25">
        <f t="shared" si="48"/>
        <v>-8.7317827860482549</v>
      </c>
      <c r="ET17" s="26">
        <v>0.8</v>
      </c>
      <c r="EU17" s="26">
        <v>0.29083888041780526</v>
      </c>
      <c r="EV17" s="26">
        <v>0.30313790431162524</v>
      </c>
      <c r="EW17" s="26">
        <v>0.2894568372876119</v>
      </c>
      <c r="EX17" s="26">
        <v>0.30274317444609888</v>
      </c>
      <c r="EY17" s="26">
        <f t="shared" si="106"/>
        <v>0.99869785381533627</v>
      </c>
      <c r="EZ17" s="26">
        <f t="shared" si="107"/>
        <v>1.0047746086882727</v>
      </c>
      <c r="FA17" s="23">
        <f t="shared" si="125"/>
        <v>-1.1983173094249011</v>
      </c>
      <c r="FB17" s="190">
        <f t="shared" si="108"/>
        <v>5.9567622074125359E-2</v>
      </c>
      <c r="FC17" s="124">
        <v>6.2646889236044334E-2</v>
      </c>
      <c r="FD17" s="26"/>
      <c r="FE17" s="27">
        <f t="shared" si="109"/>
        <v>0.88818423022188309</v>
      </c>
      <c r="FF17" s="26"/>
      <c r="FG17" s="23">
        <f t="shared" si="49"/>
        <v>-3.7651120681730141</v>
      </c>
      <c r="FH17" s="13">
        <f t="shared" si="50"/>
        <v>15.124542477104001</v>
      </c>
      <c r="FI17" s="13">
        <f t="shared" si="51"/>
        <v>-21.845149910644157</v>
      </c>
      <c r="FJ17" s="13">
        <f t="shared" si="52"/>
        <v>0.5121585441177956</v>
      </c>
      <c r="FK17" s="12">
        <f t="shared" si="53"/>
        <v>0.62531235111881323</v>
      </c>
      <c r="FL17" s="13"/>
      <c r="FM17" s="23">
        <f t="shared" si="54"/>
        <v>-6.0430481066902146</v>
      </c>
      <c r="FN17" s="13">
        <f t="shared" si="55"/>
        <v>11.455425790408039</v>
      </c>
      <c r="FO17" s="13">
        <f t="shared" si="56"/>
        <v>11.973989889764624</v>
      </c>
      <c r="FP17" s="24">
        <f t="shared" si="110"/>
        <v>0.51726294418410113</v>
      </c>
      <c r="FQ17" s="25">
        <f t="shared" si="57"/>
        <v>0.77956224942459595</v>
      </c>
      <c r="FR17" s="13"/>
      <c r="FS17" s="23">
        <f t="shared" si="111"/>
        <v>10.869032070105106</v>
      </c>
      <c r="FT17" s="13">
        <f t="shared" si="126"/>
        <v>-6.2371226830618696</v>
      </c>
      <c r="FU17" s="13">
        <f t="shared" si="112"/>
        <v>-0.36231841387761676</v>
      </c>
      <c r="FV17" s="13">
        <f t="shared" si="58"/>
        <v>0.30274317444609888</v>
      </c>
      <c r="FW17" s="23">
        <f t="shared" si="113"/>
        <v>-0.362400953560158</v>
      </c>
      <c r="FX17" s="13">
        <f t="shared" si="114"/>
        <v>0.30270305736419278</v>
      </c>
      <c r="FY17" s="13">
        <f t="shared" si="115"/>
        <v>-0.36236860284209271</v>
      </c>
      <c r="FZ17" s="13">
        <f t="shared" si="116"/>
        <v>0.30271878055064572</v>
      </c>
      <c r="GA17" s="13">
        <f t="shared" si="117"/>
        <v>-0.36240926799704098</v>
      </c>
      <c r="GB17" s="12">
        <f t="shared" si="118"/>
        <v>0.30269901643298125</v>
      </c>
      <c r="GC17" s="22"/>
      <c r="GD17" s="11">
        <f t="shared" si="59"/>
        <v>1.5</v>
      </c>
      <c r="GE17" s="10">
        <f t="shared" si="60"/>
        <v>0.74926606198035017</v>
      </c>
      <c r="GF17" s="10">
        <f t="shared" si="61"/>
        <v>5.3414996220710531</v>
      </c>
      <c r="GG17" s="5">
        <f t="shared" si="62"/>
        <v>-8.7342365835222964</v>
      </c>
      <c r="GH17" s="10">
        <f t="shared" si="63"/>
        <v>0.2894568372876119</v>
      </c>
      <c r="GI17" s="9">
        <f t="shared" si="119"/>
        <v>10.869032070105106</v>
      </c>
      <c r="GJ17" s="8">
        <f t="shared" si="120"/>
        <v>-6.2371226830618696</v>
      </c>
      <c r="GK17" s="8">
        <f t="shared" si="121"/>
        <v>0.30274317444609888</v>
      </c>
      <c r="GL17" s="7">
        <f t="shared" si="122"/>
        <v>0.30270305736419278</v>
      </c>
      <c r="GM17" s="6">
        <f t="shared" si="64"/>
        <v>0.51726294418410113</v>
      </c>
      <c r="GN17" s="5">
        <f t="shared" si="65"/>
        <v>0.77956224942459595</v>
      </c>
      <c r="GO17" s="4">
        <f t="shared" si="66"/>
        <v>0.62531235111881323</v>
      </c>
      <c r="GP17" s="4">
        <f t="shared" si="67"/>
        <v>0.88818423022188309</v>
      </c>
      <c r="GQ17" s="4">
        <f t="shared" si="68"/>
        <v>5.9567622074125359E-2</v>
      </c>
      <c r="GR17" s="1"/>
    </row>
    <row r="18" spans="1:200" x14ac:dyDescent="0.4">
      <c r="A18" s="34"/>
      <c r="B18" s="21"/>
      <c r="C18" s="21"/>
      <c r="D18" s="34"/>
      <c r="E18" s="34"/>
      <c r="F18" s="20" t="s">
        <v>82</v>
      </c>
      <c r="G18" s="19">
        <v>1050</v>
      </c>
      <c r="H18" s="18">
        <v>1E-4</v>
      </c>
      <c r="I18" s="17">
        <v>1.5</v>
      </c>
      <c r="J18" s="16">
        <v>49.6</v>
      </c>
      <c r="K18" s="16">
        <v>0.92</v>
      </c>
      <c r="L18" s="16">
        <v>14.6</v>
      </c>
      <c r="M18" s="16">
        <v>0</v>
      </c>
      <c r="N18" s="16">
        <v>9</v>
      </c>
      <c r="O18" s="16">
        <v>0</v>
      </c>
      <c r="P18" s="16">
        <v>8.6999999999999993</v>
      </c>
      <c r="Q18" s="16">
        <v>12.4</v>
      </c>
      <c r="R18" s="16">
        <v>2.2999999999999998</v>
      </c>
      <c r="S18" s="16">
        <v>0.21</v>
      </c>
      <c r="T18" s="16">
        <v>0</v>
      </c>
      <c r="U18" s="15">
        <v>0.9</v>
      </c>
      <c r="V18" s="16"/>
      <c r="W18" s="28">
        <f t="shared" si="69"/>
        <v>50.288958734664902</v>
      </c>
      <c r="X18" s="24">
        <f t="shared" si="0"/>
        <v>0.93277907330426846</v>
      </c>
      <c r="Y18" s="24">
        <f t="shared" si="0"/>
        <v>14.80279833721991</v>
      </c>
      <c r="Z18" s="24">
        <f t="shared" si="0"/>
        <v>0</v>
      </c>
      <c r="AA18" s="24">
        <f t="shared" si="0"/>
        <v>9.1250126736287136</v>
      </c>
      <c r="AB18" s="24">
        <f t="shared" si="0"/>
        <v>0</v>
      </c>
      <c r="AC18" s="24">
        <f t="shared" si="0"/>
        <v>8.8208455845077545</v>
      </c>
      <c r="AD18" s="24">
        <f t="shared" si="0"/>
        <v>12.572239683666226</v>
      </c>
      <c r="AE18" s="24">
        <f t="shared" si="0"/>
        <v>2.3319476832606707</v>
      </c>
      <c r="AF18" s="24">
        <f t="shared" si="0"/>
        <v>0.21291696238466992</v>
      </c>
      <c r="AG18" s="24">
        <f t="shared" si="0"/>
        <v>0</v>
      </c>
      <c r="AH18" s="24">
        <f t="shared" si="0"/>
        <v>0.91250126736287118</v>
      </c>
      <c r="AI18" s="14">
        <f t="shared" si="123"/>
        <v>99.999999999999972</v>
      </c>
      <c r="AJ18" s="26"/>
      <c r="AK18" s="50">
        <f t="shared" si="70"/>
        <v>0.83689397128748377</v>
      </c>
      <c r="AL18" s="47">
        <f t="shared" si="71"/>
        <v>1.1674331330466439E-2</v>
      </c>
      <c r="AM18" s="47">
        <f t="shared" si="72"/>
        <v>0.14518240817202738</v>
      </c>
      <c r="AN18" s="49">
        <f t="shared" si="73"/>
        <v>0</v>
      </c>
      <c r="AO18" s="49">
        <f t="shared" si="74"/>
        <v>0.1270008722843245</v>
      </c>
      <c r="AP18" s="47">
        <f t="shared" si="75"/>
        <v>0</v>
      </c>
      <c r="AQ18" s="47">
        <f t="shared" si="76"/>
        <v>0.21877097183798994</v>
      </c>
      <c r="AR18" s="47">
        <f t="shared" si="77"/>
        <v>0.2241840171837772</v>
      </c>
      <c r="AS18" s="47">
        <f t="shared" si="78"/>
        <v>3.7624196244928541E-2</v>
      </c>
      <c r="AT18" s="47">
        <f t="shared" si="79"/>
        <v>2.2602649934678337E-3</v>
      </c>
      <c r="AU18" s="47">
        <f t="shared" si="80"/>
        <v>0</v>
      </c>
      <c r="AV18" s="47">
        <f t="shared" si="81"/>
        <v>5.0638250131124926E-2</v>
      </c>
      <c r="AW18" s="47">
        <f t="shared" si="82"/>
        <v>1.6542292834655907</v>
      </c>
      <c r="AX18" s="47">
        <f t="shared" si="83"/>
        <v>9.0260836324725466E-2</v>
      </c>
      <c r="AY18" s="46">
        <f t="shared" si="84"/>
        <v>1.8375853568217904E-2</v>
      </c>
      <c r="AZ18" s="26"/>
      <c r="BA18" s="23">
        <f t="shared" si="85"/>
        <v>0.50591171348037123</v>
      </c>
      <c r="BB18" s="13">
        <f t="shared" si="6"/>
        <v>7.0572631298176838E-3</v>
      </c>
      <c r="BC18" s="13">
        <f t="shared" si="7"/>
        <v>8.7764380441792175E-2</v>
      </c>
      <c r="BD18" s="13">
        <f t="shared" si="8"/>
        <v>0</v>
      </c>
      <c r="BE18" s="13">
        <f t="shared" si="9"/>
        <v>7.6773439784755329E-2</v>
      </c>
      <c r="BF18" s="13">
        <f t="shared" si="10"/>
        <v>5.4563679428785157E-2</v>
      </c>
      <c r="BG18" s="13">
        <f t="shared" si="11"/>
        <v>1.1108407856086739E-2</v>
      </c>
      <c r="BH18" s="13">
        <f t="shared" si="12"/>
        <v>0</v>
      </c>
      <c r="BI18" s="13">
        <f t="shared" si="13"/>
        <v>0.13224948562128422</v>
      </c>
      <c r="BJ18" s="13">
        <f t="shared" si="14"/>
        <v>0.13552173173607129</v>
      </c>
      <c r="BK18" s="13">
        <f t="shared" si="15"/>
        <v>2.2744245081979385E-2</v>
      </c>
      <c r="BL18" s="13">
        <f t="shared" si="16"/>
        <v>1.3663553269548012E-3</v>
      </c>
      <c r="BM18" s="13">
        <f t="shared" si="17"/>
        <v>0</v>
      </c>
      <c r="BN18" s="13">
        <f t="shared" si="86"/>
        <v>3.0611385396973747E-2</v>
      </c>
      <c r="BO18" s="12">
        <f t="shared" si="87"/>
        <v>0.96938861460302617</v>
      </c>
      <c r="BP18" s="13"/>
      <c r="BQ18" s="23">
        <f t="shared" si="88"/>
        <v>1.6737879425749675</v>
      </c>
      <c r="BR18" s="13">
        <f t="shared" si="18"/>
        <v>2.3348662660932877E-2</v>
      </c>
      <c r="BS18" s="13">
        <f t="shared" si="19"/>
        <v>0.43537642168293855</v>
      </c>
      <c r="BT18" s="13">
        <f t="shared" si="20"/>
        <v>0</v>
      </c>
      <c r="BU18" s="13">
        <f t="shared" si="21"/>
        <v>0.1270008722843245</v>
      </c>
      <c r="BV18" s="13">
        <f t="shared" si="89"/>
        <v>9.0260836324725466E-2</v>
      </c>
      <c r="BW18" s="24">
        <f t="shared" si="90"/>
        <v>5.5127560704653716E-2</v>
      </c>
      <c r="BX18" s="13">
        <f t="shared" si="22"/>
        <v>0</v>
      </c>
      <c r="BY18" s="13">
        <f t="shared" si="23"/>
        <v>0.21887954303989468</v>
      </c>
      <c r="BZ18" s="13">
        <f t="shared" si="24"/>
        <v>0.22410409418299868</v>
      </c>
      <c r="CA18" s="13">
        <f t="shared" si="25"/>
        <v>3.7612059407430169E-2</v>
      </c>
      <c r="CB18" s="13">
        <f t="shared" si="26"/>
        <v>2.2602649934678337E-3</v>
      </c>
      <c r="CC18" s="13">
        <f t="shared" si="27"/>
        <v>0</v>
      </c>
      <c r="CD18" s="13">
        <f t="shared" si="91"/>
        <v>5.0638250131124926E-2</v>
      </c>
      <c r="CE18" s="12">
        <f t="shared" si="92"/>
        <v>2.79300811095808</v>
      </c>
      <c r="CF18" s="13"/>
      <c r="CG18" s="23">
        <f t="shared" si="28"/>
        <v>0.59927786675879413</v>
      </c>
      <c r="CH18" s="13">
        <f t="shared" si="28"/>
        <v>8.3596830848169761E-3</v>
      </c>
      <c r="CI18" s="13">
        <f t="shared" si="28"/>
        <v>0.15588082969569045</v>
      </c>
      <c r="CJ18" s="13">
        <f t="shared" si="28"/>
        <v>0</v>
      </c>
      <c r="CK18" s="13">
        <f t="shared" si="28"/>
        <v>4.5471000168617354E-2</v>
      </c>
      <c r="CL18" s="13">
        <f t="shared" si="28"/>
        <v>3.2316711136855046E-2</v>
      </c>
      <c r="CM18" s="13">
        <f t="shared" si="28"/>
        <v>1.9737701615819305E-2</v>
      </c>
      <c r="CN18" s="13">
        <f t="shared" si="28"/>
        <v>0</v>
      </c>
      <c r="CO18" s="13">
        <f t="shared" si="28"/>
        <v>7.8366955749660488E-2</v>
      </c>
      <c r="CP18" s="13">
        <f t="shared" si="28"/>
        <v>8.0237537908948178E-2</v>
      </c>
      <c r="CQ18" s="13">
        <f t="shared" si="28"/>
        <v>1.346650561445315E-2</v>
      </c>
      <c r="CR18" s="13">
        <f t="shared" si="28"/>
        <v>8.0925829917926717E-4</v>
      </c>
      <c r="CS18" s="13">
        <f t="shared" si="28"/>
        <v>0</v>
      </c>
      <c r="CT18" s="13">
        <f t="shared" si="28"/>
        <v>1.8130362719839931E-2</v>
      </c>
      <c r="CU18" s="12">
        <f t="shared" si="29"/>
        <v>0.99999999999999978</v>
      </c>
      <c r="CV18" s="26"/>
      <c r="CW18" s="23">
        <f t="shared" si="30"/>
        <v>0.83689397128748377</v>
      </c>
      <c r="CX18" s="13">
        <f t="shared" si="31"/>
        <v>1.1674331330466439E-2</v>
      </c>
      <c r="CY18" s="13">
        <f t="shared" si="32"/>
        <v>0.2902509477886257</v>
      </c>
      <c r="CZ18" s="13">
        <f t="shared" si="33"/>
        <v>0</v>
      </c>
      <c r="DA18" s="13">
        <f t="shared" si="34"/>
        <v>0.17270194986072424</v>
      </c>
      <c r="DB18" s="13">
        <f t="shared" si="35"/>
        <v>9.0260836324725466E-2</v>
      </c>
      <c r="DC18" s="24">
        <f t="shared" si="36"/>
        <v>3.6751707136435809E-2</v>
      </c>
      <c r="DD18" s="13">
        <f t="shared" si="37"/>
        <v>0</v>
      </c>
      <c r="DE18" s="13">
        <f t="shared" si="38"/>
        <v>0.21887954303989468</v>
      </c>
      <c r="DF18" s="13">
        <f t="shared" si="39"/>
        <v>0.22410409418299868</v>
      </c>
      <c r="DG18" s="13">
        <f t="shared" si="40"/>
        <v>7.5224118814860338E-2</v>
      </c>
      <c r="DH18" s="13">
        <f t="shared" si="41"/>
        <v>4.5205299869356674E-3</v>
      </c>
      <c r="DI18" s="13">
        <f t="shared" si="42"/>
        <v>0</v>
      </c>
      <c r="DJ18" s="13">
        <f t="shared" si="93"/>
        <v>0.10127650026224985</v>
      </c>
      <c r="DK18" s="12">
        <f t="shared" si="94"/>
        <v>1.9355259865542394</v>
      </c>
      <c r="DL18" s="26"/>
      <c r="DM18" s="23">
        <f t="shared" si="95"/>
        <v>0.4323858099045117</v>
      </c>
      <c r="DN18" s="13">
        <f t="shared" si="43"/>
        <v>6.0316066080052539E-3</v>
      </c>
      <c r="DO18" s="13">
        <f t="shared" si="43"/>
        <v>0.14995972660917409</v>
      </c>
      <c r="DP18" s="13">
        <f t="shared" si="43"/>
        <v>0</v>
      </c>
      <c r="DQ18" s="13">
        <f t="shared" si="43"/>
        <v>8.9227399198178944E-2</v>
      </c>
      <c r="DR18" s="13">
        <f t="shared" si="43"/>
        <v>4.6633750697098214E-2</v>
      </c>
      <c r="DS18" s="13">
        <f t="shared" si="43"/>
        <v>1.8987968847612221E-2</v>
      </c>
      <c r="DT18" s="13">
        <f t="shared" si="43"/>
        <v>0</v>
      </c>
      <c r="DU18" s="13">
        <f t="shared" si="43"/>
        <v>0.11308530319944687</v>
      </c>
      <c r="DV18" s="13">
        <f t="shared" si="43"/>
        <v>0.11578459588753168</v>
      </c>
      <c r="DW18" s="13">
        <f t="shared" si="43"/>
        <v>3.8864949030614493E-2</v>
      </c>
      <c r="DX18" s="13">
        <f t="shared" si="43"/>
        <v>2.3355563388655068E-3</v>
      </c>
      <c r="DY18" s="13">
        <f t="shared" si="43"/>
        <v>0</v>
      </c>
      <c r="DZ18" s="13">
        <f t="shared" si="43"/>
        <v>5.2325053223671494E-2</v>
      </c>
      <c r="EA18" s="12">
        <f t="shared" si="44"/>
        <v>1</v>
      </c>
      <c r="EB18" s="26"/>
      <c r="EC18" s="30">
        <f t="shared" si="45"/>
        <v>1323</v>
      </c>
      <c r="ED18" s="14">
        <f t="shared" si="96"/>
        <v>100000</v>
      </c>
      <c r="EE18" s="29"/>
      <c r="EF18" s="128">
        <f t="shared" si="124"/>
        <v>-8.7342365835222964</v>
      </c>
      <c r="EG18" s="13">
        <f t="shared" si="97"/>
        <v>1.5</v>
      </c>
      <c r="EH18" s="13">
        <f t="shared" si="98"/>
        <v>0.74926606198035017</v>
      </c>
      <c r="EI18" s="12">
        <f t="shared" si="46"/>
        <v>5.3414996220710531</v>
      </c>
      <c r="EJ18" s="29"/>
      <c r="EK18" s="28">
        <f t="shared" si="99"/>
        <v>-1.5919837820998415</v>
      </c>
      <c r="EL18" s="24">
        <f t="shared" si="100"/>
        <v>-0.69126521150666154</v>
      </c>
      <c r="EM18" s="24">
        <f t="shared" si="101"/>
        <v>0.20352146875429894</v>
      </c>
      <c r="EN18" s="24">
        <f t="shared" si="102"/>
        <v>5.4563679428785157E-2</v>
      </c>
      <c r="EO18" s="24">
        <f t="shared" si="103"/>
        <v>1.1104880177985083E-2</v>
      </c>
      <c r="EP18" s="24">
        <f t="shared" si="104"/>
        <v>0.28928963477783753</v>
      </c>
      <c r="EQ18" s="24">
        <f t="shared" si="105"/>
        <v>-1.5916661633730773</v>
      </c>
      <c r="ER18" s="24">
        <f t="shared" si="47"/>
        <v>-20.10929575626913</v>
      </c>
      <c r="ES18" s="25">
        <f t="shared" si="48"/>
        <v>-8.7317827860482549</v>
      </c>
      <c r="ET18" s="26">
        <v>0.9</v>
      </c>
      <c r="EU18" s="26">
        <v>0.2908388804178052</v>
      </c>
      <c r="EV18" s="26">
        <v>0.30566879662109203</v>
      </c>
      <c r="EW18" s="26">
        <v>0.28928963477783753</v>
      </c>
      <c r="EX18" s="26">
        <v>0.30522574148793524</v>
      </c>
      <c r="EY18" s="26">
        <f t="shared" si="106"/>
        <v>0.99855053856312981</v>
      </c>
      <c r="EZ18" s="26">
        <f t="shared" si="107"/>
        <v>1.0053553444497154</v>
      </c>
      <c r="FA18" s="23">
        <f t="shared" si="125"/>
        <v>-1.2011423011399103</v>
      </c>
      <c r="FB18" s="190">
        <f t="shared" si="108"/>
        <v>5.9204270757900801E-2</v>
      </c>
      <c r="FC18" s="124">
        <v>6.2646889236044334E-2</v>
      </c>
      <c r="FD18" s="26"/>
      <c r="FE18" s="27">
        <f t="shared" si="109"/>
        <v>0.88818423022188309</v>
      </c>
      <c r="FF18" s="26"/>
      <c r="FG18" s="23">
        <f t="shared" si="49"/>
        <v>-3.7940976700247906</v>
      </c>
      <c r="FH18" s="13">
        <f t="shared" si="50"/>
        <v>15.082191868384164</v>
      </c>
      <c r="FI18" s="13">
        <f t="shared" si="51"/>
        <v>-21.845149910644157</v>
      </c>
      <c r="FJ18" s="13">
        <f t="shared" si="52"/>
        <v>0.49879353724974607</v>
      </c>
      <c r="FK18" s="12">
        <f t="shared" si="53"/>
        <v>0.62217576611665826</v>
      </c>
      <c r="FL18" s="13"/>
      <c r="FM18" s="23">
        <f t="shared" si="54"/>
        <v>-6.0437959257770304</v>
      </c>
      <c r="FN18" s="13">
        <f t="shared" si="55"/>
        <v>11.450794253474211</v>
      </c>
      <c r="FO18" s="13">
        <f t="shared" si="56"/>
        <v>11.969448784572307</v>
      </c>
      <c r="FP18" s="24">
        <f t="shared" si="110"/>
        <v>0.51502963156833292</v>
      </c>
      <c r="FQ18" s="25">
        <f t="shared" si="57"/>
        <v>0.7780576286691081</v>
      </c>
      <c r="FR18" s="13"/>
      <c r="FS18" s="23">
        <f t="shared" si="111"/>
        <v>10.875988450004229</v>
      </c>
      <c r="FT18" s="13">
        <f t="shared" si="126"/>
        <v>-6.2352621550851852</v>
      </c>
      <c r="FU18" s="13">
        <f t="shared" si="112"/>
        <v>-0.35722256195517943</v>
      </c>
      <c r="FV18" s="13">
        <f t="shared" si="58"/>
        <v>0.30522574148793524</v>
      </c>
      <c r="FW18" s="23">
        <f t="shared" si="113"/>
        <v>-0.35730510163772067</v>
      </c>
      <c r="FX18" s="13">
        <f t="shared" si="114"/>
        <v>0.30518543942451326</v>
      </c>
      <c r="FY18" s="13">
        <f t="shared" si="115"/>
        <v>-0.35727275091965538</v>
      </c>
      <c r="FZ18" s="13">
        <f t="shared" si="116"/>
        <v>0.30520123511575781</v>
      </c>
      <c r="GA18" s="13">
        <f t="shared" si="117"/>
        <v>-0.35731341607460365</v>
      </c>
      <c r="GB18" s="12">
        <f t="shared" si="118"/>
        <v>0.3051813798582933</v>
      </c>
      <c r="GC18" s="22"/>
      <c r="GD18" s="11">
        <f t="shared" si="59"/>
        <v>1.5</v>
      </c>
      <c r="GE18" s="10">
        <f t="shared" si="60"/>
        <v>0.74926606198035017</v>
      </c>
      <c r="GF18" s="10">
        <f t="shared" si="61"/>
        <v>5.3414996220710531</v>
      </c>
      <c r="GG18" s="5">
        <f t="shared" si="62"/>
        <v>-8.7342365835222964</v>
      </c>
      <c r="GH18" s="10">
        <f t="shared" si="63"/>
        <v>0.28928963477783753</v>
      </c>
      <c r="GI18" s="9">
        <f t="shared" si="119"/>
        <v>10.875988450004229</v>
      </c>
      <c r="GJ18" s="8">
        <f t="shared" si="120"/>
        <v>-6.2352621550851852</v>
      </c>
      <c r="GK18" s="8">
        <f t="shared" si="121"/>
        <v>0.30522574148793524</v>
      </c>
      <c r="GL18" s="7">
        <f t="shared" si="122"/>
        <v>0.30518543942451326</v>
      </c>
      <c r="GM18" s="6">
        <f t="shared" si="64"/>
        <v>0.51502963156833292</v>
      </c>
      <c r="GN18" s="5">
        <f t="shared" si="65"/>
        <v>0.7780576286691081</v>
      </c>
      <c r="GO18" s="4">
        <f t="shared" si="66"/>
        <v>0.62217576611665826</v>
      </c>
      <c r="GP18" s="4">
        <f t="shared" si="67"/>
        <v>0.88818423022188309</v>
      </c>
      <c r="GQ18" s="4">
        <f t="shared" si="68"/>
        <v>5.9204270757900801E-2</v>
      </c>
      <c r="GR18" s="1"/>
    </row>
    <row r="19" spans="1:200" x14ac:dyDescent="0.4">
      <c r="A19" s="34"/>
      <c r="B19" s="21"/>
      <c r="C19" s="21"/>
      <c r="D19" s="34"/>
      <c r="E19" s="34"/>
      <c r="F19" s="20" t="s">
        <v>82</v>
      </c>
      <c r="G19" s="19">
        <v>1050</v>
      </c>
      <c r="H19" s="18">
        <v>1E-4</v>
      </c>
      <c r="I19" s="17">
        <v>1.5</v>
      </c>
      <c r="J19" s="16">
        <v>49.6</v>
      </c>
      <c r="K19" s="16">
        <v>0.92</v>
      </c>
      <c r="L19" s="16">
        <v>14.6</v>
      </c>
      <c r="M19" s="16">
        <v>0</v>
      </c>
      <c r="N19" s="16">
        <v>9</v>
      </c>
      <c r="O19" s="16">
        <v>0</v>
      </c>
      <c r="P19" s="16">
        <v>8.6999999999999993</v>
      </c>
      <c r="Q19" s="16">
        <v>12.4</v>
      </c>
      <c r="R19" s="16">
        <v>2.2999999999999998</v>
      </c>
      <c r="S19" s="16">
        <v>0.21</v>
      </c>
      <c r="T19" s="16">
        <v>0</v>
      </c>
      <c r="U19" s="15">
        <v>1</v>
      </c>
      <c r="V19" s="16"/>
      <c r="W19" s="28">
        <f t="shared" si="69"/>
        <v>50.238022890712045</v>
      </c>
      <c r="X19" s="24">
        <f t="shared" si="0"/>
        <v>0.93183429555352992</v>
      </c>
      <c r="Y19" s="24">
        <f t="shared" si="0"/>
        <v>14.787805125088624</v>
      </c>
      <c r="Z19" s="24">
        <f t="shared" si="0"/>
        <v>0</v>
      </c>
      <c r="AA19" s="24">
        <f t="shared" si="0"/>
        <v>9.115770282588878</v>
      </c>
      <c r="AB19" s="24">
        <f t="shared" si="0"/>
        <v>0</v>
      </c>
      <c r="AC19" s="24">
        <f t="shared" si="0"/>
        <v>8.8119112731692475</v>
      </c>
      <c r="AD19" s="24">
        <f t="shared" si="0"/>
        <v>12.559505722678011</v>
      </c>
      <c r="AE19" s="24">
        <f t="shared" si="0"/>
        <v>2.3295857388838241</v>
      </c>
      <c r="AF19" s="24">
        <f t="shared" si="0"/>
        <v>0.21270130659374048</v>
      </c>
      <c r="AG19" s="24">
        <f t="shared" si="0"/>
        <v>0</v>
      </c>
      <c r="AH19" s="24">
        <f t="shared" si="0"/>
        <v>1.0128633647320977</v>
      </c>
      <c r="AI19" s="14">
        <f t="shared" si="123"/>
        <v>100</v>
      </c>
      <c r="AJ19" s="26"/>
      <c r="AK19" s="50">
        <f t="shared" si="70"/>
        <v>0.83604631204380164</v>
      </c>
      <c r="AL19" s="47">
        <f t="shared" si="71"/>
        <v>1.1662506827954066E-2</v>
      </c>
      <c r="AM19" s="47">
        <f t="shared" si="72"/>
        <v>0.14503535822958635</v>
      </c>
      <c r="AN19" s="49">
        <f t="shared" si="73"/>
        <v>0</v>
      </c>
      <c r="AO19" s="49">
        <f t="shared" si="74"/>
        <v>0.12687223775349865</v>
      </c>
      <c r="AP19" s="47">
        <f t="shared" si="75"/>
        <v>0</v>
      </c>
      <c r="AQ19" s="47">
        <f t="shared" si="76"/>
        <v>0.21854938673534841</v>
      </c>
      <c r="AR19" s="47">
        <f t="shared" si="77"/>
        <v>0.22395694940581334</v>
      </c>
      <c r="AS19" s="47">
        <f t="shared" si="78"/>
        <v>3.7586088074924563E-2</v>
      </c>
      <c r="AT19" s="47">
        <f t="shared" si="79"/>
        <v>2.2579756538613637E-3</v>
      </c>
      <c r="AU19" s="47">
        <f t="shared" si="80"/>
        <v>0</v>
      </c>
      <c r="AV19" s="47">
        <f t="shared" si="81"/>
        <v>5.6207733891903318E-2</v>
      </c>
      <c r="AW19" s="47">
        <f t="shared" si="82"/>
        <v>1.6581745486166921</v>
      </c>
      <c r="AX19" s="47">
        <f t="shared" si="83"/>
        <v>9.0190476777673736E-2</v>
      </c>
      <c r="AY19" s="46">
        <f t="shared" si="84"/>
        <v>1.8346706820247898E-2</v>
      </c>
      <c r="AZ19" s="26"/>
      <c r="BA19" s="23">
        <f t="shared" si="85"/>
        <v>0.50419680650704779</v>
      </c>
      <c r="BB19" s="13">
        <f t="shared" si="6"/>
        <v>7.0333408733618194E-3</v>
      </c>
      <c r="BC19" s="13">
        <f t="shared" si="7"/>
        <v>8.7466882392194467E-2</v>
      </c>
      <c r="BD19" s="13">
        <f t="shared" si="8"/>
        <v>0</v>
      </c>
      <c r="BE19" s="13">
        <f t="shared" si="9"/>
        <v>7.6513198118581649E-2</v>
      </c>
      <c r="BF19" s="13">
        <f t="shared" si="10"/>
        <v>5.4391425108360168E-2</v>
      </c>
      <c r="BG19" s="13">
        <f t="shared" si="11"/>
        <v>1.1064400207778711E-2</v>
      </c>
      <c r="BH19" s="13">
        <f t="shared" si="12"/>
        <v>0</v>
      </c>
      <c r="BI19" s="13">
        <f t="shared" si="13"/>
        <v>0.13180119482455574</v>
      </c>
      <c r="BJ19" s="13">
        <f t="shared" si="14"/>
        <v>0.13506234889001653</v>
      </c>
      <c r="BK19" s="13">
        <f t="shared" si="15"/>
        <v>2.2667148103485371E-2</v>
      </c>
      <c r="BL19" s="13">
        <f t="shared" si="16"/>
        <v>1.3617237435860096E-3</v>
      </c>
      <c r="BM19" s="13">
        <f t="shared" si="17"/>
        <v>0</v>
      </c>
      <c r="BN19" s="13">
        <f t="shared" si="86"/>
        <v>3.3897356547170382E-2</v>
      </c>
      <c r="BO19" s="12">
        <f t="shared" si="87"/>
        <v>0.96610264345282948</v>
      </c>
      <c r="BP19" s="13"/>
      <c r="BQ19" s="23">
        <f t="shared" si="88"/>
        <v>1.6720926240876033</v>
      </c>
      <c r="BR19" s="13">
        <f t="shared" si="18"/>
        <v>2.3325013655908132E-2</v>
      </c>
      <c r="BS19" s="13">
        <f t="shared" si="19"/>
        <v>0.4349354448555478</v>
      </c>
      <c r="BT19" s="13">
        <f t="shared" si="20"/>
        <v>0</v>
      </c>
      <c r="BU19" s="13">
        <f t="shared" si="21"/>
        <v>0.12687223775349865</v>
      </c>
      <c r="BV19" s="13">
        <f t="shared" si="89"/>
        <v>9.0190476777673736E-2</v>
      </c>
      <c r="BW19" s="24">
        <f t="shared" si="90"/>
        <v>5.5040120460743698E-2</v>
      </c>
      <c r="BX19" s="13">
        <f t="shared" si="22"/>
        <v>0</v>
      </c>
      <c r="BY19" s="13">
        <f t="shared" si="23"/>
        <v>0.21865784796946025</v>
      </c>
      <c r="BZ19" s="13">
        <f t="shared" si="24"/>
        <v>0.22387710735611427</v>
      </c>
      <c r="CA19" s="13">
        <f t="shared" si="25"/>
        <v>3.7573963530384259E-2</v>
      </c>
      <c r="CB19" s="13">
        <f t="shared" si="26"/>
        <v>2.2579756538613637E-3</v>
      </c>
      <c r="CC19" s="13">
        <f t="shared" si="27"/>
        <v>0</v>
      </c>
      <c r="CD19" s="13">
        <f t="shared" si="91"/>
        <v>5.6207733891903318E-2</v>
      </c>
      <c r="CE19" s="12">
        <f t="shared" si="92"/>
        <v>2.7957999487542819</v>
      </c>
      <c r="CF19" s="13"/>
      <c r="CG19" s="23">
        <f t="shared" si="28"/>
        <v>0.5980730577066623</v>
      </c>
      <c r="CH19" s="13">
        <f t="shared" si="28"/>
        <v>8.3428764873899521E-3</v>
      </c>
      <c r="CI19" s="13">
        <f t="shared" si="28"/>
        <v>0.15556744145779849</v>
      </c>
      <c r="CJ19" s="13">
        <f t="shared" si="28"/>
        <v>0</v>
      </c>
      <c r="CK19" s="13">
        <f t="shared" si="28"/>
        <v>4.5379583689465625E-2</v>
      </c>
      <c r="CL19" s="13">
        <f t="shared" si="28"/>
        <v>3.2259274064962942E-2</v>
      </c>
      <c r="CM19" s="13">
        <f t="shared" si="28"/>
        <v>1.9686716313614568E-2</v>
      </c>
      <c r="CN19" s="13">
        <f t="shared" si="28"/>
        <v>0</v>
      </c>
      <c r="CO19" s="13">
        <f t="shared" si="28"/>
        <v>7.8209404098060417E-2</v>
      </c>
      <c r="CP19" s="13">
        <f t="shared" si="28"/>
        <v>8.0076225573960214E-2</v>
      </c>
      <c r="CQ19" s="13">
        <f t="shared" si="28"/>
        <v>1.3439432083517278E-2</v>
      </c>
      <c r="CR19" s="13">
        <f t="shared" si="28"/>
        <v>8.0763133816761268E-4</v>
      </c>
      <c r="CS19" s="13">
        <f t="shared" si="28"/>
        <v>0</v>
      </c>
      <c r="CT19" s="13">
        <f t="shared" si="28"/>
        <v>2.010434756497784E-2</v>
      </c>
      <c r="CU19" s="12">
        <f t="shared" si="29"/>
        <v>0.99999999999999978</v>
      </c>
      <c r="CV19" s="26"/>
      <c r="CW19" s="23">
        <f t="shared" si="30"/>
        <v>0.83604631204380164</v>
      </c>
      <c r="CX19" s="13">
        <f t="shared" si="31"/>
        <v>1.1662506827954066E-2</v>
      </c>
      <c r="CY19" s="13">
        <f t="shared" si="32"/>
        <v>0.28995696323703185</v>
      </c>
      <c r="CZ19" s="13">
        <f t="shared" si="33"/>
        <v>0</v>
      </c>
      <c r="DA19" s="13">
        <f t="shared" si="34"/>
        <v>0.17270194986072424</v>
      </c>
      <c r="DB19" s="13">
        <f t="shared" si="35"/>
        <v>9.0190476777673736E-2</v>
      </c>
      <c r="DC19" s="24">
        <f t="shared" si="36"/>
        <v>3.6693413640495796E-2</v>
      </c>
      <c r="DD19" s="13">
        <f t="shared" si="37"/>
        <v>0</v>
      </c>
      <c r="DE19" s="13">
        <f t="shared" si="38"/>
        <v>0.21865784796946025</v>
      </c>
      <c r="DF19" s="13">
        <f t="shared" si="39"/>
        <v>0.22387710735611427</v>
      </c>
      <c r="DG19" s="13">
        <f t="shared" si="40"/>
        <v>7.5147927060768518E-2</v>
      </c>
      <c r="DH19" s="13">
        <f t="shared" si="41"/>
        <v>4.5159513077227273E-3</v>
      </c>
      <c r="DI19" s="13">
        <f t="shared" si="42"/>
        <v>0</v>
      </c>
      <c r="DJ19" s="13">
        <f t="shared" si="93"/>
        <v>0.11241546778380664</v>
      </c>
      <c r="DK19" s="12">
        <f t="shared" si="94"/>
        <v>1.9449820334473844</v>
      </c>
      <c r="DL19" s="26"/>
      <c r="DM19" s="23">
        <f t="shared" si="95"/>
        <v>0.42984783286761313</v>
      </c>
      <c r="DN19" s="13">
        <f t="shared" si="43"/>
        <v>5.9962028581224732E-3</v>
      </c>
      <c r="DO19" s="13">
        <f t="shared" si="43"/>
        <v>0.14907950729143626</v>
      </c>
      <c r="DP19" s="13">
        <f t="shared" si="43"/>
        <v>0</v>
      </c>
      <c r="DQ19" s="13">
        <f t="shared" si="43"/>
        <v>8.8793596491284071E-2</v>
      </c>
      <c r="DR19" s="13">
        <f t="shared" si="43"/>
        <v>4.6370853420077913E-2</v>
      </c>
      <c r="DS19" s="13">
        <f t="shared" si="43"/>
        <v>1.8865682566464911E-2</v>
      </c>
      <c r="DT19" s="13">
        <f t="shared" si="43"/>
        <v>0</v>
      </c>
      <c r="DU19" s="13">
        <f t="shared" si="43"/>
        <v>0.11242152585949601</v>
      </c>
      <c r="DV19" s="13">
        <f t="shared" si="43"/>
        <v>0.11510497449650123</v>
      </c>
      <c r="DW19" s="13">
        <f t="shared" si="43"/>
        <v>3.8636823255160116E-2</v>
      </c>
      <c r="DX19" s="13">
        <f t="shared" si="43"/>
        <v>2.3218473127581685E-3</v>
      </c>
      <c r="DY19" s="13">
        <f t="shared" si="43"/>
        <v>0</v>
      </c>
      <c r="DZ19" s="13">
        <f t="shared" si="43"/>
        <v>5.7797689567628437E-2</v>
      </c>
      <c r="EA19" s="12">
        <f t="shared" si="44"/>
        <v>1</v>
      </c>
      <c r="EB19" s="26"/>
      <c r="EC19" s="30">
        <f t="shared" si="45"/>
        <v>1323</v>
      </c>
      <c r="ED19" s="14">
        <f t="shared" si="96"/>
        <v>100000</v>
      </c>
      <c r="EE19" s="29"/>
      <c r="EF19" s="128">
        <f t="shared" si="124"/>
        <v>-8.7342365835222964</v>
      </c>
      <c r="EG19" s="13">
        <f t="shared" si="97"/>
        <v>1.5</v>
      </c>
      <c r="EH19" s="13">
        <f t="shared" si="98"/>
        <v>0.74926606198035017</v>
      </c>
      <c r="EI19" s="12">
        <f t="shared" si="46"/>
        <v>5.3414996220710531</v>
      </c>
      <c r="EJ19" s="29"/>
      <c r="EK19" s="28">
        <f t="shared" si="99"/>
        <v>-1.5927913677017906</v>
      </c>
      <c r="EL19" s="24">
        <f t="shared" si="100"/>
        <v>-0.69161587828996551</v>
      </c>
      <c r="EM19" s="24">
        <f t="shared" si="101"/>
        <v>0.20335717409637488</v>
      </c>
      <c r="EN19" s="24">
        <f t="shared" si="102"/>
        <v>5.4391425108360175E-2</v>
      </c>
      <c r="EO19" s="24">
        <f t="shared" si="103"/>
        <v>1.1060886505110737E-2</v>
      </c>
      <c r="EP19" s="24">
        <f t="shared" si="104"/>
        <v>0.28912362251459828</v>
      </c>
      <c r="EQ19" s="24">
        <f t="shared" si="105"/>
        <v>-1.5924737489750269</v>
      </c>
      <c r="ER19" s="24">
        <f t="shared" si="47"/>
        <v>-20.109295756269134</v>
      </c>
      <c r="ES19" s="25">
        <f t="shared" si="48"/>
        <v>-8.7317827860482566</v>
      </c>
      <c r="ET19" s="26">
        <v>1</v>
      </c>
      <c r="EU19" s="26">
        <v>0.29083888041780526</v>
      </c>
      <c r="EV19" s="26">
        <v>0.30820013404683144</v>
      </c>
      <c r="EW19" s="26">
        <v>0.28912362251459828</v>
      </c>
      <c r="EX19" s="26">
        <v>0.30770900583851857</v>
      </c>
      <c r="EY19" s="26">
        <f t="shared" si="106"/>
        <v>0.99840646335267902</v>
      </c>
      <c r="EZ19" s="26">
        <f t="shared" si="107"/>
        <v>1.0059326107230149</v>
      </c>
      <c r="FA19" s="23">
        <f t="shared" si="125"/>
        <v>-1.2039481409046395</v>
      </c>
      <c r="FB19" s="190">
        <f t="shared" si="108"/>
        <v>5.8845439409473177E-2</v>
      </c>
      <c r="FC19" s="124">
        <v>6.2646889236044334E-2</v>
      </c>
      <c r="FD19" s="26"/>
      <c r="FE19" s="27">
        <f t="shared" si="109"/>
        <v>0.88818423022188309</v>
      </c>
      <c r="FF19" s="26"/>
      <c r="FG19" s="23">
        <f t="shared" si="49"/>
        <v>-3.822743096158522</v>
      </c>
      <c r="FH19" s="13">
        <f t="shared" si="50"/>
        <v>15.040337462496932</v>
      </c>
      <c r="FI19" s="13">
        <f t="shared" si="51"/>
        <v>-21.845149910644157</v>
      </c>
      <c r="FJ19" s="13">
        <f t="shared" si="52"/>
        <v>0.48558455749623874</v>
      </c>
      <c r="FK19" s="12">
        <f t="shared" si="53"/>
        <v>0.61906571670157295</v>
      </c>
      <c r="FL19" s="13"/>
      <c r="FM19" s="23">
        <f t="shared" si="54"/>
        <v>-6.0445417683084388</v>
      </c>
      <c r="FN19" s="13">
        <f t="shared" si="55"/>
        <v>11.446181339346033</v>
      </c>
      <c r="FO19" s="13">
        <f t="shared" si="56"/>
        <v>11.96492593857144</v>
      </c>
      <c r="FP19" s="24">
        <f t="shared" si="110"/>
        <v>0.51280529461579172</v>
      </c>
      <c r="FQ19" s="25">
        <f t="shared" si="57"/>
        <v>0.77655218741784271</v>
      </c>
      <c r="FR19" s="13"/>
      <c r="FS19" s="23">
        <f t="shared" si="111"/>
        <v>10.882916859207512</v>
      </c>
      <c r="FT19" s="13">
        <f t="shared" si="126"/>
        <v>-6.2334078329140992</v>
      </c>
      <c r="FU19" s="13">
        <f t="shared" si="112"/>
        <v>-0.35214847492298063</v>
      </c>
      <c r="FV19" s="13">
        <f t="shared" si="58"/>
        <v>0.30770900583851857</v>
      </c>
      <c r="FW19" s="23">
        <f t="shared" si="113"/>
        <v>-0.35223101460552186</v>
      </c>
      <c r="FX19" s="13">
        <f t="shared" si="114"/>
        <v>0.30766852108501619</v>
      </c>
      <c r="FY19" s="13">
        <f t="shared" si="115"/>
        <v>-0.35219866388745658</v>
      </c>
      <c r="FZ19" s="13">
        <f t="shared" si="116"/>
        <v>0.3076843883830066</v>
      </c>
      <c r="GA19" s="13">
        <f t="shared" si="117"/>
        <v>-0.35223932904240485</v>
      </c>
      <c r="GB19" s="12">
        <f t="shared" si="118"/>
        <v>0.30766444311458074</v>
      </c>
      <c r="GC19" s="22"/>
      <c r="GD19" s="11">
        <f t="shared" si="59"/>
        <v>1.5</v>
      </c>
      <c r="GE19" s="10">
        <f t="shared" si="60"/>
        <v>0.74926606198035017</v>
      </c>
      <c r="GF19" s="10">
        <f t="shared" si="61"/>
        <v>5.3414996220710531</v>
      </c>
      <c r="GG19" s="5">
        <f t="shared" si="62"/>
        <v>-8.7342365835222964</v>
      </c>
      <c r="GH19" s="10">
        <f t="shared" si="63"/>
        <v>0.28912362251459828</v>
      </c>
      <c r="GI19" s="9">
        <f t="shared" si="119"/>
        <v>10.882916859207512</v>
      </c>
      <c r="GJ19" s="8">
        <f t="shared" si="120"/>
        <v>-6.2334078329140992</v>
      </c>
      <c r="GK19" s="8">
        <f t="shared" si="121"/>
        <v>0.30770900583851857</v>
      </c>
      <c r="GL19" s="7">
        <f t="shared" si="122"/>
        <v>0.30766852108501619</v>
      </c>
      <c r="GM19" s="6">
        <f t="shared" si="64"/>
        <v>0.51280529461579172</v>
      </c>
      <c r="GN19" s="5">
        <f t="shared" si="65"/>
        <v>0.77655218741784271</v>
      </c>
      <c r="GO19" s="4">
        <f t="shared" si="66"/>
        <v>0.61906571670157295</v>
      </c>
      <c r="GP19" s="4">
        <f t="shared" si="67"/>
        <v>0.88818423022188309</v>
      </c>
      <c r="GQ19" s="4">
        <f t="shared" si="68"/>
        <v>5.8845439409473177E-2</v>
      </c>
      <c r="GR19" s="1"/>
    </row>
    <row r="20" spans="1:200" x14ac:dyDescent="0.4">
      <c r="A20" s="34"/>
      <c r="B20" s="21"/>
      <c r="C20" s="21"/>
      <c r="D20" s="34"/>
      <c r="E20" s="34"/>
      <c r="F20" s="20" t="s">
        <v>82</v>
      </c>
      <c r="G20" s="19">
        <v>1050</v>
      </c>
      <c r="H20" s="18">
        <v>1E-4</v>
      </c>
      <c r="I20" s="17">
        <v>1.5</v>
      </c>
      <c r="J20" s="16">
        <v>49.6</v>
      </c>
      <c r="K20" s="16">
        <v>0.92</v>
      </c>
      <c r="L20" s="16">
        <v>14.6</v>
      </c>
      <c r="M20" s="16">
        <v>0</v>
      </c>
      <c r="N20" s="16">
        <v>9</v>
      </c>
      <c r="O20" s="16">
        <v>0</v>
      </c>
      <c r="P20" s="16">
        <v>8.6999999999999993</v>
      </c>
      <c r="Q20" s="16">
        <v>12.4</v>
      </c>
      <c r="R20" s="16">
        <v>2.2999999999999998</v>
      </c>
      <c r="S20" s="16">
        <v>0.21</v>
      </c>
      <c r="T20" s="16">
        <v>0</v>
      </c>
      <c r="U20" s="15">
        <v>1.1000000000000001</v>
      </c>
      <c r="V20" s="16"/>
      <c r="W20" s="28">
        <f t="shared" si="69"/>
        <v>50.187190124456137</v>
      </c>
      <c r="X20" s="24">
        <f t="shared" si="0"/>
        <v>0.93089142972781547</v>
      </c>
      <c r="Y20" s="24">
        <f t="shared" si="0"/>
        <v>14.772842254376201</v>
      </c>
      <c r="Z20" s="24">
        <f t="shared" si="0"/>
        <v>0</v>
      </c>
      <c r="AA20" s="24">
        <f t="shared" si="0"/>
        <v>9.1065465951634117</v>
      </c>
      <c r="AB20" s="24">
        <f t="shared" si="0"/>
        <v>0</v>
      </c>
      <c r="AC20" s="24">
        <f t="shared" si="0"/>
        <v>8.8029950419912968</v>
      </c>
      <c r="AD20" s="24">
        <f t="shared" si="0"/>
        <v>12.546797531114034</v>
      </c>
      <c r="AE20" s="24">
        <f t="shared" si="0"/>
        <v>2.3272285743195384</v>
      </c>
      <c r="AF20" s="24">
        <f t="shared" si="0"/>
        <v>0.2124860872204796</v>
      </c>
      <c r="AG20" s="24">
        <f t="shared" si="0"/>
        <v>0</v>
      </c>
      <c r="AH20" s="24">
        <f t="shared" si="0"/>
        <v>1.1130223616310837</v>
      </c>
      <c r="AI20" s="14">
        <f t="shared" si="123"/>
        <v>100</v>
      </c>
      <c r="AJ20" s="26"/>
      <c r="AK20" s="50">
        <f t="shared" si="70"/>
        <v>0.83520036818865262</v>
      </c>
      <c r="AL20" s="47">
        <f t="shared" si="71"/>
        <v>1.1650706254415713E-2</v>
      </c>
      <c r="AM20" s="47">
        <f t="shared" si="72"/>
        <v>0.14488860586873481</v>
      </c>
      <c r="AN20" s="49">
        <f t="shared" si="73"/>
        <v>0</v>
      </c>
      <c r="AO20" s="49">
        <f t="shared" si="74"/>
        <v>0.12674386353741701</v>
      </c>
      <c r="AP20" s="47">
        <f t="shared" si="75"/>
        <v>0</v>
      </c>
      <c r="AQ20" s="47">
        <f t="shared" si="76"/>
        <v>0.21832825004938733</v>
      </c>
      <c r="AR20" s="47">
        <f t="shared" si="77"/>
        <v>0.22373034113969392</v>
      </c>
      <c r="AS20" s="47">
        <f t="shared" si="78"/>
        <v>3.7548057023548541E-2</v>
      </c>
      <c r="AT20" s="47">
        <f t="shared" si="79"/>
        <v>2.255690947138849E-3</v>
      </c>
      <c r="AU20" s="47">
        <f t="shared" si="80"/>
        <v>0</v>
      </c>
      <c r="AV20" s="47">
        <f t="shared" si="81"/>
        <v>6.1765946816375344E-2</v>
      </c>
      <c r="AW20" s="47">
        <f t="shared" si="82"/>
        <v>1.6621118298253641</v>
      </c>
      <c r="AX20" s="47">
        <f t="shared" si="83"/>
        <v>9.0120110357502711E-2</v>
      </c>
      <c r="AY20" s="46">
        <f t="shared" si="84"/>
        <v>1.8317693708648324E-2</v>
      </c>
      <c r="AZ20" s="26"/>
      <c r="BA20" s="23">
        <f t="shared" si="85"/>
        <v>0.50249348641986746</v>
      </c>
      <c r="BB20" s="13">
        <f t="shared" si="6"/>
        <v>7.0095802492662826E-3</v>
      </c>
      <c r="BC20" s="13">
        <f t="shared" si="7"/>
        <v>8.7171394408496611E-2</v>
      </c>
      <c r="BD20" s="13">
        <f t="shared" si="8"/>
        <v>0</v>
      </c>
      <c r="BE20" s="13">
        <f t="shared" si="9"/>
        <v>7.6254714793007536E-2</v>
      </c>
      <c r="BF20" s="13">
        <f t="shared" si="10"/>
        <v>5.4220244835734975E-2</v>
      </c>
      <c r="BG20" s="13">
        <f t="shared" si="11"/>
        <v>1.1020734814559945E-2</v>
      </c>
      <c r="BH20" s="13">
        <f t="shared" si="12"/>
        <v>0</v>
      </c>
      <c r="BI20" s="13">
        <f t="shared" si="13"/>
        <v>0.13135593293522663</v>
      </c>
      <c r="BJ20" s="13">
        <f t="shared" si="14"/>
        <v>0.13460606989555027</v>
      </c>
      <c r="BK20" s="13">
        <f t="shared" si="15"/>
        <v>2.2590572035994513E-2</v>
      </c>
      <c r="BL20" s="13">
        <f t="shared" si="16"/>
        <v>1.3571234538267208E-3</v>
      </c>
      <c r="BM20" s="13">
        <f t="shared" si="17"/>
        <v>0</v>
      </c>
      <c r="BN20" s="13">
        <f t="shared" si="86"/>
        <v>3.7161125808764031E-2</v>
      </c>
      <c r="BO20" s="12">
        <f t="shared" si="87"/>
        <v>0.96283887419123593</v>
      </c>
      <c r="BP20" s="13"/>
      <c r="BQ20" s="23">
        <f t="shared" si="88"/>
        <v>1.6704007363773052</v>
      </c>
      <c r="BR20" s="13">
        <f t="shared" si="18"/>
        <v>2.3301412508831425E-2</v>
      </c>
      <c r="BS20" s="13">
        <f t="shared" si="19"/>
        <v>0.43449536042282944</v>
      </c>
      <c r="BT20" s="13">
        <f t="shared" si="20"/>
        <v>0</v>
      </c>
      <c r="BU20" s="13">
        <f t="shared" si="21"/>
        <v>0.12674386353741701</v>
      </c>
      <c r="BV20" s="13">
        <f t="shared" si="89"/>
        <v>9.0120110357502711E-2</v>
      </c>
      <c r="BW20" s="24">
        <f t="shared" si="90"/>
        <v>5.4953081125944971E-2</v>
      </c>
      <c r="BX20" s="13">
        <f t="shared" si="22"/>
        <v>0</v>
      </c>
      <c r="BY20" s="13">
        <f t="shared" si="23"/>
        <v>0.2184366015382456</v>
      </c>
      <c r="BZ20" s="13">
        <f t="shared" si="24"/>
        <v>0.22365057987725551</v>
      </c>
      <c r="CA20" s="13">
        <f t="shared" si="25"/>
        <v>3.753594474708933E-2</v>
      </c>
      <c r="CB20" s="13">
        <f t="shared" si="26"/>
        <v>2.255690947138849E-3</v>
      </c>
      <c r="CC20" s="13">
        <f t="shared" si="27"/>
        <v>0</v>
      </c>
      <c r="CD20" s="13">
        <f t="shared" si="91"/>
        <v>6.1765946816375344E-2</v>
      </c>
      <c r="CE20" s="12">
        <f t="shared" si="92"/>
        <v>2.7985861367724878</v>
      </c>
      <c r="CF20" s="13"/>
      <c r="CG20" s="23">
        <f t="shared" si="28"/>
        <v>0.59687308331474853</v>
      </c>
      <c r="CH20" s="13">
        <f t="shared" si="28"/>
        <v>8.3261373315113088E-3</v>
      </c>
      <c r="CI20" s="13">
        <f t="shared" si="28"/>
        <v>0.15525531078486576</v>
      </c>
      <c r="CJ20" s="13">
        <f t="shared" si="28"/>
        <v>0</v>
      </c>
      <c r="CK20" s="13">
        <f t="shared" si="28"/>
        <v>4.5288534046547625E-2</v>
      </c>
      <c r="CL20" s="13">
        <f t="shared" si="28"/>
        <v>3.2202014143268468E-2</v>
      </c>
      <c r="CM20" s="13">
        <f t="shared" si="28"/>
        <v>1.9636015630850101E-2</v>
      </c>
      <c r="CN20" s="13">
        <f t="shared" si="28"/>
        <v>0</v>
      </c>
      <c r="CO20" s="13">
        <f t="shared" si="28"/>
        <v>7.8052484670048758E-2</v>
      </c>
      <c r="CP20" s="13">
        <f t="shared" si="28"/>
        <v>7.9915560553438583E-2</v>
      </c>
      <c r="CQ20" s="13">
        <f t="shared" si="28"/>
        <v>1.3412467193301483E-2</v>
      </c>
      <c r="CR20" s="13">
        <f t="shared" si="28"/>
        <v>8.0601090582841913E-4</v>
      </c>
      <c r="CS20" s="13">
        <f t="shared" si="28"/>
        <v>0</v>
      </c>
      <c r="CT20" s="13">
        <f t="shared" si="28"/>
        <v>2.2070411199709532E-2</v>
      </c>
      <c r="CU20" s="12">
        <f t="shared" si="29"/>
        <v>1</v>
      </c>
      <c r="CV20" s="26"/>
      <c r="CW20" s="23">
        <f t="shared" si="30"/>
        <v>0.83520036818865262</v>
      </c>
      <c r="CX20" s="13">
        <f t="shared" si="31"/>
        <v>1.1650706254415713E-2</v>
      </c>
      <c r="CY20" s="13">
        <f t="shared" si="32"/>
        <v>0.28966357361521961</v>
      </c>
      <c r="CZ20" s="13">
        <f t="shared" si="33"/>
        <v>0</v>
      </c>
      <c r="DA20" s="13">
        <f t="shared" si="34"/>
        <v>0.17270194986072424</v>
      </c>
      <c r="DB20" s="13">
        <f t="shared" si="35"/>
        <v>9.0120110357502711E-2</v>
      </c>
      <c r="DC20" s="24">
        <f t="shared" si="36"/>
        <v>3.6635387417296647E-2</v>
      </c>
      <c r="DD20" s="13">
        <f t="shared" si="37"/>
        <v>0</v>
      </c>
      <c r="DE20" s="13">
        <f t="shared" si="38"/>
        <v>0.2184366015382456</v>
      </c>
      <c r="DF20" s="13">
        <f t="shared" si="39"/>
        <v>0.22365057987725551</v>
      </c>
      <c r="DG20" s="13">
        <f t="shared" si="40"/>
        <v>7.5071889494178659E-2</v>
      </c>
      <c r="DH20" s="13">
        <f t="shared" si="41"/>
        <v>4.511381894277698E-3</v>
      </c>
      <c r="DI20" s="13">
        <f t="shared" si="42"/>
        <v>0</v>
      </c>
      <c r="DJ20" s="13">
        <f t="shared" si="93"/>
        <v>0.12353189363275069</v>
      </c>
      <c r="DK20" s="12">
        <f t="shared" si="94"/>
        <v>1.9544189443557203</v>
      </c>
      <c r="DL20" s="26"/>
      <c r="DM20" s="23">
        <f t="shared" si="95"/>
        <v>0.4273394763188702</v>
      </c>
      <c r="DN20" s="13">
        <f t="shared" si="43"/>
        <v>5.9612123020309753E-3</v>
      </c>
      <c r="DO20" s="13">
        <f t="shared" si="43"/>
        <v>0.14820956092948026</v>
      </c>
      <c r="DP20" s="13">
        <f t="shared" si="43"/>
        <v>0</v>
      </c>
      <c r="DQ20" s="13">
        <f t="shared" si="43"/>
        <v>8.8364856654444643E-2</v>
      </c>
      <c r="DR20" s="13">
        <f t="shared" si="43"/>
        <v>4.6110948022564865E-2</v>
      </c>
      <c r="DS20" s="13">
        <f t="shared" si="43"/>
        <v>1.874489987067415E-2</v>
      </c>
      <c r="DT20" s="13">
        <f t="shared" si="43"/>
        <v>0</v>
      </c>
      <c r="DU20" s="13">
        <f t="shared" si="43"/>
        <v>0.11176549540162886</v>
      </c>
      <c r="DV20" s="13">
        <f t="shared" si="43"/>
        <v>0.11443328490196485</v>
      </c>
      <c r="DW20" s="13">
        <f t="shared" si="43"/>
        <v>3.8411359913893141E-2</v>
      </c>
      <c r="DX20" s="13">
        <f t="shared" si="43"/>
        <v>2.3082982833882056E-3</v>
      </c>
      <c r="DY20" s="13">
        <f t="shared" si="43"/>
        <v>0</v>
      </c>
      <c r="DZ20" s="13">
        <f t="shared" si="43"/>
        <v>6.3206455294298899E-2</v>
      </c>
      <c r="EA20" s="12">
        <f t="shared" si="44"/>
        <v>1</v>
      </c>
      <c r="EB20" s="26"/>
      <c r="EC20" s="30">
        <f t="shared" si="45"/>
        <v>1323</v>
      </c>
      <c r="ED20" s="14">
        <f t="shared" si="96"/>
        <v>100000</v>
      </c>
      <c r="EE20" s="29"/>
      <c r="EF20" s="128">
        <f t="shared" si="124"/>
        <v>-8.7342365835222964</v>
      </c>
      <c r="EG20" s="13">
        <f t="shared" si="97"/>
        <v>1.5</v>
      </c>
      <c r="EH20" s="13">
        <f t="shared" si="98"/>
        <v>0.74926606198035017</v>
      </c>
      <c r="EI20" s="12">
        <f t="shared" si="46"/>
        <v>5.3414996220710531</v>
      </c>
      <c r="EJ20" s="29"/>
      <c r="EK20" s="28">
        <f t="shared" si="99"/>
        <v>-1.5935934967964389</v>
      </c>
      <c r="EL20" s="24">
        <f t="shared" si="100"/>
        <v>-0.69196417576918756</v>
      </c>
      <c r="EM20" s="24">
        <f t="shared" si="101"/>
        <v>0.20319412079406812</v>
      </c>
      <c r="EN20" s="24">
        <f t="shared" si="102"/>
        <v>5.4220244835734968E-2</v>
      </c>
      <c r="EO20" s="24">
        <f t="shared" si="103"/>
        <v>1.1017234978636279E-2</v>
      </c>
      <c r="EP20" s="24">
        <f t="shared" si="104"/>
        <v>0.28895878788721263</v>
      </c>
      <c r="EQ20" s="24">
        <f t="shared" si="105"/>
        <v>-1.5932758780696752</v>
      </c>
      <c r="ER20" s="24">
        <f t="shared" si="47"/>
        <v>-20.109295756269134</v>
      </c>
      <c r="ES20" s="25">
        <f t="shared" si="48"/>
        <v>-8.7317827860482566</v>
      </c>
      <c r="ET20" s="26">
        <v>1.1000000000000001</v>
      </c>
      <c r="EU20" s="26">
        <v>0.29083888041780526</v>
      </c>
      <c r="EV20" s="26">
        <v>0.31073173674654553</v>
      </c>
      <c r="EW20" s="26">
        <v>0.28895878788721263</v>
      </c>
      <c r="EX20" s="26">
        <v>0.31019279508842401</v>
      </c>
      <c r="EY20" s="26">
        <f t="shared" si="106"/>
        <v>0.9982655725360905</v>
      </c>
      <c r="EZ20" s="26">
        <f t="shared" si="107"/>
        <v>1.0065064383206317</v>
      </c>
      <c r="FA20" s="23">
        <f t="shared" si="125"/>
        <v>-1.2067350228212774</v>
      </c>
      <c r="FB20" s="190">
        <f t="shared" si="108"/>
        <v>5.8491051560501162E-2</v>
      </c>
      <c r="FC20" s="124">
        <v>6.2646889236044334E-2</v>
      </c>
      <c r="FD20" s="26"/>
      <c r="FE20" s="27">
        <f t="shared" si="109"/>
        <v>0.88818423022188309</v>
      </c>
      <c r="FF20" s="26"/>
      <c r="FG20" s="23">
        <f t="shared" si="49"/>
        <v>-3.8510542836260018</v>
      </c>
      <c r="FH20" s="13">
        <f t="shared" si="50"/>
        <v>14.99897058293768</v>
      </c>
      <c r="FI20" s="13">
        <f t="shared" si="51"/>
        <v>-21.845149910644157</v>
      </c>
      <c r="FJ20" s="13">
        <f t="shared" si="52"/>
        <v>0.47252886540447037</v>
      </c>
      <c r="FK20" s="12">
        <f t="shared" si="53"/>
        <v>0.61598212999888202</v>
      </c>
      <c r="FL20" s="13"/>
      <c r="FM20" s="23">
        <f t="shared" si="54"/>
        <v>-6.0452856352872937</v>
      </c>
      <c r="FN20" s="13">
        <f t="shared" si="55"/>
        <v>11.441586935929067</v>
      </c>
      <c r="FO20" s="13">
        <f t="shared" si="56"/>
        <v>11.960421241856181</v>
      </c>
      <c r="FP20" s="24">
        <f t="shared" si="110"/>
        <v>0.51058996449987815</v>
      </c>
      <c r="FQ20" s="25">
        <f t="shared" si="57"/>
        <v>0.77504598025582072</v>
      </c>
      <c r="FR20" s="13"/>
      <c r="FS20" s="23">
        <f t="shared" si="111"/>
        <v>10.889817466076238</v>
      </c>
      <c r="FT20" s="13">
        <f t="shared" si="126"/>
        <v>-6.2315596809337928</v>
      </c>
      <c r="FU20" s="13">
        <f t="shared" si="112"/>
        <v>-0.34709602003456297</v>
      </c>
      <c r="FV20" s="13">
        <f t="shared" si="58"/>
        <v>0.31019279508842401</v>
      </c>
      <c r="FW20" s="23">
        <f t="shared" si="113"/>
        <v>-0.34717855971710421</v>
      </c>
      <c r="FX20" s="13">
        <f t="shared" si="114"/>
        <v>0.31015212995069363</v>
      </c>
      <c r="FY20" s="13">
        <f t="shared" si="115"/>
        <v>-0.34714620899903892</v>
      </c>
      <c r="FZ20" s="13">
        <f t="shared" si="116"/>
        <v>0.31016806795173291</v>
      </c>
      <c r="GA20" s="13">
        <f t="shared" si="117"/>
        <v>-0.34718687415398719</v>
      </c>
      <c r="GB20" s="12">
        <f t="shared" si="118"/>
        <v>0.31014803380828859</v>
      </c>
      <c r="GC20" s="22"/>
      <c r="GD20" s="11">
        <f t="shared" si="59"/>
        <v>1.5</v>
      </c>
      <c r="GE20" s="10">
        <f t="shared" si="60"/>
        <v>0.74926606198035017</v>
      </c>
      <c r="GF20" s="10">
        <f t="shared" si="61"/>
        <v>5.3414996220710531</v>
      </c>
      <c r="GG20" s="5">
        <f t="shared" si="62"/>
        <v>-8.7342365835222964</v>
      </c>
      <c r="GH20" s="10">
        <f t="shared" si="63"/>
        <v>0.28895878788721263</v>
      </c>
      <c r="GI20" s="9">
        <f t="shared" si="119"/>
        <v>10.889817466076238</v>
      </c>
      <c r="GJ20" s="8">
        <f t="shared" si="120"/>
        <v>-6.2315596809337928</v>
      </c>
      <c r="GK20" s="8">
        <f t="shared" si="121"/>
        <v>0.31019279508842401</v>
      </c>
      <c r="GL20" s="7">
        <f t="shared" si="122"/>
        <v>0.31015212995069363</v>
      </c>
      <c r="GM20" s="6">
        <f t="shared" si="64"/>
        <v>0.51058996449987815</v>
      </c>
      <c r="GN20" s="5">
        <f t="shared" si="65"/>
        <v>0.77504598025582072</v>
      </c>
      <c r="GO20" s="4">
        <f t="shared" si="66"/>
        <v>0.61598212999888202</v>
      </c>
      <c r="GP20" s="4">
        <f t="shared" si="67"/>
        <v>0.88818423022188309</v>
      </c>
      <c r="GQ20" s="4">
        <f t="shared" si="68"/>
        <v>5.8491051560501162E-2</v>
      </c>
      <c r="GR20" s="1"/>
    </row>
    <row r="21" spans="1:200" x14ac:dyDescent="0.4">
      <c r="A21" s="34"/>
      <c r="B21" s="21"/>
      <c r="C21" s="21"/>
      <c r="D21" s="34"/>
      <c r="E21" s="34"/>
      <c r="F21" s="20" t="s">
        <v>82</v>
      </c>
      <c r="G21" s="19">
        <v>1050</v>
      </c>
      <c r="H21" s="18">
        <v>1E-4</v>
      </c>
      <c r="I21" s="17">
        <v>1.5</v>
      </c>
      <c r="J21" s="16">
        <v>49.6</v>
      </c>
      <c r="K21" s="16">
        <v>0.92</v>
      </c>
      <c r="L21" s="16">
        <v>14.6</v>
      </c>
      <c r="M21" s="16">
        <v>0</v>
      </c>
      <c r="N21" s="16">
        <v>9</v>
      </c>
      <c r="O21" s="16">
        <v>0</v>
      </c>
      <c r="P21" s="16">
        <v>8.6999999999999993</v>
      </c>
      <c r="Q21" s="16">
        <v>12.4</v>
      </c>
      <c r="R21" s="16">
        <v>2.2999999999999998</v>
      </c>
      <c r="S21" s="16">
        <v>0.21</v>
      </c>
      <c r="T21" s="16">
        <v>0</v>
      </c>
      <c r="U21" s="15">
        <v>1.2</v>
      </c>
      <c r="V21" s="16"/>
      <c r="W21" s="28">
        <f t="shared" si="69"/>
        <v>50.136460123319516</v>
      </c>
      <c r="X21" s="24">
        <f t="shared" si="0"/>
        <v>0.92995047002931364</v>
      </c>
      <c r="Y21" s="24">
        <f t="shared" si="0"/>
        <v>14.75790963307389</v>
      </c>
      <c r="Z21" s="24">
        <f t="shared" si="0"/>
        <v>0</v>
      </c>
      <c r="AA21" s="24">
        <f t="shared" si="0"/>
        <v>9.0973415546345908</v>
      </c>
      <c r="AB21" s="24">
        <f t="shared" si="0"/>
        <v>0</v>
      </c>
      <c r="AC21" s="24">
        <f t="shared" si="0"/>
        <v>8.7940968361467693</v>
      </c>
      <c r="AD21" s="24">
        <f t="shared" si="0"/>
        <v>12.534115030829879</v>
      </c>
      <c r="AE21" s="24">
        <f t="shared" si="0"/>
        <v>2.3248761750732836</v>
      </c>
      <c r="AF21" s="24">
        <f t="shared" si="0"/>
        <v>0.21227130294147376</v>
      </c>
      <c r="AG21" s="24">
        <f t="shared" si="0"/>
        <v>0</v>
      </c>
      <c r="AH21" s="24">
        <f t="shared" si="0"/>
        <v>1.2129788739512786</v>
      </c>
      <c r="AI21" s="14">
        <f t="shared" si="123"/>
        <v>99.999999999999986</v>
      </c>
      <c r="AJ21" s="26"/>
      <c r="AK21" s="50">
        <f t="shared" si="70"/>
        <v>0.83435613452021162</v>
      </c>
      <c r="AL21" s="47">
        <f t="shared" si="71"/>
        <v>1.1638929537288029E-2</v>
      </c>
      <c r="AM21" s="47">
        <f t="shared" si="72"/>
        <v>0.14474215018707229</v>
      </c>
      <c r="AN21" s="49">
        <f t="shared" si="73"/>
        <v>0</v>
      </c>
      <c r="AO21" s="49">
        <f t="shared" si="74"/>
        <v>0.12661574884668883</v>
      </c>
      <c r="AP21" s="47">
        <f t="shared" si="75"/>
        <v>0</v>
      </c>
      <c r="AQ21" s="47">
        <f t="shared" si="76"/>
        <v>0.21810756042030677</v>
      </c>
      <c r="AR21" s="47">
        <f t="shared" si="77"/>
        <v>0.22350419099197361</v>
      </c>
      <c r="AS21" s="47">
        <f t="shared" si="78"/>
        <v>3.7510102856942298E-2</v>
      </c>
      <c r="AT21" s="47">
        <f t="shared" si="79"/>
        <v>2.2534108592513137E-3</v>
      </c>
      <c r="AU21" s="47">
        <f t="shared" si="80"/>
        <v>0</v>
      </c>
      <c r="AV21" s="47">
        <f t="shared" si="81"/>
        <v>6.7312923082756854E-2</v>
      </c>
      <c r="AW21" s="47">
        <f t="shared" si="82"/>
        <v>1.6660411513024918</v>
      </c>
      <c r="AX21" s="47">
        <f t="shared" si="83"/>
        <v>9.0049738659379833E-2</v>
      </c>
      <c r="AY21" s="46">
        <f t="shared" si="84"/>
        <v>1.8288813040761309E-2</v>
      </c>
      <c r="AZ21" s="26"/>
      <c r="BA21" s="23">
        <f t="shared" si="85"/>
        <v>0.5008016361828288</v>
      </c>
      <c r="BB21" s="13">
        <f t="shared" si="6"/>
        <v>6.9859796249263405E-3</v>
      </c>
      <c r="BC21" s="13">
        <f t="shared" si="7"/>
        <v>8.6877896187566889E-2</v>
      </c>
      <c r="BD21" s="13">
        <f t="shared" si="8"/>
        <v>0</v>
      </c>
      <c r="BE21" s="13">
        <f t="shared" si="9"/>
        <v>7.5997972047510409E-2</v>
      </c>
      <c r="BF21" s="13">
        <f t="shared" si="10"/>
        <v>5.4050128707193085E-2</v>
      </c>
      <c r="BG21" s="13">
        <f t="shared" si="11"/>
        <v>1.0977407746779438E-2</v>
      </c>
      <c r="BH21" s="13">
        <f t="shared" si="12"/>
        <v>0</v>
      </c>
      <c r="BI21" s="13">
        <f t="shared" si="13"/>
        <v>0.13091366935912285</v>
      </c>
      <c r="BJ21" s="13">
        <f t="shared" si="14"/>
        <v>0.13415286340150759</v>
      </c>
      <c r="BK21" s="13">
        <f t="shared" si="15"/>
        <v>2.2514511617925722E-2</v>
      </c>
      <c r="BL21" s="13">
        <f t="shared" si="16"/>
        <v>1.3525541415886535E-3</v>
      </c>
      <c r="BM21" s="13">
        <f t="shared" si="17"/>
        <v>0</v>
      </c>
      <c r="BN21" s="13">
        <f t="shared" si="86"/>
        <v>4.040291743702272E-2</v>
      </c>
      <c r="BO21" s="12">
        <f t="shared" si="87"/>
        <v>0.95959708256297727</v>
      </c>
      <c r="BP21" s="13"/>
      <c r="BQ21" s="23">
        <f t="shared" si="88"/>
        <v>1.6687122690404232</v>
      </c>
      <c r="BR21" s="13">
        <f t="shared" si="18"/>
        <v>2.3277859074576059E-2</v>
      </c>
      <c r="BS21" s="13">
        <f t="shared" si="19"/>
        <v>0.4340561656786438</v>
      </c>
      <c r="BT21" s="13">
        <f t="shared" si="20"/>
        <v>0</v>
      </c>
      <c r="BU21" s="13">
        <f t="shared" si="21"/>
        <v>0.12661574884668883</v>
      </c>
      <c r="BV21" s="13">
        <f t="shared" si="89"/>
        <v>9.0049738659379833E-2</v>
      </c>
      <c r="BW21" s="24">
        <f t="shared" si="90"/>
        <v>5.4866439122283929E-2</v>
      </c>
      <c r="BX21" s="13">
        <f t="shared" si="22"/>
        <v>0</v>
      </c>
      <c r="BY21" s="13">
        <f t="shared" si="23"/>
        <v>0.21821580238577593</v>
      </c>
      <c r="BZ21" s="13">
        <f t="shared" si="24"/>
        <v>0.22342451035347377</v>
      </c>
      <c r="CA21" s="13">
        <f t="shared" si="25"/>
        <v>3.7498002823762637E-2</v>
      </c>
      <c r="CB21" s="13">
        <f t="shared" si="26"/>
        <v>2.2534108592513137E-3</v>
      </c>
      <c r="CC21" s="13">
        <f t="shared" si="27"/>
        <v>0</v>
      </c>
      <c r="CD21" s="13">
        <f t="shared" si="91"/>
        <v>6.7312923082756854E-2</v>
      </c>
      <c r="CE21" s="12">
        <f t="shared" si="92"/>
        <v>2.8013666921453524</v>
      </c>
      <c r="CF21" s="13"/>
      <c r="CG21" s="23">
        <f t="shared" si="28"/>
        <v>0.59567791454052177</v>
      </c>
      <c r="CH21" s="13">
        <f t="shared" si="28"/>
        <v>8.3094652120495258E-3</v>
      </c>
      <c r="CI21" s="13">
        <f t="shared" si="28"/>
        <v>0.15494443012251044</v>
      </c>
      <c r="CJ21" s="13">
        <f t="shared" si="28"/>
        <v>0</v>
      </c>
      <c r="CK21" s="13">
        <f t="shared" si="28"/>
        <v>4.5197849036222926E-2</v>
      </c>
      <c r="CL21" s="13">
        <f t="shared" si="28"/>
        <v>3.2144930869588383E-2</v>
      </c>
      <c r="CM21" s="13">
        <f t="shared" si="28"/>
        <v>1.9585597014529332E-2</v>
      </c>
      <c r="CN21" s="13">
        <f t="shared" si="28"/>
        <v>0</v>
      </c>
      <c r="CO21" s="13">
        <f t="shared" si="28"/>
        <v>7.7896193667763333E-2</v>
      </c>
      <c r="CP21" s="13">
        <f t="shared" si="28"/>
        <v>7.9755538958867972E-2</v>
      </c>
      <c r="CQ21" s="13">
        <f t="shared" si="28"/>
        <v>1.3385610291184617E-2</v>
      </c>
      <c r="CR21" s="13">
        <f t="shared" si="28"/>
        <v>8.0439696294296937E-4</v>
      </c>
      <c r="CS21" s="13">
        <f t="shared" si="28"/>
        <v>0</v>
      </c>
      <c r="CT21" s="13">
        <f t="shared" si="28"/>
        <v>2.4028601207936488E-2</v>
      </c>
      <c r="CU21" s="12">
        <f t="shared" si="29"/>
        <v>1.0000000000000002</v>
      </c>
      <c r="CV21" s="26"/>
      <c r="CW21" s="23">
        <f t="shared" si="30"/>
        <v>0.83435613452021162</v>
      </c>
      <c r="CX21" s="13">
        <f t="shared" si="31"/>
        <v>1.1638929537288029E-2</v>
      </c>
      <c r="CY21" s="13">
        <f t="shared" si="32"/>
        <v>0.28937077711909587</v>
      </c>
      <c r="CZ21" s="13">
        <f t="shared" si="33"/>
        <v>0</v>
      </c>
      <c r="DA21" s="13">
        <f t="shared" si="34"/>
        <v>0.17270194986072424</v>
      </c>
      <c r="DB21" s="13">
        <f t="shared" si="35"/>
        <v>9.0049738659379833E-2</v>
      </c>
      <c r="DC21" s="24">
        <f t="shared" si="36"/>
        <v>3.6577626081522617E-2</v>
      </c>
      <c r="DD21" s="13">
        <f t="shared" si="37"/>
        <v>0</v>
      </c>
      <c r="DE21" s="13">
        <f t="shared" si="38"/>
        <v>0.21821580238577593</v>
      </c>
      <c r="DF21" s="13">
        <f t="shared" si="39"/>
        <v>0.22342451035347377</v>
      </c>
      <c r="DG21" s="13">
        <f t="shared" si="40"/>
        <v>7.4996005647525274E-2</v>
      </c>
      <c r="DH21" s="13">
        <f t="shared" si="41"/>
        <v>4.5068217185026275E-3</v>
      </c>
      <c r="DI21" s="13">
        <f t="shared" si="42"/>
        <v>0</v>
      </c>
      <c r="DJ21" s="13">
        <f t="shared" si="93"/>
        <v>0.13462584616551371</v>
      </c>
      <c r="DK21" s="12">
        <f t="shared" si="94"/>
        <v>1.9638367773081111</v>
      </c>
      <c r="DL21" s="26"/>
      <c r="DM21" s="23">
        <f t="shared" si="95"/>
        <v>0.42486022471984058</v>
      </c>
      <c r="DN21" s="13">
        <f t="shared" si="43"/>
        <v>5.9266277481786712E-3</v>
      </c>
      <c r="DO21" s="13">
        <f t="shared" si="43"/>
        <v>0.14734970872464509</v>
      </c>
      <c r="DP21" s="13">
        <f t="shared" si="43"/>
        <v>0</v>
      </c>
      <c r="DQ21" s="13">
        <f t="shared" si="43"/>
        <v>8.7941091569459187E-2</v>
      </c>
      <c r="DR21" s="13">
        <f t="shared" si="43"/>
        <v>4.5853983233175653E-2</v>
      </c>
      <c r="DS21" s="13">
        <f t="shared" si="43"/>
        <v>1.8625593788736683E-2</v>
      </c>
      <c r="DT21" s="13">
        <f t="shared" si="43"/>
        <v>0</v>
      </c>
      <c r="DU21" s="13">
        <f t="shared" si="43"/>
        <v>0.11111707699297227</v>
      </c>
      <c r="DV21" s="13">
        <f t="shared" si="43"/>
        <v>0.11376938905265249</v>
      </c>
      <c r="DW21" s="13">
        <f t="shared" si="43"/>
        <v>3.818851266769966E-2</v>
      </c>
      <c r="DX21" s="13">
        <f t="shared" si="43"/>
        <v>2.2949064660456459E-3</v>
      </c>
      <c r="DY21" s="13">
        <f t="shared" si="43"/>
        <v>0</v>
      </c>
      <c r="DZ21" s="13">
        <f t="shared" si="43"/>
        <v>6.8552462058506375E-2</v>
      </c>
      <c r="EA21" s="12">
        <f t="shared" si="44"/>
        <v>1</v>
      </c>
      <c r="EB21" s="26"/>
      <c r="EC21" s="30">
        <f t="shared" si="45"/>
        <v>1323</v>
      </c>
      <c r="ED21" s="14">
        <f t="shared" si="96"/>
        <v>100000</v>
      </c>
      <c r="EE21" s="29"/>
      <c r="EF21" s="128">
        <f t="shared" si="124"/>
        <v>-8.7342365835222964</v>
      </c>
      <c r="EG21" s="13">
        <f t="shared" si="97"/>
        <v>1.5</v>
      </c>
      <c r="EH21" s="13">
        <f t="shared" si="98"/>
        <v>0.74926606198035017</v>
      </c>
      <c r="EI21" s="12">
        <f t="shared" si="46"/>
        <v>5.3414996220710531</v>
      </c>
      <c r="EJ21" s="29"/>
      <c r="EK21" s="28">
        <f t="shared" si="99"/>
        <v>-1.5943902244984895</v>
      </c>
      <c r="EL21" s="24">
        <f t="shared" si="100"/>
        <v>-0.69231012787602675</v>
      </c>
      <c r="EM21" s="24">
        <f t="shared" si="101"/>
        <v>0.20303229488329091</v>
      </c>
      <c r="EN21" s="24">
        <f t="shared" si="102"/>
        <v>5.4050128707193099E-2</v>
      </c>
      <c r="EO21" s="24">
        <f t="shared" si="103"/>
        <v>1.0973921670158657E-2</v>
      </c>
      <c r="EP21" s="24">
        <f t="shared" si="104"/>
        <v>0.28879511846179973</v>
      </c>
      <c r="EQ21" s="24">
        <f t="shared" si="105"/>
        <v>-1.5940726057717258</v>
      </c>
      <c r="ER21" s="24">
        <f t="shared" si="47"/>
        <v>-20.109295756269134</v>
      </c>
      <c r="ES21" s="25">
        <f t="shared" si="48"/>
        <v>-8.7317827860482566</v>
      </c>
      <c r="ET21" s="26">
        <v>1.2</v>
      </c>
      <c r="EU21" s="26">
        <v>0.2908388804178052</v>
      </c>
      <c r="EV21" s="26">
        <v>0.31326342639569704</v>
      </c>
      <c r="EW21" s="26">
        <v>0.28879511846179973</v>
      </c>
      <c r="EX21" s="26">
        <v>0.31267693816473696</v>
      </c>
      <c r="EY21" s="26">
        <f t="shared" si="106"/>
        <v>0.99812781135127071</v>
      </c>
      <c r="EZ21" s="26">
        <f t="shared" si="107"/>
        <v>1.0070768576937557</v>
      </c>
      <c r="FA21" s="23">
        <f t="shared" si="125"/>
        <v>-1.2095031383779151</v>
      </c>
      <c r="FB21" s="190">
        <f t="shared" si="108"/>
        <v>5.8141032343855481E-2</v>
      </c>
      <c r="FC21" s="124">
        <v>6.2646889236044334E-2</v>
      </c>
      <c r="FD21" s="26"/>
      <c r="FE21" s="27">
        <f t="shared" si="109"/>
        <v>0.88818423022188309</v>
      </c>
      <c r="FF21" s="26"/>
      <c r="FG21" s="23">
        <f t="shared" si="49"/>
        <v>-3.8790370317251543</v>
      </c>
      <c r="FH21" s="13">
        <f t="shared" si="50"/>
        <v>14.958082754409968</v>
      </c>
      <c r="FI21" s="13">
        <f t="shared" si="51"/>
        <v>-21.845149910644157</v>
      </c>
      <c r="FJ21" s="13">
        <f t="shared" si="52"/>
        <v>0.45962378497591061</v>
      </c>
      <c r="FK21" s="12">
        <f t="shared" si="53"/>
        <v>0.61292492368460161</v>
      </c>
      <c r="FL21" s="13"/>
      <c r="FM21" s="23">
        <f t="shared" si="54"/>
        <v>-6.0460275278608488</v>
      </c>
      <c r="FN21" s="13">
        <f t="shared" si="55"/>
        <v>11.437010932026677</v>
      </c>
      <c r="FO21" s="13">
        <f t="shared" si="56"/>
        <v>11.95593458540111</v>
      </c>
      <c r="FP21" s="24">
        <f t="shared" si="110"/>
        <v>0.5083836707390651</v>
      </c>
      <c r="FQ21" s="25">
        <f t="shared" si="57"/>
        <v>0.7735390614158103</v>
      </c>
      <c r="FR21" s="13"/>
      <c r="FS21" s="23">
        <f t="shared" si="111"/>
        <v>10.896690437623192</v>
      </c>
      <c r="FT21" s="13">
        <f t="shared" si="126"/>
        <v>-6.22971766388339</v>
      </c>
      <c r="FU21" s="13">
        <f t="shared" si="112"/>
        <v>-0.34206506553800864</v>
      </c>
      <c r="FV21" s="13">
        <f t="shared" si="58"/>
        <v>0.31267693816473696</v>
      </c>
      <c r="FW21" s="23">
        <f t="shared" si="113"/>
        <v>-0.34214760522054988</v>
      </c>
      <c r="FX21" s="13">
        <f t="shared" si="114"/>
        <v>0.31263609496230305</v>
      </c>
      <c r="FY21" s="13">
        <f t="shared" si="115"/>
        <v>-0.34211525450248459</v>
      </c>
      <c r="FZ21" s="13">
        <f t="shared" si="116"/>
        <v>0.31265210275733446</v>
      </c>
      <c r="GA21" s="13">
        <f t="shared" si="117"/>
        <v>-0.34215591965743286</v>
      </c>
      <c r="GB21" s="12">
        <f t="shared" si="118"/>
        <v>0.31263198088155186</v>
      </c>
      <c r="GC21" s="22"/>
      <c r="GD21" s="11">
        <f t="shared" si="59"/>
        <v>1.5</v>
      </c>
      <c r="GE21" s="10">
        <f t="shared" si="60"/>
        <v>0.74926606198035017</v>
      </c>
      <c r="GF21" s="10">
        <f t="shared" si="61"/>
        <v>5.3414996220710531</v>
      </c>
      <c r="GG21" s="5">
        <f t="shared" si="62"/>
        <v>-8.7342365835222964</v>
      </c>
      <c r="GH21" s="10">
        <f t="shared" si="63"/>
        <v>0.28879511846179973</v>
      </c>
      <c r="GI21" s="9">
        <f t="shared" si="119"/>
        <v>10.896690437623192</v>
      </c>
      <c r="GJ21" s="8">
        <f t="shared" si="120"/>
        <v>-6.22971766388339</v>
      </c>
      <c r="GK21" s="8">
        <f t="shared" si="121"/>
        <v>0.31267693816473696</v>
      </c>
      <c r="GL21" s="7">
        <f t="shared" si="122"/>
        <v>0.31263609496230305</v>
      </c>
      <c r="GM21" s="6">
        <f t="shared" si="64"/>
        <v>0.5083836707390651</v>
      </c>
      <c r="GN21" s="5">
        <f t="shared" si="65"/>
        <v>0.7735390614158103</v>
      </c>
      <c r="GO21" s="4">
        <f t="shared" si="66"/>
        <v>0.61292492368460161</v>
      </c>
      <c r="GP21" s="4">
        <f t="shared" si="67"/>
        <v>0.88818423022188309</v>
      </c>
      <c r="GQ21" s="4">
        <f t="shared" si="68"/>
        <v>5.8141032343855481E-2</v>
      </c>
      <c r="GR21" s="1"/>
    </row>
    <row r="22" spans="1:200" x14ac:dyDescent="0.4">
      <c r="A22" s="34"/>
      <c r="B22" s="21"/>
      <c r="C22" s="21"/>
      <c r="D22" s="34"/>
      <c r="E22" s="34"/>
      <c r="F22" s="20" t="s">
        <v>134</v>
      </c>
      <c r="G22" s="19">
        <v>1050</v>
      </c>
      <c r="H22" s="18">
        <v>1E-4</v>
      </c>
      <c r="I22" s="17">
        <v>1.5</v>
      </c>
      <c r="J22" s="16">
        <v>49.6</v>
      </c>
      <c r="K22" s="16">
        <v>0.92</v>
      </c>
      <c r="L22" s="16">
        <v>14.6</v>
      </c>
      <c r="M22" s="16">
        <v>0</v>
      </c>
      <c r="N22" s="16">
        <v>9</v>
      </c>
      <c r="O22" s="16">
        <v>0</v>
      </c>
      <c r="P22" s="16">
        <v>8.6999999999999993</v>
      </c>
      <c r="Q22" s="16">
        <v>12.4</v>
      </c>
      <c r="R22" s="16">
        <v>2.2999999999999998</v>
      </c>
      <c r="S22" s="16">
        <v>0.21</v>
      </c>
      <c r="T22" s="16">
        <v>0</v>
      </c>
      <c r="U22" s="15">
        <v>1.3</v>
      </c>
      <c r="V22" s="16"/>
      <c r="W22" s="28">
        <f t="shared" si="69"/>
        <v>50.085832575987077</v>
      </c>
      <c r="X22" s="24">
        <f t="shared" si="0"/>
        <v>0.92901141068363124</v>
      </c>
      <c r="Y22" s="24">
        <f t="shared" si="0"/>
        <v>14.743007169544581</v>
      </c>
      <c r="Z22" s="24">
        <f t="shared" si="0"/>
        <v>0</v>
      </c>
      <c r="AA22" s="24">
        <f t="shared" si="0"/>
        <v>9.0881551045137847</v>
      </c>
      <c r="AB22" s="24">
        <f t="shared" si="0"/>
        <v>0</v>
      </c>
      <c r="AC22" s="24">
        <f t="shared" si="0"/>
        <v>8.7852166010299904</v>
      </c>
      <c r="AD22" s="24">
        <f t="shared" si="0"/>
        <v>12.521458143996769</v>
      </c>
      <c r="AE22" s="24">
        <f t="shared" si="0"/>
        <v>2.3225285267090778</v>
      </c>
      <c r="AF22" s="24">
        <f t="shared" si="0"/>
        <v>0.21205695243865494</v>
      </c>
      <c r="AG22" s="24">
        <f t="shared" si="0"/>
        <v>0</v>
      </c>
      <c r="AH22" s="24">
        <f t="shared" si="0"/>
        <v>1.3127335150964354</v>
      </c>
      <c r="AI22" s="14">
        <f t="shared" si="123"/>
        <v>100</v>
      </c>
      <c r="AJ22" s="26"/>
      <c r="AK22" s="50">
        <f t="shared" si="70"/>
        <v>0.83351360585766476</v>
      </c>
      <c r="AL22" s="47">
        <f t="shared" si="71"/>
        <v>1.1627176604300765E-2</v>
      </c>
      <c r="AM22" s="47">
        <f t="shared" si="72"/>
        <v>0.1445959902858433</v>
      </c>
      <c r="AN22" s="49">
        <f t="shared" si="73"/>
        <v>0</v>
      </c>
      <c r="AO22" s="49">
        <f t="shared" si="74"/>
        <v>0.12648789289511184</v>
      </c>
      <c r="AP22" s="47">
        <f t="shared" si="75"/>
        <v>0</v>
      </c>
      <c r="AQ22" s="47">
        <f t="shared" si="76"/>
        <v>0.21788731649379936</v>
      </c>
      <c r="AR22" s="47">
        <f t="shared" si="77"/>
        <v>0.22327849757483539</v>
      </c>
      <c r="AS22" s="47">
        <f t="shared" si="78"/>
        <v>3.7472225342192286E-2</v>
      </c>
      <c r="AT22" s="47">
        <f t="shared" si="79"/>
        <v>2.2511353762065278E-3</v>
      </c>
      <c r="AU22" s="47">
        <f t="shared" si="80"/>
        <v>0</v>
      </c>
      <c r="AV22" s="47">
        <f t="shared" si="81"/>
        <v>7.2848696731211735E-2</v>
      </c>
      <c r="AW22" s="47">
        <f t="shared" si="82"/>
        <v>1.6699625371611657</v>
      </c>
      <c r="AX22" s="47">
        <f t="shared" si="83"/>
        <v>8.9979363250055358E-2</v>
      </c>
      <c r="AY22" s="46">
        <f t="shared" si="84"/>
        <v>1.8260063639736899E-2</v>
      </c>
      <c r="AZ22" s="26"/>
      <c r="BA22" s="23">
        <f t="shared" si="85"/>
        <v>0.4991211403308406</v>
      </c>
      <c r="BB22" s="13">
        <f t="shared" si="6"/>
        <v>6.9625373896508216E-3</v>
      </c>
      <c r="BC22" s="13">
        <f t="shared" si="7"/>
        <v>8.6586367698791411E-2</v>
      </c>
      <c r="BD22" s="13">
        <f t="shared" si="8"/>
        <v>0</v>
      </c>
      <c r="BE22" s="13">
        <f t="shared" si="9"/>
        <v>7.5742952359957441E-2</v>
      </c>
      <c r="BF22" s="13">
        <f t="shared" si="10"/>
        <v>5.38810669387918E-2</v>
      </c>
      <c r="BG22" s="13">
        <f t="shared" si="11"/>
        <v>1.0934415134113064E-2</v>
      </c>
      <c r="BH22" s="13">
        <f t="shared" si="12"/>
        <v>0</v>
      </c>
      <c r="BI22" s="13">
        <f t="shared" si="13"/>
        <v>0.13047437391271932</v>
      </c>
      <c r="BJ22" s="13">
        <f t="shared" si="14"/>
        <v>0.13370269847753302</v>
      </c>
      <c r="BK22" s="13">
        <f t="shared" si="15"/>
        <v>2.2438961658321259E-2</v>
      </c>
      <c r="BL22" s="13">
        <f t="shared" si="16"/>
        <v>1.3480154950262059E-3</v>
      </c>
      <c r="BM22" s="13">
        <f t="shared" si="17"/>
        <v>0</v>
      </c>
      <c r="BN22" s="13">
        <f t="shared" si="86"/>
        <v>4.3622952677160091E-2</v>
      </c>
      <c r="BO22" s="12">
        <f t="shared" si="87"/>
        <v>0.95637704732284001</v>
      </c>
      <c r="BP22" s="13"/>
      <c r="BQ22" s="23">
        <f t="shared" si="88"/>
        <v>1.6670272117153295</v>
      </c>
      <c r="BR22" s="13">
        <f t="shared" si="18"/>
        <v>2.325435320860153E-2</v>
      </c>
      <c r="BS22" s="13">
        <f t="shared" si="19"/>
        <v>0.43361785792778179</v>
      </c>
      <c r="BT22" s="13">
        <f t="shared" si="20"/>
        <v>0</v>
      </c>
      <c r="BU22" s="13">
        <f t="shared" si="21"/>
        <v>0.12648789289511184</v>
      </c>
      <c r="BV22" s="13">
        <f t="shared" si="89"/>
        <v>8.9979363250055358E-2</v>
      </c>
      <c r="BW22" s="24">
        <f t="shared" si="90"/>
        <v>5.47801909192107E-2</v>
      </c>
      <c r="BX22" s="13">
        <f t="shared" si="22"/>
        <v>0</v>
      </c>
      <c r="BY22" s="13">
        <f t="shared" si="23"/>
        <v>0.21799544915707172</v>
      </c>
      <c r="BZ22" s="13">
        <f t="shared" si="24"/>
        <v>0.22319889739744686</v>
      </c>
      <c r="CA22" s="13">
        <f t="shared" si="25"/>
        <v>3.7460137527565773E-2</v>
      </c>
      <c r="CB22" s="13">
        <f t="shared" si="26"/>
        <v>2.2511353762065278E-3</v>
      </c>
      <c r="CC22" s="13">
        <f t="shared" si="27"/>
        <v>0</v>
      </c>
      <c r="CD22" s="13">
        <f t="shared" si="91"/>
        <v>7.2848696731211735E-2</v>
      </c>
      <c r="CE22" s="12">
        <f t="shared" si="92"/>
        <v>2.8041416319363273</v>
      </c>
      <c r="CF22" s="13"/>
      <c r="CG22" s="23">
        <f t="shared" si="28"/>
        <v>0.59448752257360382</v>
      </c>
      <c r="CH22" s="13">
        <f t="shared" si="28"/>
        <v>8.2928597271115147E-3</v>
      </c>
      <c r="CI22" s="13">
        <f t="shared" si="28"/>
        <v>0.15463479197673702</v>
      </c>
      <c r="CJ22" s="13">
        <f t="shared" si="28"/>
        <v>0</v>
      </c>
      <c r="CK22" s="13">
        <f t="shared" si="28"/>
        <v>4.5107526472465978E-2</v>
      </c>
      <c r="CL22" s="13">
        <f t="shared" si="28"/>
        <v>3.2088023737917422E-2</v>
      </c>
      <c r="CM22" s="13">
        <f t="shared" si="28"/>
        <v>1.9535457943821354E-2</v>
      </c>
      <c r="CN22" s="13">
        <f t="shared" si="28"/>
        <v>0</v>
      </c>
      <c r="CO22" s="13">
        <f t="shared" si="28"/>
        <v>7.7740527323700348E-2</v>
      </c>
      <c r="CP22" s="13">
        <f t="shared" si="28"/>
        <v>7.9596156932816076E-2</v>
      </c>
      <c r="CQ22" s="13">
        <f t="shared" si="28"/>
        <v>1.3358860729762301E-2</v>
      </c>
      <c r="CR22" s="13">
        <f t="shared" si="28"/>
        <v>8.0278947060604235E-4</v>
      </c>
      <c r="CS22" s="13">
        <f t="shared" si="28"/>
        <v>0</v>
      </c>
      <c r="CT22" s="13">
        <f t="shared" si="28"/>
        <v>2.5978964793196967E-2</v>
      </c>
      <c r="CU22" s="12">
        <f t="shared" si="29"/>
        <v>1.0000000000000002</v>
      </c>
      <c r="CV22" s="26"/>
      <c r="CW22" s="23">
        <f t="shared" si="30"/>
        <v>0.83351360585766476</v>
      </c>
      <c r="CX22" s="13">
        <f t="shared" si="31"/>
        <v>1.1627176604300765E-2</v>
      </c>
      <c r="CY22" s="13">
        <f t="shared" si="32"/>
        <v>0.28907857195185455</v>
      </c>
      <c r="CZ22" s="13">
        <f t="shared" si="33"/>
        <v>0</v>
      </c>
      <c r="DA22" s="13">
        <f t="shared" si="34"/>
        <v>0.17270194986072424</v>
      </c>
      <c r="DB22" s="13">
        <f t="shared" si="35"/>
        <v>8.9979363250055358E-2</v>
      </c>
      <c r="DC22" s="24">
        <f t="shared" si="36"/>
        <v>3.6520127279473798E-2</v>
      </c>
      <c r="DD22" s="13">
        <f t="shared" si="37"/>
        <v>0</v>
      </c>
      <c r="DE22" s="13">
        <f t="shared" si="38"/>
        <v>0.21799544915707172</v>
      </c>
      <c r="DF22" s="13">
        <f t="shared" si="39"/>
        <v>0.22319889739744686</v>
      </c>
      <c r="DG22" s="13">
        <f t="shared" si="40"/>
        <v>7.4920275055131547E-2</v>
      </c>
      <c r="DH22" s="13">
        <f t="shared" si="41"/>
        <v>4.5022707524130555E-3</v>
      </c>
      <c r="DI22" s="13">
        <f t="shared" si="42"/>
        <v>0</v>
      </c>
      <c r="DJ22" s="13">
        <f t="shared" si="93"/>
        <v>0.14569739346242347</v>
      </c>
      <c r="DK22" s="12">
        <f t="shared" si="94"/>
        <v>1.9732355900990313</v>
      </c>
      <c r="DL22" s="26"/>
      <c r="DM22" s="23">
        <f t="shared" si="95"/>
        <v>0.4224095744268595</v>
      </c>
      <c r="DN22" s="13">
        <f t="shared" si="43"/>
        <v>5.8924421709407896E-3</v>
      </c>
      <c r="DO22" s="13">
        <f t="shared" si="43"/>
        <v>0.14649977600360761</v>
      </c>
      <c r="DP22" s="13">
        <f t="shared" si="43"/>
        <v>0</v>
      </c>
      <c r="DQ22" s="13">
        <f t="shared" si="43"/>
        <v>8.7522215151236357E-2</v>
      </c>
      <c r="DR22" s="13">
        <f t="shared" si="43"/>
        <v>4.559990895235147E-2</v>
      </c>
      <c r="DS22" s="13">
        <f t="shared" si="43"/>
        <v>1.850773798258978E-2</v>
      </c>
      <c r="DT22" s="13">
        <f t="shared" si="43"/>
        <v>0</v>
      </c>
      <c r="DU22" s="13">
        <f t="shared" si="43"/>
        <v>0.11047613891158893</v>
      </c>
      <c r="DV22" s="13">
        <f t="shared" si="43"/>
        <v>0.11311315208248657</v>
      </c>
      <c r="DW22" s="13">
        <f t="shared" si="43"/>
        <v>3.7968236246626541E-2</v>
      </c>
      <c r="DX22" s="13">
        <f t="shared" si="43"/>
        <v>2.2816691402708276E-3</v>
      </c>
      <c r="DY22" s="13">
        <f t="shared" si="43"/>
        <v>0</v>
      </c>
      <c r="DZ22" s="13">
        <f t="shared" si="43"/>
        <v>7.383679586638274E-2</v>
      </c>
      <c r="EA22" s="12">
        <f t="shared" si="44"/>
        <v>1</v>
      </c>
      <c r="EB22" s="26"/>
      <c r="EC22" s="30">
        <f t="shared" si="45"/>
        <v>1323</v>
      </c>
      <c r="ED22" s="14">
        <f t="shared" si="96"/>
        <v>100000</v>
      </c>
      <c r="EE22" s="29"/>
      <c r="EF22" s="128">
        <f t="shared" si="124"/>
        <v>-8.7342365835222964</v>
      </c>
      <c r="EG22" s="13">
        <f t="shared" si="97"/>
        <v>1.5</v>
      </c>
      <c r="EH22" s="13">
        <f t="shared" si="98"/>
        <v>0.74926606198035017</v>
      </c>
      <c r="EI22" s="12">
        <f t="shared" si="46"/>
        <v>5.3414996220710531</v>
      </c>
      <c r="EJ22" s="29"/>
      <c r="EK22" s="28">
        <f t="shared" si="99"/>
        <v>-1.5951816051828722</v>
      </c>
      <c r="EL22" s="24">
        <f t="shared" si="100"/>
        <v>-0.69265375822096065</v>
      </c>
      <c r="EM22" s="24">
        <f t="shared" si="101"/>
        <v>0.20287168260792302</v>
      </c>
      <c r="EN22" s="24">
        <f t="shared" si="102"/>
        <v>5.38810669387918E-2</v>
      </c>
      <c r="EO22" s="24">
        <f t="shared" si="103"/>
        <v>1.0930942710582824E-2</v>
      </c>
      <c r="EP22" s="24">
        <f t="shared" si="104"/>
        <v>0.28863260197820373</v>
      </c>
      <c r="EQ22" s="24">
        <f t="shared" si="105"/>
        <v>-1.5948639864561085</v>
      </c>
      <c r="ER22" s="24">
        <f t="shared" si="47"/>
        <v>-20.109295756269134</v>
      </c>
      <c r="ES22" s="25">
        <f t="shared" si="48"/>
        <v>-8.7317827860482566</v>
      </c>
      <c r="ET22" s="26">
        <v>1.3</v>
      </c>
      <c r="EU22" s="26">
        <v>0.2908388804178052</v>
      </c>
      <c r="EV22" s="26">
        <v>0.315795026220833</v>
      </c>
      <c r="EW22" s="26">
        <v>0.28863260197820373</v>
      </c>
      <c r="EX22" s="26">
        <v>0.31516126536391209</v>
      </c>
      <c r="EY22" s="26">
        <f t="shared" si="106"/>
        <v>0.9979931259066831</v>
      </c>
      <c r="EZ22" s="26">
        <f t="shared" si="107"/>
        <v>1.0076438989375431</v>
      </c>
      <c r="FA22" s="23">
        <f t="shared" si="125"/>
        <v>-1.2122526764924153</v>
      </c>
      <c r="FB22" s="190">
        <f t="shared" si="108"/>
        <v>5.779530845424441E-2</v>
      </c>
      <c r="FC22" s="124">
        <v>6.2646889236044334E-2</v>
      </c>
      <c r="FD22" s="26"/>
      <c r="FE22" s="27">
        <f t="shared" si="109"/>
        <v>0.88818423022188309</v>
      </c>
      <c r="FF22" s="26"/>
      <c r="FG22" s="23">
        <f t="shared" si="49"/>
        <v>-3.9066970060034771</v>
      </c>
      <c r="FH22" s="13">
        <f t="shared" si="50"/>
        <v>14.917665697025004</v>
      </c>
      <c r="FI22" s="13">
        <f t="shared" si="51"/>
        <v>-21.845149910644157</v>
      </c>
      <c r="FJ22" s="13">
        <f t="shared" si="52"/>
        <v>0.44686670186926847</v>
      </c>
      <c r="FK22" s="12">
        <f t="shared" si="53"/>
        <v>0.60989400650946468</v>
      </c>
      <c r="FL22" s="13"/>
      <c r="FM22" s="23">
        <f t="shared" si="54"/>
        <v>-6.0467674473166699</v>
      </c>
      <c r="FN22" s="13">
        <f t="shared" si="55"/>
        <v>11.432453217331105</v>
      </c>
      <c r="FO22" s="13">
        <f t="shared" si="56"/>
        <v>11.951465861052213</v>
      </c>
      <c r="FP22" s="24">
        <f t="shared" si="110"/>
        <v>0.50618644122259493</v>
      </c>
      <c r="FQ22" s="25">
        <f t="shared" si="57"/>
        <v>0.77203148477426564</v>
      </c>
      <c r="FR22" s="13"/>
      <c r="FS22" s="23">
        <f t="shared" si="111"/>
        <v>10.903535939526165</v>
      </c>
      <c r="FT22" s="13">
        <f t="shared" si="126"/>
        <v>-6.2278817468502918</v>
      </c>
      <c r="FU22" s="13">
        <f t="shared" si="112"/>
        <v>-0.33705548066813407</v>
      </c>
      <c r="FV22" s="13">
        <f t="shared" si="58"/>
        <v>0.31516126536391209</v>
      </c>
      <c r="FW22" s="23">
        <f t="shared" si="113"/>
        <v>-0.3371380203506753</v>
      </c>
      <c r="FX22" s="13">
        <f t="shared" si="114"/>
        <v>0.31512024642922876</v>
      </c>
      <c r="FY22" s="13">
        <f t="shared" si="115"/>
        <v>-0.33710566963261002</v>
      </c>
      <c r="FZ22" s="13">
        <f t="shared" si="116"/>
        <v>0.31513632310412687</v>
      </c>
      <c r="GA22" s="13">
        <f t="shared" si="117"/>
        <v>-0.33714633478755829</v>
      </c>
      <c r="GB22" s="12">
        <f t="shared" si="118"/>
        <v>0.31511611464505751</v>
      </c>
      <c r="GC22" s="22"/>
      <c r="GD22" s="11">
        <f t="shared" si="59"/>
        <v>1.5</v>
      </c>
      <c r="GE22" s="10">
        <f t="shared" si="60"/>
        <v>0.74926606198035017</v>
      </c>
      <c r="GF22" s="10">
        <f t="shared" si="61"/>
        <v>5.3414996220710531</v>
      </c>
      <c r="GG22" s="5">
        <f t="shared" si="62"/>
        <v>-8.7342365835222964</v>
      </c>
      <c r="GH22" s="10">
        <f t="shared" si="63"/>
        <v>0.28863260197820373</v>
      </c>
      <c r="GI22" s="9">
        <f t="shared" si="119"/>
        <v>10.903535939526165</v>
      </c>
      <c r="GJ22" s="8">
        <f t="shared" si="120"/>
        <v>-6.2278817468502918</v>
      </c>
      <c r="GK22" s="8">
        <f t="shared" si="121"/>
        <v>0.31516126536391209</v>
      </c>
      <c r="GL22" s="7">
        <f t="shared" si="122"/>
        <v>0.31512024642922876</v>
      </c>
      <c r="GM22" s="6">
        <f t="shared" si="64"/>
        <v>0.50618644122259493</v>
      </c>
      <c r="GN22" s="5">
        <f t="shared" si="65"/>
        <v>0.77203148477426564</v>
      </c>
      <c r="GO22" s="4">
        <f t="shared" si="66"/>
        <v>0.60989400650946468</v>
      </c>
      <c r="GP22" s="4">
        <f t="shared" si="67"/>
        <v>0.88818423022188309</v>
      </c>
      <c r="GQ22" s="4">
        <f t="shared" si="68"/>
        <v>5.779530845424441E-2</v>
      </c>
      <c r="GR22" s="1"/>
    </row>
    <row r="23" spans="1:200" x14ac:dyDescent="0.4">
      <c r="A23" s="34"/>
      <c r="B23" s="21"/>
      <c r="C23" s="21"/>
      <c r="D23" s="34"/>
      <c r="E23" s="34"/>
      <c r="F23" s="20" t="s">
        <v>134</v>
      </c>
      <c r="G23" s="19">
        <v>1050</v>
      </c>
      <c r="H23" s="18">
        <v>1E-4</v>
      </c>
      <c r="I23" s="17">
        <v>1.5</v>
      </c>
      <c r="J23" s="16">
        <v>49.6</v>
      </c>
      <c r="K23" s="16">
        <v>0.92</v>
      </c>
      <c r="L23" s="16">
        <v>14.6</v>
      </c>
      <c r="M23" s="16">
        <v>0</v>
      </c>
      <c r="N23" s="16">
        <v>9</v>
      </c>
      <c r="O23" s="16">
        <v>0</v>
      </c>
      <c r="P23" s="16">
        <v>8.6999999999999993</v>
      </c>
      <c r="Q23" s="16">
        <v>12.4</v>
      </c>
      <c r="R23" s="16">
        <v>2.2999999999999998</v>
      </c>
      <c r="S23" s="16">
        <v>0.21</v>
      </c>
      <c r="T23" s="16">
        <v>0</v>
      </c>
      <c r="U23" s="15">
        <v>1.4</v>
      </c>
      <c r="V23" s="16"/>
      <c r="W23" s="28">
        <f t="shared" si="69"/>
        <v>50.035307172399882</v>
      </c>
      <c r="X23" s="24">
        <f t="shared" si="0"/>
        <v>0.92807424593967514</v>
      </c>
      <c r="Y23" s="24">
        <f t="shared" si="0"/>
        <v>14.728134772520932</v>
      </c>
      <c r="Z23" s="24">
        <f t="shared" si="0"/>
        <v>0</v>
      </c>
      <c r="AA23" s="24">
        <f t="shared" si="0"/>
        <v>9.0789871885402995</v>
      </c>
      <c r="AB23" s="24">
        <f t="shared" si="0"/>
        <v>0</v>
      </c>
      <c r="AC23" s="24">
        <f t="shared" si="0"/>
        <v>8.7763542822556211</v>
      </c>
      <c r="AD23" s="24">
        <f t="shared" si="0"/>
        <v>12.508826793099971</v>
      </c>
      <c r="AE23" s="24">
        <f t="shared" si="0"/>
        <v>2.3201856148491875</v>
      </c>
      <c r="AF23" s="24">
        <f t="shared" si="0"/>
        <v>0.21184303439927363</v>
      </c>
      <c r="AG23" s="24">
        <f t="shared" si="0"/>
        <v>0</v>
      </c>
      <c r="AH23" s="24">
        <f t="shared" si="0"/>
        <v>1.4122868959951578</v>
      </c>
      <c r="AI23" s="14">
        <f t="shared" si="123"/>
        <v>100</v>
      </c>
      <c r="AJ23" s="26"/>
      <c r="AK23" s="50">
        <f t="shared" si="70"/>
        <v>0.83267277704110298</v>
      </c>
      <c r="AL23" s="47">
        <f t="shared" si="71"/>
        <v>1.1615447383475282E-2</v>
      </c>
      <c r="AM23" s="47">
        <f t="shared" si="72"/>
        <v>0.14445012526991891</v>
      </c>
      <c r="AN23" s="49">
        <f t="shared" si="73"/>
        <v>0</v>
      </c>
      <c r="AO23" s="49">
        <f t="shared" si="74"/>
        <v>0.12636029489965622</v>
      </c>
      <c r="AP23" s="47">
        <f t="shared" si="75"/>
        <v>0</v>
      </c>
      <c r="AQ23" s="47">
        <f t="shared" si="76"/>
        <v>0.21766751692102235</v>
      </c>
      <c r="AR23" s="47">
        <f t="shared" si="77"/>
        <v>0.22305325950606225</v>
      </c>
      <c r="AS23" s="47">
        <f t="shared" si="78"/>
        <v>3.7434424247324745E-2</v>
      </c>
      <c r="AT23" s="47">
        <f t="shared" si="79"/>
        <v>2.2488644840687219E-3</v>
      </c>
      <c r="AU23" s="47">
        <f t="shared" si="80"/>
        <v>0</v>
      </c>
      <c r="AV23" s="47">
        <f t="shared" si="81"/>
        <v>7.8373301664548159E-2</v>
      </c>
      <c r="AW23" s="47">
        <f t="shared" si="82"/>
        <v>1.6738760114171798</v>
      </c>
      <c r="AX23" s="47">
        <f t="shared" si="83"/>
        <v>8.9908985668386024E-2</v>
      </c>
      <c r="AY23" s="46">
        <f t="shared" si="84"/>
        <v>1.8231444344262999E-2</v>
      </c>
      <c r="AZ23" s="26"/>
      <c r="BA23" s="23">
        <f t="shared" si="85"/>
        <v>0.49745188494345183</v>
      </c>
      <c r="BB23" s="13">
        <f t="shared" si="6"/>
        <v>6.939251954295656E-3</v>
      </c>
      <c r="BC23" s="13">
        <f t="shared" si="7"/>
        <v>8.6296789179516845E-2</v>
      </c>
      <c r="BD23" s="13">
        <f t="shared" si="8"/>
        <v>0</v>
      </c>
      <c r="BE23" s="13">
        <f t="shared" si="9"/>
        <v>7.5489638442619078E-2</v>
      </c>
      <c r="BF23" s="13">
        <f t="shared" si="10"/>
        <v>5.3713049864586429E-2</v>
      </c>
      <c r="BG23" s="13">
        <f t="shared" si="11"/>
        <v>1.0891753164457759E-2</v>
      </c>
      <c r="BH23" s="13">
        <f t="shared" si="12"/>
        <v>0</v>
      </c>
      <c r="BI23" s="13">
        <f t="shared" si="13"/>
        <v>0.1300380168162725</v>
      </c>
      <c r="BJ23" s="13">
        <f t="shared" si="14"/>
        <v>0.13325554460704361</v>
      </c>
      <c r="BK23" s="13">
        <f t="shared" si="15"/>
        <v>2.2363917035665655E-2</v>
      </c>
      <c r="BL23" s="13">
        <f t="shared" si="16"/>
        <v>1.343507206465508E-3</v>
      </c>
      <c r="BM23" s="13">
        <f t="shared" si="17"/>
        <v>0</v>
      </c>
      <c r="BN23" s="13">
        <f t="shared" si="86"/>
        <v>4.6821449814669215E-2</v>
      </c>
      <c r="BO23" s="12">
        <f t="shared" si="87"/>
        <v>0.95317855018533071</v>
      </c>
      <c r="BP23" s="13"/>
      <c r="BQ23" s="23">
        <f t="shared" si="88"/>
        <v>1.665345554082206</v>
      </c>
      <c r="BR23" s="13">
        <f t="shared" si="18"/>
        <v>2.3230894766950564E-2</v>
      </c>
      <c r="BS23" s="13">
        <f t="shared" si="19"/>
        <v>0.43318043448590976</v>
      </c>
      <c r="BT23" s="13">
        <f t="shared" si="20"/>
        <v>0</v>
      </c>
      <c r="BU23" s="13">
        <f t="shared" si="21"/>
        <v>0.12636029489965622</v>
      </c>
      <c r="BV23" s="13">
        <f t="shared" si="89"/>
        <v>8.9908985668386024E-2</v>
      </c>
      <c r="BW23" s="24">
        <f t="shared" si="90"/>
        <v>5.4694333032788998E-2</v>
      </c>
      <c r="BX23" s="13">
        <f t="shared" si="22"/>
        <v>0</v>
      </c>
      <c r="BY23" s="13">
        <f t="shared" si="23"/>
        <v>0.21777554050262088</v>
      </c>
      <c r="BZ23" s="13">
        <f t="shared" si="24"/>
        <v>0.22297373962745046</v>
      </c>
      <c r="CA23" s="13">
        <f t="shared" si="25"/>
        <v>3.7422348626599801E-2</v>
      </c>
      <c r="CB23" s="13">
        <f t="shared" si="26"/>
        <v>2.2488644840687219E-3</v>
      </c>
      <c r="CC23" s="13">
        <f t="shared" si="27"/>
        <v>0</v>
      </c>
      <c r="CD23" s="13">
        <f t="shared" si="91"/>
        <v>7.8373301664548159E-2</v>
      </c>
      <c r="CE23" s="12">
        <f t="shared" si="92"/>
        <v>2.8069109731400106</v>
      </c>
      <c r="CF23" s="13"/>
      <c r="CG23" s="23">
        <f t="shared" si="28"/>
        <v>0.59330187883345364</v>
      </c>
      <c r="CH23" s="13">
        <f t="shared" si="28"/>
        <v>8.276320478010326E-3</v>
      </c>
      <c r="CI23" s="13">
        <f t="shared" si="28"/>
        <v>0.15432638891333389</v>
      </c>
      <c r="CJ23" s="13">
        <f t="shared" si="28"/>
        <v>0</v>
      </c>
      <c r="CK23" s="13">
        <f t="shared" si="28"/>
        <v>4.5017564186690465E-2</v>
      </c>
      <c r="CL23" s="13">
        <f t="shared" si="28"/>
        <v>3.2031292238601863E-2</v>
      </c>
      <c r="CM23" s="13">
        <f t="shared" si="28"/>
        <v>1.9485595929536741E-2</v>
      </c>
      <c r="CN23" s="13">
        <f t="shared" si="28"/>
        <v>0</v>
      </c>
      <c r="CO23" s="13">
        <f t="shared" si="28"/>
        <v>7.7585481900411563E-2</v>
      </c>
      <c r="CP23" s="13">
        <f t="shared" si="28"/>
        <v>7.9437410648623516E-2</v>
      </c>
      <c r="CQ23" s="13">
        <f t="shared" si="28"/>
        <v>1.3332217866794862E-2</v>
      </c>
      <c r="CR23" s="13">
        <f t="shared" si="28"/>
        <v>8.0118839022278712E-4</v>
      </c>
      <c r="CS23" s="13">
        <f t="shared" si="28"/>
        <v>0</v>
      </c>
      <c r="CT23" s="13">
        <f t="shared" si="28"/>
        <v>2.792154878245896E-2</v>
      </c>
      <c r="CU23" s="12">
        <f t="shared" si="29"/>
        <v>1</v>
      </c>
      <c r="CV23" s="26"/>
      <c r="CW23" s="23">
        <f t="shared" si="30"/>
        <v>0.83267277704110298</v>
      </c>
      <c r="CX23" s="13">
        <f t="shared" si="31"/>
        <v>1.1615447383475282E-2</v>
      </c>
      <c r="CY23" s="13">
        <f t="shared" si="32"/>
        <v>0.28878695632393986</v>
      </c>
      <c r="CZ23" s="13">
        <f t="shared" si="33"/>
        <v>0</v>
      </c>
      <c r="DA23" s="13">
        <f t="shared" si="34"/>
        <v>0.17270194986072424</v>
      </c>
      <c r="DB23" s="13">
        <f t="shared" si="35"/>
        <v>8.9908985668386024E-2</v>
      </c>
      <c r="DC23" s="24">
        <f t="shared" si="36"/>
        <v>3.6462888688525999E-2</v>
      </c>
      <c r="DD23" s="13">
        <f t="shared" si="37"/>
        <v>0</v>
      </c>
      <c r="DE23" s="13">
        <f t="shared" si="38"/>
        <v>0.21777554050262088</v>
      </c>
      <c r="DF23" s="13">
        <f t="shared" si="39"/>
        <v>0.22297373962745046</v>
      </c>
      <c r="DG23" s="13">
        <f t="shared" si="40"/>
        <v>7.4844697253199602E-2</v>
      </c>
      <c r="DH23" s="13">
        <f t="shared" si="41"/>
        <v>4.4977289681374438E-3</v>
      </c>
      <c r="DI23" s="13">
        <f t="shared" si="42"/>
        <v>0</v>
      </c>
      <c r="DJ23" s="13">
        <f t="shared" si="93"/>
        <v>0.15674660332909632</v>
      </c>
      <c r="DK23" s="12">
        <f t="shared" si="94"/>
        <v>1.9826154402897471</v>
      </c>
      <c r="DL23" s="26"/>
      <c r="DM23" s="23">
        <f t="shared" si="95"/>
        <v>0.41998703334995363</v>
      </c>
      <c r="DN23" s="13">
        <f t="shared" si="43"/>
        <v>5.8586487058618665E-3</v>
      </c>
      <c r="DO23" s="13">
        <f t="shared" si="43"/>
        <v>0.14565959210008744</v>
      </c>
      <c r="DP23" s="13">
        <f t="shared" si="43"/>
        <v>0</v>
      </c>
      <c r="DQ23" s="13">
        <f t="shared" si="43"/>
        <v>8.7108143289494858E-2</v>
      </c>
      <c r="DR23" s="13">
        <f t="shared" si="43"/>
        <v>4.5348676218947621E-2</v>
      </c>
      <c r="DS23" s="13">
        <f t="shared" si="43"/>
        <v>1.8391306729255156E-2</v>
      </c>
      <c r="DT23" s="13">
        <f t="shared" si="43"/>
        <v>0</v>
      </c>
      <c r="DU23" s="13">
        <f t="shared" si="43"/>
        <v>0.10984255245727044</v>
      </c>
      <c r="DV23" s="13">
        <f t="shared" si="43"/>
        <v>0.11246444221924561</v>
      </c>
      <c r="DW23" s="13">
        <f t="shared" si="43"/>
        <v>3.7750486419222837E-2</v>
      </c>
      <c r="DX23" s="13">
        <f t="shared" si="43"/>
        <v>2.2685836480120058E-3</v>
      </c>
      <c r="DY23" s="13">
        <f t="shared" si="43"/>
        <v>0</v>
      </c>
      <c r="DZ23" s="13">
        <f t="shared" si="43"/>
        <v>7.9060517810851286E-2</v>
      </c>
      <c r="EA23" s="12">
        <f t="shared" si="44"/>
        <v>1</v>
      </c>
      <c r="EB23" s="26"/>
      <c r="EC23" s="30">
        <f t="shared" si="45"/>
        <v>1323</v>
      </c>
      <c r="ED23" s="14">
        <f t="shared" si="96"/>
        <v>100000</v>
      </c>
      <c r="EE23" s="29"/>
      <c r="EF23" s="128">
        <f t="shared" si="124"/>
        <v>-8.7342365835222964</v>
      </c>
      <c r="EG23" s="13">
        <f t="shared" si="97"/>
        <v>1.5</v>
      </c>
      <c r="EH23" s="13">
        <f t="shared" si="98"/>
        <v>0.74926606198035017</v>
      </c>
      <c r="EI23" s="12">
        <f t="shared" si="46"/>
        <v>5.3414996220710531</v>
      </c>
      <c r="EJ23" s="29"/>
      <c r="EK23" s="28">
        <f t="shared" si="99"/>
        <v>-1.595967692497112</v>
      </c>
      <c r="EL23" s="24">
        <f t="shared" si="100"/>
        <v>-0.69299509009861571</v>
      </c>
      <c r="EM23" s="24">
        <f t="shared" si="101"/>
        <v>0.20271227041596621</v>
      </c>
      <c r="EN23" s="24">
        <f t="shared" si="102"/>
        <v>5.3713049864586436E-2</v>
      </c>
      <c r="EO23" s="24">
        <f t="shared" si="103"/>
        <v>1.0888294289016323E-2</v>
      </c>
      <c r="EP23" s="24">
        <f t="shared" si="104"/>
        <v>0.28847122634698258</v>
      </c>
      <c r="EQ23" s="24">
        <f t="shared" si="105"/>
        <v>-1.5956500737703481</v>
      </c>
      <c r="ER23" s="24">
        <f t="shared" si="47"/>
        <v>-20.10929575626913</v>
      </c>
      <c r="ES23" s="25">
        <f t="shared" si="48"/>
        <v>-8.7317827860482549</v>
      </c>
      <c r="ET23" s="26">
        <v>1.4</v>
      </c>
      <c r="EU23" s="26">
        <v>0.29083888041780526</v>
      </c>
      <c r="EV23" s="26">
        <v>0.31832636103167888</v>
      </c>
      <c r="EW23" s="26">
        <v>0.28847122634698258</v>
      </c>
      <c r="EX23" s="26">
        <v>0.31764560838357814</v>
      </c>
      <c r="EY23" s="26">
        <f t="shared" si="106"/>
        <v>0.99786146316662416</v>
      </c>
      <c r="EZ23" s="26">
        <f t="shared" si="107"/>
        <v>1.0082075917962605</v>
      </c>
      <c r="FA23" s="23">
        <f t="shared" si="125"/>
        <v>-1.2149838235553609</v>
      </c>
      <c r="FB23" s="190">
        <f t="shared" si="108"/>
        <v>5.7453808109942828E-2</v>
      </c>
      <c r="FC23" s="124">
        <v>6.2646889236044334E-2</v>
      </c>
      <c r="FD23" s="26"/>
      <c r="FE23" s="27">
        <f t="shared" si="109"/>
        <v>0.88818423022188309</v>
      </c>
      <c r="FF23" s="26"/>
      <c r="FG23" s="23">
        <f t="shared" si="49"/>
        <v>-3.934039742121084</v>
      </c>
      <c r="FH23" s="13">
        <f t="shared" si="50"/>
        <v>14.877711320700715</v>
      </c>
      <c r="FI23" s="13">
        <f t="shared" si="51"/>
        <v>-21.845149910644157</v>
      </c>
      <c r="FJ23" s="13">
        <f t="shared" si="52"/>
        <v>0.43425506166258998</v>
      </c>
      <c r="FK23" s="12">
        <f t="shared" si="53"/>
        <v>0.60688927880317145</v>
      </c>
      <c r="FL23" s="13"/>
      <c r="FM23" s="23">
        <f t="shared" si="54"/>
        <v>-6.0475053950786499</v>
      </c>
      <c r="FN23" s="13">
        <f t="shared" si="55"/>
        <v>11.427913682414555</v>
      </c>
      <c r="FO23" s="13">
        <f t="shared" si="56"/>
        <v>11.947014961518278</v>
      </c>
      <c r="FP23" s="24">
        <f t="shared" si="110"/>
        <v>0.50399830223607012</v>
      </c>
      <c r="FQ23" s="25">
        <f t="shared" si="57"/>
        <v>0.77052330384753465</v>
      </c>
      <c r="FR23" s="13"/>
      <c r="FS23" s="23">
        <f t="shared" si="111"/>
        <v>10.910354136141251</v>
      </c>
      <c r="FT23" s="13">
        <f t="shared" si="126"/>
        <v>-6.2260518952646606</v>
      </c>
      <c r="FU23" s="13">
        <f t="shared" si="112"/>
        <v>-0.33206713563868107</v>
      </c>
      <c r="FV23" s="13">
        <f t="shared" si="58"/>
        <v>0.31764560838357814</v>
      </c>
      <c r="FW23" s="23">
        <f t="shared" si="113"/>
        <v>-0.3321496753212223</v>
      </c>
      <c r="FX23" s="13">
        <f t="shared" si="114"/>
        <v>0.31760441606129097</v>
      </c>
      <c r="FY23" s="13">
        <f t="shared" si="115"/>
        <v>-0.33211732460315702</v>
      </c>
      <c r="FZ23" s="13">
        <f t="shared" si="116"/>
        <v>0.31762056069715106</v>
      </c>
      <c r="GA23" s="13">
        <f t="shared" si="117"/>
        <v>-0.33215798975810529</v>
      </c>
      <c r="GB23" s="12">
        <f t="shared" si="118"/>
        <v>0.31760026680985443</v>
      </c>
      <c r="GC23" s="22"/>
      <c r="GD23" s="11">
        <f t="shared" si="59"/>
        <v>1.5</v>
      </c>
      <c r="GE23" s="10">
        <f t="shared" si="60"/>
        <v>0.74926606198035017</v>
      </c>
      <c r="GF23" s="10">
        <f t="shared" si="61"/>
        <v>5.3414996220710531</v>
      </c>
      <c r="GG23" s="5">
        <f t="shared" si="62"/>
        <v>-8.7342365835222964</v>
      </c>
      <c r="GH23" s="10">
        <f t="shared" si="63"/>
        <v>0.28847122634698258</v>
      </c>
      <c r="GI23" s="9">
        <f t="shared" si="119"/>
        <v>10.910354136141251</v>
      </c>
      <c r="GJ23" s="8">
        <f t="shared" si="120"/>
        <v>-6.2260518952646606</v>
      </c>
      <c r="GK23" s="8">
        <f t="shared" si="121"/>
        <v>0.31764560838357814</v>
      </c>
      <c r="GL23" s="7">
        <f t="shared" si="122"/>
        <v>0.31760441606129097</v>
      </c>
      <c r="GM23" s="6">
        <f t="shared" si="64"/>
        <v>0.50399830223607012</v>
      </c>
      <c r="GN23" s="5">
        <f t="shared" si="65"/>
        <v>0.77052330384753465</v>
      </c>
      <c r="GO23" s="4">
        <f t="shared" si="66"/>
        <v>0.60688927880317145</v>
      </c>
      <c r="GP23" s="4">
        <f t="shared" si="67"/>
        <v>0.88818423022188309</v>
      </c>
      <c r="GQ23" s="4">
        <f t="shared" si="68"/>
        <v>5.7453808109942828E-2</v>
      </c>
      <c r="GR23" s="1"/>
    </row>
    <row r="24" spans="1:200" x14ac:dyDescent="0.4">
      <c r="A24" s="34"/>
      <c r="B24" s="21"/>
      <c r="C24" s="21"/>
      <c r="D24" s="34"/>
      <c r="E24" s="34"/>
      <c r="F24" s="20" t="s">
        <v>134</v>
      </c>
      <c r="G24" s="19">
        <v>1050</v>
      </c>
      <c r="H24" s="18">
        <v>1E-4</v>
      </c>
      <c r="I24" s="17">
        <v>1.5</v>
      </c>
      <c r="J24" s="16">
        <v>49.6</v>
      </c>
      <c r="K24" s="16">
        <v>0.92</v>
      </c>
      <c r="L24" s="16">
        <v>14.6</v>
      </c>
      <c r="M24" s="16">
        <v>0</v>
      </c>
      <c r="N24" s="16">
        <v>9</v>
      </c>
      <c r="O24" s="16">
        <v>0</v>
      </c>
      <c r="P24" s="16">
        <v>8.6999999999999993</v>
      </c>
      <c r="Q24" s="16">
        <v>12.4</v>
      </c>
      <c r="R24" s="16">
        <v>2.2999999999999998</v>
      </c>
      <c r="S24" s="16">
        <v>0.21</v>
      </c>
      <c r="T24" s="16">
        <v>0</v>
      </c>
      <c r="U24" s="15">
        <v>1.5</v>
      </c>
      <c r="V24" s="16"/>
      <c r="W24" s="28">
        <f t="shared" si="69"/>
        <v>49.984883603748862</v>
      </c>
      <c r="X24" s="24">
        <f t="shared" si="0"/>
        <v>0.92713897006953538</v>
      </c>
      <c r="Y24" s="24">
        <f t="shared" si="0"/>
        <v>14.713292351103496</v>
      </c>
      <c r="Z24" s="24">
        <f t="shared" si="0"/>
        <v>0</v>
      </c>
      <c r="AA24" s="24">
        <f t="shared" si="0"/>
        <v>9.0698377506802377</v>
      </c>
      <c r="AB24" s="24">
        <f t="shared" si="0"/>
        <v>0</v>
      </c>
      <c r="AC24" s="24">
        <f t="shared" si="0"/>
        <v>8.7675098256575623</v>
      </c>
      <c r="AD24" s="24">
        <f t="shared" si="0"/>
        <v>12.496220900937216</v>
      </c>
      <c r="AE24" s="24">
        <f t="shared" si="0"/>
        <v>2.3178474251738379</v>
      </c>
      <c r="AF24" s="24">
        <f t="shared" si="0"/>
        <v>0.21162954751587221</v>
      </c>
      <c r="AG24" s="24">
        <f t="shared" si="0"/>
        <v>0</v>
      </c>
      <c r="AH24" s="24">
        <f t="shared" si="0"/>
        <v>1.5116396251133728</v>
      </c>
      <c r="AI24" s="14">
        <f t="shared" si="123"/>
        <v>100</v>
      </c>
      <c r="AJ24" s="26"/>
      <c r="AK24" s="50">
        <f t="shared" si="70"/>
        <v>0.83183364293141715</v>
      </c>
      <c r="AL24" s="47">
        <f t="shared" si="71"/>
        <v>1.1603741803123095E-2</v>
      </c>
      <c r="AM24" s="47">
        <f t="shared" si="72"/>
        <v>0.14430455424777849</v>
      </c>
      <c r="AN24" s="49">
        <f t="shared" si="73"/>
        <v>0</v>
      </c>
      <c r="AO24" s="49">
        <f t="shared" si="74"/>
        <v>0.12623295408044868</v>
      </c>
      <c r="AP24" s="47">
        <f t="shared" si="75"/>
        <v>0</v>
      </c>
      <c r="AQ24" s="47">
        <f t="shared" si="76"/>
        <v>0.21744816035857048</v>
      </c>
      <c r="AR24" s="47">
        <f t="shared" si="77"/>
        <v>0.22282847540900885</v>
      </c>
      <c r="AS24" s="47">
        <f t="shared" si="78"/>
        <v>3.7396699341301035E-2</v>
      </c>
      <c r="AT24" s="47">
        <f t="shared" si="79"/>
        <v>2.2465981689583038E-3</v>
      </c>
      <c r="AU24" s="47">
        <f t="shared" si="80"/>
        <v>0</v>
      </c>
      <c r="AV24" s="47">
        <f t="shared" si="81"/>
        <v>8.3886771648910813E-2</v>
      </c>
      <c r="AW24" s="47">
        <f t="shared" si="82"/>
        <v>1.6777815979895172</v>
      </c>
      <c r="AX24" s="47">
        <f t="shared" si="83"/>
        <v>8.9838607425848233E-2</v>
      </c>
      <c r="AY24" s="46">
        <f t="shared" si="84"/>
        <v>1.8202954008300815E-2</v>
      </c>
      <c r="AZ24" s="26"/>
      <c r="BA24" s="23">
        <f t="shared" si="85"/>
        <v>0.49579375761910965</v>
      </c>
      <c r="BB24" s="13">
        <f t="shared" si="6"/>
        <v>6.9161217509047888E-3</v>
      </c>
      <c r="BC24" s="13">
        <f t="shared" si="7"/>
        <v>8.6009141130584804E-2</v>
      </c>
      <c r="BD24" s="13">
        <f t="shared" si="8"/>
        <v>0</v>
      </c>
      <c r="BE24" s="13">
        <f t="shared" si="9"/>
        <v>7.523801323826261E-2</v>
      </c>
      <c r="BF24" s="13">
        <f t="shared" si="10"/>
        <v>5.354606793488597E-2</v>
      </c>
      <c r="BG24" s="13">
        <f t="shared" si="11"/>
        <v>1.0849418082850225E-2</v>
      </c>
      <c r="BH24" s="13">
        <f t="shared" si="12"/>
        <v>0</v>
      </c>
      <c r="BI24" s="13">
        <f t="shared" si="13"/>
        <v>0.12960456868709147</v>
      </c>
      <c r="BJ24" s="13">
        <f t="shared" si="14"/>
        <v>0.13281137168033302</v>
      </c>
      <c r="BK24" s="13">
        <f t="shared" si="15"/>
        <v>2.2289372696728486E-2</v>
      </c>
      <c r="BL24" s="13">
        <f t="shared" si="16"/>
        <v>1.3390289723348965E-3</v>
      </c>
      <c r="BM24" s="13">
        <f t="shared" si="17"/>
        <v>0</v>
      </c>
      <c r="BN24" s="13">
        <f t="shared" si="86"/>
        <v>4.9998624224650089E-2</v>
      </c>
      <c r="BO24" s="12">
        <f t="shared" si="87"/>
        <v>0.9500013757753496</v>
      </c>
      <c r="BP24" s="13"/>
      <c r="BQ24" s="23">
        <f t="shared" si="88"/>
        <v>1.6636672858628343</v>
      </c>
      <c r="BR24" s="13">
        <f t="shared" si="18"/>
        <v>2.320748360624619E-2</v>
      </c>
      <c r="BS24" s="13">
        <f t="shared" si="19"/>
        <v>0.43274389267951457</v>
      </c>
      <c r="BT24" s="13">
        <f t="shared" si="20"/>
        <v>0</v>
      </c>
      <c r="BU24" s="13">
        <f t="shared" si="21"/>
        <v>0.12623295408044868</v>
      </c>
      <c r="BV24" s="13">
        <f t="shared" si="89"/>
        <v>8.9838607425848233E-2</v>
      </c>
      <c r="BW24" s="24">
        <f t="shared" si="90"/>
        <v>5.4608862024902449E-2</v>
      </c>
      <c r="BX24" s="13">
        <f t="shared" si="22"/>
        <v>0</v>
      </c>
      <c r="BY24" s="13">
        <f t="shared" si="23"/>
        <v>0.21755607507835142</v>
      </c>
      <c r="BZ24" s="13">
        <f t="shared" si="24"/>
        <v>0.22274903566733004</v>
      </c>
      <c r="CA24" s="13">
        <f t="shared" si="25"/>
        <v>3.7384635889900611E-2</v>
      </c>
      <c r="CB24" s="13">
        <f t="shared" si="26"/>
        <v>2.2465981689583038E-3</v>
      </c>
      <c r="CC24" s="13">
        <f t="shared" si="27"/>
        <v>0</v>
      </c>
      <c r="CD24" s="13">
        <f t="shared" si="91"/>
        <v>8.3886771648910813E-2</v>
      </c>
      <c r="CE24" s="12">
        <f t="shared" si="92"/>
        <v>2.8096747326824949</v>
      </c>
      <c r="CF24" s="13"/>
      <c r="CG24" s="23">
        <f t="shared" si="28"/>
        <v>0.59212095496708006</v>
      </c>
      <c r="CH24" s="13">
        <f t="shared" si="28"/>
        <v>8.2598470692332396E-3</v>
      </c>
      <c r="CI24" s="13">
        <f t="shared" si="28"/>
        <v>0.15401921355727852</v>
      </c>
      <c r="CJ24" s="13">
        <f t="shared" si="28"/>
        <v>0</v>
      </c>
      <c r="CK24" s="13">
        <f t="shared" si="28"/>
        <v>4.4927960027575743E-2</v>
      </c>
      <c r="CL24" s="13">
        <f t="shared" si="28"/>
        <v>3.1974735858508491E-2</v>
      </c>
      <c r="CM24" s="13">
        <f t="shared" si="28"/>
        <v>1.9436008513613764E-2</v>
      </c>
      <c r="CN24" s="13">
        <f t="shared" si="28"/>
        <v>0</v>
      </c>
      <c r="CO24" s="13">
        <f t="shared" si="28"/>
        <v>7.7431053690205282E-2</v>
      </c>
      <c r="CP24" s="13">
        <f t="shared" si="28"/>
        <v>7.9279296310097697E-2</v>
      </c>
      <c r="CQ24" s="13">
        <f t="shared" si="28"/>
        <v>1.3305681065155962E-2</v>
      </c>
      <c r="CR24" s="13">
        <f t="shared" si="28"/>
        <v>7.9959368350563406E-4</v>
      </c>
      <c r="CS24" s="13">
        <f t="shared" si="28"/>
        <v>0</v>
      </c>
      <c r="CT24" s="13">
        <f t="shared" si="28"/>
        <v>2.9856399629867893E-2</v>
      </c>
      <c r="CU24" s="12">
        <f t="shared" si="29"/>
        <v>1</v>
      </c>
      <c r="CV24" s="26"/>
      <c r="CW24" s="23">
        <f t="shared" si="30"/>
        <v>0.83183364293141715</v>
      </c>
      <c r="CX24" s="13">
        <f t="shared" si="31"/>
        <v>1.1603741803123095E-2</v>
      </c>
      <c r="CY24" s="13">
        <f t="shared" si="32"/>
        <v>0.2884959284530097</v>
      </c>
      <c r="CZ24" s="13">
        <f t="shared" si="33"/>
        <v>0</v>
      </c>
      <c r="DA24" s="13">
        <f t="shared" si="34"/>
        <v>0.17270194986072424</v>
      </c>
      <c r="DB24" s="13">
        <f t="shared" si="35"/>
        <v>8.9838607425848233E-2</v>
      </c>
      <c r="DC24" s="24">
        <f t="shared" si="36"/>
        <v>3.6405908016601631E-2</v>
      </c>
      <c r="DD24" s="13">
        <f t="shared" si="37"/>
        <v>0</v>
      </c>
      <c r="DE24" s="13">
        <f t="shared" si="38"/>
        <v>0.21755607507835142</v>
      </c>
      <c r="DF24" s="13">
        <f t="shared" si="39"/>
        <v>0.22274903566733004</v>
      </c>
      <c r="DG24" s="13">
        <f t="shared" si="40"/>
        <v>7.4769271779801222E-2</v>
      </c>
      <c r="DH24" s="13">
        <f t="shared" si="41"/>
        <v>4.4931963379166075E-3</v>
      </c>
      <c r="DI24" s="13">
        <f t="shared" si="42"/>
        <v>0</v>
      </c>
      <c r="DJ24" s="13">
        <f t="shared" si="93"/>
        <v>0.16777354329782163</v>
      </c>
      <c r="DK24" s="12">
        <f t="shared" si="94"/>
        <v>1.9919763852094952</v>
      </c>
      <c r="DL24" s="26"/>
      <c r="DM24" s="23">
        <f t="shared" si="95"/>
        <v>0.41759212062342477</v>
      </c>
      <c r="DN24" s="13">
        <f t="shared" si="43"/>
        <v>5.8252406450605265E-3</v>
      </c>
      <c r="DO24" s="13">
        <f t="shared" si="43"/>
        <v>0.14482899024059903</v>
      </c>
      <c r="DP24" s="13">
        <f t="shared" si="43"/>
        <v>0</v>
      </c>
      <c r="DQ24" s="13">
        <f t="shared" si="43"/>
        <v>8.6698793792458165E-2</v>
      </c>
      <c r="DR24" s="13">
        <f t="shared" si="43"/>
        <v>4.5100237177962306E-2</v>
      </c>
      <c r="DS24" s="13">
        <f t="shared" si="43"/>
        <v>1.8276274903114797E-2</v>
      </c>
      <c r="DT24" s="13">
        <f t="shared" si="43"/>
        <v>0</v>
      </c>
      <c r="DU24" s="13">
        <f t="shared" si="43"/>
        <v>0.10921619186538256</v>
      </c>
      <c r="DV24" s="13">
        <f t="shared" si="43"/>
        <v>0.11182313069635293</v>
      </c>
      <c r="DW24" s="13">
        <f t="shared" si="43"/>
        <v>3.753521996293032E-2</v>
      </c>
      <c r="DX24" s="13">
        <f t="shared" si="43"/>
        <v>2.2556473918459935E-3</v>
      </c>
      <c r="DY24" s="13">
        <f t="shared" si="43"/>
        <v>0</v>
      </c>
      <c r="DZ24" s="13">
        <f t="shared" si="43"/>
        <v>8.422466478194568E-2</v>
      </c>
      <c r="EA24" s="12">
        <f t="shared" si="44"/>
        <v>1</v>
      </c>
      <c r="EB24" s="26"/>
      <c r="EC24" s="30">
        <f t="shared" si="45"/>
        <v>1323</v>
      </c>
      <c r="ED24" s="14">
        <f t="shared" si="96"/>
        <v>100000</v>
      </c>
      <c r="EE24" s="29"/>
      <c r="EF24" s="128">
        <f t="shared" si="124"/>
        <v>-8.7342365835222964</v>
      </c>
      <c r="EG24" s="13">
        <f t="shared" si="97"/>
        <v>1.5</v>
      </c>
      <c r="EH24" s="13">
        <f t="shared" si="98"/>
        <v>0.74926606198035017</v>
      </c>
      <c r="EI24" s="12">
        <f t="shared" si="46"/>
        <v>5.3414996220710531</v>
      </c>
      <c r="EJ24" s="29"/>
      <c r="EK24" s="28">
        <f t="shared" si="99"/>
        <v>-1.5967485393734544</v>
      </c>
      <c r="EL24" s="24">
        <f t="shared" si="100"/>
        <v>-0.69333414649303271</v>
      </c>
      <c r="EM24" s="24">
        <f t="shared" si="101"/>
        <v>0.20255404495578325</v>
      </c>
      <c r="EN24" s="24">
        <f t="shared" si="102"/>
        <v>5.3546067934885977E-2</v>
      </c>
      <c r="EO24" s="24">
        <f t="shared" si="103"/>
        <v>1.0845972651688318E-2</v>
      </c>
      <c r="EP24" s="24">
        <f t="shared" si="104"/>
        <v>0.28831097964645758</v>
      </c>
      <c r="EQ24" s="24">
        <f t="shared" si="105"/>
        <v>-1.5964309206466907</v>
      </c>
      <c r="ER24" s="24">
        <f t="shared" si="47"/>
        <v>-20.109295756269134</v>
      </c>
      <c r="ES24" s="25">
        <f t="shared" si="48"/>
        <v>-8.7317827860482566</v>
      </c>
      <c r="ET24" s="26">
        <v>1.5</v>
      </c>
      <c r="EU24" s="26">
        <v>0.29083888041780526</v>
      </c>
      <c r="EV24" s="26">
        <v>0.3208572572520082</v>
      </c>
      <c r="EW24" s="26">
        <v>0.28831097964645758</v>
      </c>
      <c r="EX24" s="26">
        <v>0.32012980035322436</v>
      </c>
      <c r="EY24" s="26">
        <f t="shared" si="106"/>
        <v>0.99773277093678925</v>
      </c>
      <c r="EZ24" s="26">
        <f t="shared" si="107"/>
        <v>1.0087679656683473</v>
      </c>
      <c r="FA24" s="23">
        <f t="shared" si="125"/>
        <v>-1.2176967634722189</v>
      </c>
      <c r="FB24" s="190">
        <f t="shared" si="108"/>
        <v>5.7116461015574771E-2</v>
      </c>
      <c r="FC24" s="124">
        <v>6.2646889236044334E-2</v>
      </c>
      <c r="FD24" s="26"/>
      <c r="FE24" s="27">
        <f t="shared" si="109"/>
        <v>0.88818423022188309</v>
      </c>
      <c r="FF24" s="26"/>
      <c r="FG24" s="23">
        <f t="shared" si="49"/>
        <v>-3.9610706495790953</v>
      </c>
      <c r="FH24" s="13">
        <f t="shared" si="50"/>
        <v>14.838211719752305</v>
      </c>
      <c r="FI24" s="13">
        <f t="shared" si="51"/>
        <v>-21.845149910644157</v>
      </c>
      <c r="FJ24" s="13">
        <f t="shared" si="52"/>
        <v>0.42178636817218518</v>
      </c>
      <c r="FK24" s="12">
        <f t="shared" si="53"/>
        <v>0.60391063295931158</v>
      </c>
      <c r="FL24" s="13"/>
      <c r="FM24" s="23">
        <f t="shared" si="54"/>
        <v>-6.0482413727031217</v>
      </c>
      <c r="FN24" s="13">
        <f t="shared" si="55"/>
        <v>11.423392218720494</v>
      </c>
      <c r="FO24" s="13">
        <f t="shared" si="56"/>
        <v>11.94258178036236</v>
      </c>
      <c r="FP24" s="24">
        <f t="shared" si="110"/>
        <v>0.50181927848706931</v>
      </c>
      <c r="FQ24" s="25">
        <f t="shared" si="57"/>
        <v>0.76901457178815602</v>
      </c>
      <c r="FR24" s="13"/>
      <c r="FS24" s="23">
        <f t="shared" si="111"/>
        <v>10.917145190515953</v>
      </c>
      <c r="FT24" s="13">
        <f t="shared" si="126"/>
        <v>-6.2242280748939987</v>
      </c>
      <c r="FU24" s="13">
        <f t="shared" si="112"/>
        <v>-0.32709990163463942</v>
      </c>
      <c r="FV24" s="13">
        <f t="shared" si="58"/>
        <v>0.32012980035322436</v>
      </c>
      <c r="FW24" s="23">
        <f t="shared" si="113"/>
        <v>-0.32718244131718066</v>
      </c>
      <c r="FX24" s="13">
        <f t="shared" si="114"/>
        <v>0.3200884369994369</v>
      </c>
      <c r="FY24" s="13">
        <f t="shared" si="115"/>
        <v>-0.32715009059911537</v>
      </c>
      <c r="FZ24" s="13">
        <f t="shared" si="116"/>
        <v>0.32010464867286248</v>
      </c>
      <c r="GA24" s="13">
        <f t="shared" si="117"/>
        <v>-0.32719075575406364</v>
      </c>
      <c r="GB24" s="12">
        <f t="shared" si="118"/>
        <v>0.32008427051804467</v>
      </c>
      <c r="GC24" s="22"/>
      <c r="GD24" s="11">
        <f t="shared" si="59"/>
        <v>1.5</v>
      </c>
      <c r="GE24" s="10">
        <f t="shared" si="60"/>
        <v>0.74926606198035017</v>
      </c>
      <c r="GF24" s="10">
        <f t="shared" si="61"/>
        <v>5.3414996220710531</v>
      </c>
      <c r="GG24" s="5">
        <f t="shared" si="62"/>
        <v>-8.7342365835222964</v>
      </c>
      <c r="GH24" s="10">
        <f t="shared" si="63"/>
        <v>0.28831097964645758</v>
      </c>
      <c r="GI24" s="9">
        <f t="shared" si="119"/>
        <v>10.917145190515953</v>
      </c>
      <c r="GJ24" s="8">
        <f t="shared" si="120"/>
        <v>-6.2242280748939987</v>
      </c>
      <c r="GK24" s="8">
        <f t="shared" si="121"/>
        <v>0.32012980035322436</v>
      </c>
      <c r="GL24" s="7">
        <f t="shared" si="122"/>
        <v>0.3200884369994369</v>
      </c>
      <c r="GM24" s="6">
        <f t="shared" si="64"/>
        <v>0.50181927848706931</v>
      </c>
      <c r="GN24" s="5">
        <f t="shared" si="65"/>
        <v>0.76901457178815602</v>
      </c>
      <c r="GO24" s="4">
        <f t="shared" si="66"/>
        <v>0.60391063295931158</v>
      </c>
      <c r="GP24" s="4">
        <f t="shared" si="67"/>
        <v>0.88818423022188309</v>
      </c>
      <c r="GQ24" s="4">
        <f t="shared" si="68"/>
        <v>5.7116461015574771E-2</v>
      </c>
      <c r="GR24" s="1"/>
    </row>
    <row r="25" spans="1:200" x14ac:dyDescent="0.4">
      <c r="A25" s="34"/>
      <c r="B25" s="21"/>
      <c r="C25" s="21"/>
      <c r="D25" s="34"/>
      <c r="E25" s="34"/>
      <c r="F25" s="20" t="s">
        <v>134</v>
      </c>
      <c r="G25" s="19">
        <v>1050</v>
      </c>
      <c r="H25" s="18">
        <v>1E-4</v>
      </c>
      <c r="I25" s="17">
        <v>1.5</v>
      </c>
      <c r="J25" s="16">
        <v>49.6</v>
      </c>
      <c r="K25" s="16">
        <v>0.92</v>
      </c>
      <c r="L25" s="16">
        <v>14.6</v>
      </c>
      <c r="M25" s="16">
        <v>0</v>
      </c>
      <c r="N25" s="16">
        <v>9</v>
      </c>
      <c r="O25" s="16">
        <v>0</v>
      </c>
      <c r="P25" s="16">
        <v>8.6999999999999993</v>
      </c>
      <c r="Q25" s="16">
        <v>12.4</v>
      </c>
      <c r="R25" s="16">
        <v>2.2999999999999998</v>
      </c>
      <c r="S25" s="16">
        <v>0.21</v>
      </c>
      <c r="T25" s="16">
        <v>0</v>
      </c>
      <c r="U25" s="15">
        <v>1.6</v>
      </c>
      <c r="V25" s="16"/>
      <c r="W25" s="28">
        <f t="shared" si="69"/>
        <v>49.934561562468545</v>
      </c>
      <c r="X25" s="24">
        <f t="shared" ref="X25:AH48" si="127">IF(K25="","",K25/SUM($J25:$U25)*100)</f>
        <v>0.92620557736836817</v>
      </c>
      <c r="Y25" s="24">
        <f t="shared" si="127"/>
        <v>14.698479814758885</v>
      </c>
      <c r="Z25" s="24">
        <f t="shared" si="127"/>
        <v>0</v>
      </c>
      <c r="AA25" s="24">
        <f t="shared" si="127"/>
        <v>9.0607067351253399</v>
      </c>
      <c r="AB25" s="24">
        <f t="shared" si="127"/>
        <v>0</v>
      </c>
      <c r="AC25" s="24">
        <f t="shared" si="127"/>
        <v>8.7586831772878284</v>
      </c>
      <c r="AD25" s="24">
        <f t="shared" si="127"/>
        <v>12.483640390617136</v>
      </c>
      <c r="AE25" s="24">
        <f t="shared" si="127"/>
        <v>2.3155139434209202</v>
      </c>
      <c r="AF25" s="24">
        <f t="shared" si="127"/>
        <v>0.21141649048625794</v>
      </c>
      <c r="AG25" s="24">
        <f t="shared" si="127"/>
        <v>0</v>
      </c>
      <c r="AH25" s="24">
        <f t="shared" si="127"/>
        <v>1.6107923084667273</v>
      </c>
      <c r="AI25" s="14">
        <f t="shared" si="123"/>
        <v>100.00000000000001</v>
      </c>
      <c r="AJ25" s="26"/>
      <c r="AK25" s="50">
        <f t="shared" si="70"/>
        <v>0.83099619841019379</v>
      </c>
      <c r="AL25" s="47">
        <f t="shared" si="71"/>
        <v>1.1592059791844406E-2</v>
      </c>
      <c r="AM25" s="47">
        <f t="shared" si="72"/>
        <v>0.14415927633149161</v>
      </c>
      <c r="AN25" s="49">
        <f t="shared" si="73"/>
        <v>0</v>
      </c>
      <c r="AO25" s="49">
        <f t="shared" si="74"/>
        <v>0.12610586966075629</v>
      </c>
      <c r="AP25" s="47">
        <f t="shared" si="75"/>
        <v>0</v>
      </c>
      <c r="AQ25" s="47">
        <f t="shared" si="76"/>
        <v>0.21722924546844813</v>
      </c>
      <c r="AR25" s="47">
        <f t="shared" si="77"/>
        <v>0.22260414391257377</v>
      </c>
      <c r="AS25" s="47">
        <f t="shared" si="78"/>
        <v>3.735905039401291E-2</v>
      </c>
      <c r="AT25" s="47">
        <f t="shared" si="79"/>
        <v>2.2443364170515703E-3</v>
      </c>
      <c r="AU25" s="47">
        <f t="shared" si="80"/>
        <v>0</v>
      </c>
      <c r="AV25" s="47">
        <f t="shared" si="81"/>
        <v>8.9389140314468776E-2</v>
      </c>
      <c r="AW25" s="47">
        <f t="shared" si="82"/>
        <v>1.6816793207008414</v>
      </c>
      <c r="AX25" s="47">
        <f t="shared" si="83"/>
        <v>8.9768230007039818E-2</v>
      </c>
      <c r="AY25" s="46">
        <f t="shared" si="84"/>
        <v>1.8174591500825798E-2</v>
      </c>
      <c r="AZ25" s="26"/>
      <c r="BA25" s="23">
        <f t="shared" si="85"/>
        <v>0.49414664744992842</v>
      </c>
      <c r="BB25" s="13">
        <f t="shared" si="6"/>
        <v>6.893145232358215E-3</v>
      </c>
      <c r="BC25" s="13">
        <f t="shared" si="7"/>
        <v>8.5723404311954729E-2</v>
      </c>
      <c r="BD25" s="13">
        <f t="shared" si="8"/>
        <v>0</v>
      </c>
      <c r="BE25" s="13">
        <f t="shared" si="9"/>
        <v>7.4988059916323138E-2</v>
      </c>
      <c r="BF25" s="13">
        <f t="shared" si="10"/>
        <v>5.3380111714538311E-2</v>
      </c>
      <c r="BG25" s="13">
        <f t="shared" si="11"/>
        <v>1.080740619040943E-2</v>
      </c>
      <c r="BH25" s="13">
        <f t="shared" si="12"/>
        <v>0</v>
      </c>
      <c r="BI25" s="13">
        <f t="shared" si="13"/>
        <v>0.12917400053294206</v>
      </c>
      <c r="BJ25" s="13">
        <f t="shared" si="14"/>
        <v>0.13237014998781296</v>
      </c>
      <c r="BK25" s="13">
        <f t="shared" si="15"/>
        <v>2.2215323655430032E-2</v>
      </c>
      <c r="BL25" s="13">
        <f t="shared" si="16"/>
        <v>1.3345804930967702E-3</v>
      </c>
      <c r="BM25" s="13">
        <f t="shared" si="17"/>
        <v>0</v>
      </c>
      <c r="BN25" s="13">
        <f t="shared" si="86"/>
        <v>5.3154688420153598E-2</v>
      </c>
      <c r="BO25" s="12">
        <f t="shared" si="87"/>
        <v>0.94684531157984619</v>
      </c>
      <c r="BP25" s="13"/>
      <c r="BQ25" s="23">
        <f t="shared" si="88"/>
        <v>1.6619923968203876</v>
      </c>
      <c r="BR25" s="13">
        <f t="shared" si="18"/>
        <v>2.3184119583688812E-2</v>
      </c>
      <c r="BS25" s="13">
        <f t="shared" si="19"/>
        <v>0.43230822984584955</v>
      </c>
      <c r="BT25" s="13">
        <f t="shared" si="20"/>
        <v>0</v>
      </c>
      <c r="BU25" s="13">
        <f t="shared" si="21"/>
        <v>0.12610586966075629</v>
      </c>
      <c r="BV25" s="13">
        <f t="shared" si="89"/>
        <v>8.9768230007039818E-2</v>
      </c>
      <c r="BW25" s="24">
        <f t="shared" si="90"/>
        <v>5.452377450247739E-2</v>
      </c>
      <c r="BX25" s="13">
        <f t="shared" si="22"/>
        <v>0</v>
      </c>
      <c r="BY25" s="13">
        <f t="shared" si="23"/>
        <v>0.2173370515456037</v>
      </c>
      <c r="BZ25" s="13">
        <f t="shared" si="24"/>
        <v>0.222524784146473</v>
      </c>
      <c r="CA25" s="13">
        <f t="shared" si="25"/>
        <v>3.7346999087434198E-2</v>
      </c>
      <c r="CB25" s="13">
        <f t="shared" si="26"/>
        <v>2.2443364170515703E-3</v>
      </c>
      <c r="CC25" s="13">
        <f t="shared" si="27"/>
        <v>0</v>
      </c>
      <c r="CD25" s="13">
        <f t="shared" si="91"/>
        <v>8.9389140314468776E-2</v>
      </c>
      <c r="CE25" s="12">
        <f t="shared" si="92"/>
        <v>2.8124329274217135</v>
      </c>
      <c r="CF25" s="13"/>
      <c r="CG25" s="23">
        <f t="shared" si="28"/>
        <v>0.59094472284678179</v>
      </c>
      <c r="CH25" s="13">
        <f t="shared" si="28"/>
        <v>8.243439108410227E-3</v>
      </c>
      <c r="CI25" s="13">
        <f t="shared" si="28"/>
        <v>0.15371325859214938</v>
      </c>
      <c r="CJ25" s="13">
        <f t="shared" si="28"/>
        <v>0</v>
      </c>
      <c r="CK25" s="13">
        <f t="shared" si="28"/>
        <v>4.4838711860895233E-2</v>
      </c>
      <c r="CL25" s="13">
        <f t="shared" si="28"/>
        <v>3.1918354081188517E-2</v>
      </c>
      <c r="CM25" s="13">
        <f t="shared" si="28"/>
        <v>1.9386693268614887E-2</v>
      </c>
      <c r="CN25" s="13">
        <f t="shared" si="28"/>
        <v>0</v>
      </c>
      <c r="CO25" s="13">
        <f t="shared" si="28"/>
        <v>7.7277239014850591E-2</v>
      </c>
      <c r="CP25" s="13">
        <f t="shared" si="28"/>
        <v>7.9121810151210142E-2</v>
      </c>
      <c r="CQ25" s="13">
        <f t="shared" si="28"/>
        <v>1.3279249692781797E-2</v>
      </c>
      <c r="CR25" s="13">
        <f t="shared" si="28"/>
        <v>7.9800531247124057E-4</v>
      </c>
      <c r="CS25" s="13">
        <f t="shared" si="28"/>
        <v>0</v>
      </c>
      <c r="CT25" s="13">
        <f t="shared" si="28"/>
        <v>3.1783563420449606E-2</v>
      </c>
      <c r="CU25" s="12">
        <f t="shared" si="29"/>
        <v>1</v>
      </c>
      <c r="CV25" s="26"/>
      <c r="CW25" s="23">
        <f t="shared" si="30"/>
        <v>0.83099619841019379</v>
      </c>
      <c r="CX25" s="13">
        <f t="shared" si="31"/>
        <v>1.1592059791844406E-2</v>
      </c>
      <c r="CY25" s="13">
        <f t="shared" si="32"/>
        <v>0.28820548656389972</v>
      </c>
      <c r="CZ25" s="13">
        <f t="shared" si="33"/>
        <v>0</v>
      </c>
      <c r="DA25" s="13">
        <f t="shared" si="34"/>
        <v>0.17270194986072424</v>
      </c>
      <c r="DB25" s="13">
        <f t="shared" si="35"/>
        <v>8.9768230007039818E-2</v>
      </c>
      <c r="DC25" s="24">
        <f t="shared" si="36"/>
        <v>3.6349183001651596E-2</v>
      </c>
      <c r="DD25" s="13">
        <f t="shared" si="37"/>
        <v>0</v>
      </c>
      <c r="DE25" s="13">
        <f t="shared" si="38"/>
        <v>0.2173370515456037</v>
      </c>
      <c r="DF25" s="13">
        <f t="shared" si="39"/>
        <v>0.222524784146473</v>
      </c>
      <c r="DG25" s="13">
        <f t="shared" si="40"/>
        <v>7.4693998174868395E-2</v>
      </c>
      <c r="DH25" s="13">
        <f t="shared" si="41"/>
        <v>4.4886728341031407E-3</v>
      </c>
      <c r="DI25" s="13">
        <f t="shared" si="42"/>
        <v>0</v>
      </c>
      <c r="DJ25" s="13">
        <f t="shared" si="93"/>
        <v>0.17877828062893755</v>
      </c>
      <c r="DK25" s="12">
        <f t="shared" si="94"/>
        <v>2.0013184819566483</v>
      </c>
      <c r="DL25" s="26"/>
      <c r="DM25" s="23">
        <f t="shared" si="95"/>
        <v>0.41522436628764142</v>
      </c>
      <c r="DN25" s="13">
        <f t="shared" si="95"/>
        <v>5.7922114327905901E-3</v>
      </c>
      <c r="DO25" s="13">
        <f t="shared" si="95"/>
        <v>0.1440078074340907</v>
      </c>
      <c r="DP25" s="13">
        <f t="shared" si="95"/>
        <v>0</v>
      </c>
      <c r="DQ25" s="13">
        <f t="shared" si="95"/>
        <v>8.6294086332464714E-2</v>
      </c>
      <c r="DR25" s="13">
        <f t="shared" si="95"/>
        <v>4.4854545049359283E-2</v>
      </c>
      <c r="DS25" s="13">
        <f t="shared" si="95"/>
        <v>1.8162617958793714E-2</v>
      </c>
      <c r="DT25" s="13">
        <f t="shared" si="95"/>
        <v>0</v>
      </c>
      <c r="DU25" s="13">
        <f t="shared" si="95"/>
        <v>0.10859693422364125</v>
      </c>
      <c r="DV25" s="13">
        <f t="shared" si="95"/>
        <v>0.11118909166766654</v>
      </c>
      <c r="DW25" s="13">
        <f t="shared" si="95"/>
        <v>3.7322394635481301E-2</v>
      </c>
      <c r="DX25" s="13">
        <f t="shared" si="95"/>
        <v>2.2428578332593305E-3</v>
      </c>
      <c r="DY25" s="13">
        <f t="shared" si="95"/>
        <v>0</v>
      </c>
      <c r="DZ25" s="13">
        <f t="shared" si="95"/>
        <v>8.9330250152963989E-2</v>
      </c>
      <c r="EA25" s="12">
        <f t="shared" si="44"/>
        <v>1</v>
      </c>
      <c r="EB25" s="26"/>
      <c r="EC25" s="30">
        <f t="shared" si="45"/>
        <v>1323</v>
      </c>
      <c r="ED25" s="14">
        <f t="shared" si="96"/>
        <v>100000</v>
      </c>
      <c r="EE25" s="29"/>
      <c r="EF25" s="128">
        <f t="shared" si="124"/>
        <v>-8.7342365835222964</v>
      </c>
      <c r="EG25" s="13">
        <f t="shared" si="97"/>
        <v>1.5</v>
      </c>
      <c r="EH25" s="13">
        <f t="shared" si="98"/>
        <v>0.74926606198035017</v>
      </c>
      <c r="EI25" s="12">
        <f t="shared" si="46"/>
        <v>5.3414996220710531</v>
      </c>
      <c r="EJ25" s="29"/>
      <c r="EK25" s="28">
        <f t="shared" si="99"/>
        <v>-1.5975241980407444</v>
      </c>
      <c r="EL25" s="24">
        <f t="shared" si="100"/>
        <v>-0.69367095008282431</v>
      </c>
      <c r="EM25" s="24">
        <f t="shared" si="101"/>
        <v>0.20239699307242004</v>
      </c>
      <c r="EN25" s="24">
        <f t="shared" si="102"/>
        <v>5.3380111714538298E-2</v>
      </c>
      <c r="EO25" s="24">
        <f t="shared" si="103"/>
        <v>1.0803974100892415E-2</v>
      </c>
      <c r="EP25" s="24">
        <f t="shared" si="104"/>
        <v>0.28815185011982541</v>
      </c>
      <c r="EQ25" s="24">
        <f t="shared" si="105"/>
        <v>-1.5972065793139809</v>
      </c>
      <c r="ER25" s="24">
        <f t="shared" si="47"/>
        <v>-20.109295756269134</v>
      </c>
      <c r="ES25" s="25">
        <f t="shared" si="48"/>
        <v>-8.7317827860482566</v>
      </c>
      <c r="ET25" s="26">
        <v>1.6</v>
      </c>
      <c r="EU25" s="26">
        <v>0.29083888041780526</v>
      </c>
      <c r="EV25" s="26">
        <v>0.32338754294939764</v>
      </c>
      <c r="EW25" s="26">
        <v>0.28815185011982541</v>
      </c>
      <c r="EX25" s="26">
        <v>0.32261367586387057</v>
      </c>
      <c r="EY25" s="26">
        <f t="shared" si="106"/>
        <v>0.99760699785010531</v>
      </c>
      <c r="EZ25" s="26">
        <f t="shared" si="107"/>
        <v>1.0093250496113852</v>
      </c>
      <c r="FA25" s="23">
        <f t="shared" si="125"/>
        <v>-1.2203916777045727</v>
      </c>
      <c r="FB25" s="190">
        <f t="shared" si="108"/>
        <v>5.6783198325940365E-2</v>
      </c>
      <c r="FC25" s="124">
        <v>6.2646889236044334E-2</v>
      </c>
      <c r="FD25" s="26"/>
      <c r="FE25" s="27">
        <f t="shared" si="109"/>
        <v>0.88818423022188309</v>
      </c>
      <c r="FF25" s="26"/>
      <c r="FG25" s="23">
        <f t="shared" si="49"/>
        <v>-3.9877950153189108</v>
      </c>
      <c r="FH25" s="13">
        <f t="shared" si="50"/>
        <v>14.799159167666872</v>
      </c>
      <c r="FI25" s="13">
        <f t="shared" si="51"/>
        <v>-21.845149910644157</v>
      </c>
      <c r="FJ25" s="13">
        <f t="shared" si="52"/>
        <v>0.40945818182656524</v>
      </c>
      <c r="FK25" s="12">
        <f t="shared" si="53"/>
        <v>0.60095795390150941</v>
      </c>
      <c r="FL25" s="13"/>
      <c r="FM25" s="23">
        <f t="shared" si="54"/>
        <v>-6.0489753818750751</v>
      </c>
      <c r="FN25" s="13">
        <f t="shared" si="55"/>
        <v>11.418888718554935</v>
      </c>
      <c r="FO25" s="13">
        <f t="shared" si="56"/>
        <v>11.938166211993263</v>
      </c>
      <c r="FP25" s="24">
        <f t="shared" si="110"/>
        <v>0.49964939313061973</v>
      </c>
      <c r="FQ25" s="25">
        <f t="shared" si="57"/>
        <v>0.76750534138128756</v>
      </c>
      <c r="FR25" s="13"/>
      <c r="FS25" s="23">
        <f t="shared" si="111"/>
        <v>10.923909264402226</v>
      </c>
      <c r="FT25" s="13">
        <f t="shared" si="126"/>
        <v>-6.2224102518378679</v>
      </c>
      <c r="FU25" s="13">
        <f t="shared" si="112"/>
        <v>-0.32215365080449843</v>
      </c>
      <c r="FV25" s="13">
        <f t="shared" si="58"/>
        <v>0.32261367586387057</v>
      </c>
      <c r="FW25" s="23">
        <f t="shared" si="113"/>
        <v>-0.32223619048703966</v>
      </c>
      <c r="FX25" s="13">
        <f t="shared" si="114"/>
        <v>0.32257214384541577</v>
      </c>
      <c r="FY25" s="13">
        <f t="shared" si="115"/>
        <v>-0.32220383976897438</v>
      </c>
      <c r="FZ25" s="13">
        <f t="shared" si="116"/>
        <v>0.32258842162880397</v>
      </c>
      <c r="GA25" s="13">
        <f t="shared" si="117"/>
        <v>-0.32224450492392265</v>
      </c>
      <c r="GB25" s="12">
        <f t="shared" si="118"/>
        <v>0.32256796037245872</v>
      </c>
      <c r="GC25" s="22"/>
      <c r="GD25" s="11">
        <f t="shared" si="59"/>
        <v>1.5</v>
      </c>
      <c r="GE25" s="10">
        <f t="shared" si="60"/>
        <v>0.74926606198035017</v>
      </c>
      <c r="GF25" s="10">
        <f t="shared" si="61"/>
        <v>5.3414996220710531</v>
      </c>
      <c r="GG25" s="5">
        <f t="shared" si="62"/>
        <v>-8.7342365835222964</v>
      </c>
      <c r="GH25" s="10">
        <f t="shared" si="63"/>
        <v>0.28815185011982541</v>
      </c>
      <c r="GI25" s="9">
        <f t="shared" si="119"/>
        <v>10.923909264402226</v>
      </c>
      <c r="GJ25" s="8">
        <f t="shared" si="120"/>
        <v>-6.2224102518378679</v>
      </c>
      <c r="GK25" s="8">
        <f t="shared" si="121"/>
        <v>0.32261367586387057</v>
      </c>
      <c r="GL25" s="7">
        <f t="shared" si="122"/>
        <v>0.32257214384541577</v>
      </c>
      <c r="GM25" s="6">
        <f t="shared" si="64"/>
        <v>0.49964939313061973</v>
      </c>
      <c r="GN25" s="5">
        <f t="shared" si="65"/>
        <v>0.76750534138128756</v>
      </c>
      <c r="GO25" s="4">
        <f t="shared" si="66"/>
        <v>0.60095795390150941</v>
      </c>
      <c r="GP25" s="4">
        <f t="shared" si="67"/>
        <v>0.88818423022188309</v>
      </c>
      <c r="GQ25" s="4">
        <f t="shared" si="68"/>
        <v>5.6783198325940365E-2</v>
      </c>
      <c r="GR25" s="1"/>
    </row>
    <row r="26" spans="1:200" x14ac:dyDescent="0.4">
      <c r="A26" s="34"/>
      <c r="B26" s="21"/>
      <c r="C26" s="21"/>
      <c r="D26" s="34"/>
      <c r="E26" s="34"/>
      <c r="F26" s="20" t="s">
        <v>134</v>
      </c>
      <c r="G26" s="19">
        <v>1050</v>
      </c>
      <c r="H26" s="18">
        <v>1E-4</v>
      </c>
      <c r="I26" s="17">
        <v>1.5</v>
      </c>
      <c r="J26" s="16">
        <v>49.6</v>
      </c>
      <c r="K26" s="16">
        <v>0.92</v>
      </c>
      <c r="L26" s="16">
        <v>14.6</v>
      </c>
      <c r="M26" s="16">
        <v>0</v>
      </c>
      <c r="N26" s="16">
        <v>9</v>
      </c>
      <c r="O26" s="16">
        <v>0</v>
      </c>
      <c r="P26" s="16">
        <v>8.6999999999999993</v>
      </c>
      <c r="Q26" s="16">
        <v>12.4</v>
      </c>
      <c r="R26" s="16">
        <v>2.2999999999999998</v>
      </c>
      <c r="S26" s="16">
        <v>0.21</v>
      </c>
      <c r="T26" s="16">
        <v>0</v>
      </c>
      <c r="U26" s="15">
        <v>1.7</v>
      </c>
      <c r="V26" s="16"/>
      <c r="W26" s="28">
        <f t="shared" si="69"/>
        <v>49.884340742230712</v>
      </c>
      <c r="X26" s="24">
        <f t="shared" si="127"/>
        <v>0.92527406215427932</v>
      </c>
      <c r="Y26" s="24">
        <f t="shared" si="127"/>
        <v>14.68369707331791</v>
      </c>
      <c r="Z26" s="24">
        <f t="shared" si="127"/>
        <v>0</v>
      </c>
      <c r="AA26" s="24">
        <f t="shared" si="127"/>
        <v>9.0515940862918622</v>
      </c>
      <c r="AB26" s="24">
        <f t="shared" si="127"/>
        <v>0</v>
      </c>
      <c r="AC26" s="24">
        <f t="shared" si="127"/>
        <v>8.7498742834154672</v>
      </c>
      <c r="AD26" s="24">
        <f t="shared" si="127"/>
        <v>12.471085185557678</v>
      </c>
      <c r="AE26" s="24">
        <f t="shared" si="127"/>
        <v>2.3131851553856984</v>
      </c>
      <c r="AF26" s="24">
        <f t="shared" si="127"/>
        <v>0.2112038620134768</v>
      </c>
      <c r="AG26" s="24">
        <f t="shared" si="127"/>
        <v>0</v>
      </c>
      <c r="AH26" s="24">
        <f t="shared" si="127"/>
        <v>1.7097455496329073</v>
      </c>
      <c r="AI26" s="14">
        <f t="shared" si="123"/>
        <v>100</v>
      </c>
      <c r="AJ26" s="26"/>
      <c r="AK26" s="50">
        <f t="shared" si="70"/>
        <v>0.83016043837960907</v>
      </c>
      <c r="AL26" s="47">
        <f t="shared" si="71"/>
        <v>1.1580401278526649E-2</v>
      </c>
      <c r="AM26" s="47">
        <f t="shared" si="72"/>
        <v>0.14401429063669979</v>
      </c>
      <c r="AN26" s="49">
        <f t="shared" si="73"/>
        <v>0</v>
      </c>
      <c r="AO26" s="49">
        <f t="shared" si="74"/>
        <v>0.12597904086697095</v>
      </c>
      <c r="AP26" s="47">
        <f t="shared" si="75"/>
        <v>0</v>
      </c>
      <c r="AQ26" s="47">
        <f t="shared" si="76"/>
        <v>0.21701077091804233</v>
      </c>
      <c r="AR26" s="47">
        <f t="shared" si="77"/>
        <v>0.22238026365117117</v>
      </c>
      <c r="AS26" s="47">
        <f t="shared" si="78"/>
        <v>3.7321477176277804E-2</v>
      </c>
      <c r="AT26" s="47">
        <f t="shared" si="79"/>
        <v>2.242079214580433E-3</v>
      </c>
      <c r="AU26" s="47">
        <f t="shared" si="80"/>
        <v>0</v>
      </c>
      <c r="AV26" s="47">
        <f t="shared" si="81"/>
        <v>9.4880441156099185E-2</v>
      </c>
      <c r="AW26" s="47">
        <f t="shared" si="82"/>
        <v>1.6855692032779774</v>
      </c>
      <c r="AX26" s="47">
        <f t="shared" si="83"/>
        <v>8.9697854870171914E-2</v>
      </c>
      <c r="AY26" s="46">
        <f t="shared" si="84"/>
        <v>1.8146355705573821E-2</v>
      </c>
      <c r="AZ26" s="26"/>
      <c r="BA26" s="23">
        <f t="shared" si="85"/>
        <v>0.49251044499696062</v>
      </c>
      <c r="BB26" s="13">
        <f t="shared" si="6"/>
        <v>6.8703208720270227E-3</v>
      </c>
      <c r="BC26" s="13">
        <f t="shared" si="7"/>
        <v>8.5439559738414092E-2</v>
      </c>
      <c r="BD26" s="13">
        <f t="shared" si="8"/>
        <v>0</v>
      </c>
      <c r="BE26" s="13">
        <f t="shared" si="9"/>
        <v>7.4739761869151211E-2</v>
      </c>
      <c r="BF26" s="13">
        <f t="shared" si="10"/>
        <v>5.3215171881245686E-2</v>
      </c>
      <c r="BG26" s="13">
        <f t="shared" si="11"/>
        <v>1.0765713843302343E-2</v>
      </c>
      <c r="BH26" s="13">
        <f t="shared" si="12"/>
        <v>0</v>
      </c>
      <c r="BI26" s="13">
        <f t="shared" si="13"/>
        <v>0.12874628374558275</v>
      </c>
      <c r="BJ26" s="13">
        <f t="shared" si="14"/>
        <v>0.13193185021338877</v>
      </c>
      <c r="BK26" s="13">
        <f t="shared" si="15"/>
        <v>2.2141764991729557E-2</v>
      </c>
      <c r="BL26" s="13">
        <f t="shared" si="16"/>
        <v>1.3301614731808067E-3</v>
      </c>
      <c r="BM26" s="13">
        <f t="shared" si="17"/>
        <v>0</v>
      </c>
      <c r="BN26" s="13">
        <f t="shared" si="86"/>
        <v>5.6289852099565135E-2</v>
      </c>
      <c r="BO26" s="12">
        <f t="shared" si="87"/>
        <v>0.94371014790043484</v>
      </c>
      <c r="BP26" s="13"/>
      <c r="BQ26" s="23">
        <f t="shared" si="88"/>
        <v>1.6603208767592181</v>
      </c>
      <c r="BR26" s="13">
        <f t="shared" si="18"/>
        <v>2.3160802557053297E-2</v>
      </c>
      <c r="BS26" s="13">
        <f t="shared" si="19"/>
        <v>0.43187344333287969</v>
      </c>
      <c r="BT26" s="13">
        <f t="shared" si="20"/>
        <v>0</v>
      </c>
      <c r="BU26" s="13">
        <f t="shared" si="21"/>
        <v>0.12597904086697095</v>
      </c>
      <c r="BV26" s="13">
        <f t="shared" si="89"/>
        <v>8.9697854870171914E-2</v>
      </c>
      <c r="BW26" s="24">
        <f t="shared" si="90"/>
        <v>5.4439067116721467E-2</v>
      </c>
      <c r="BX26" s="13">
        <f t="shared" si="22"/>
        <v>0</v>
      </c>
      <c r="BY26" s="13">
        <f t="shared" si="23"/>
        <v>0.21711846857110342</v>
      </c>
      <c r="BZ26" s="13">
        <f t="shared" si="24"/>
        <v>0.22230098369978035</v>
      </c>
      <c r="CA26" s="13">
        <f t="shared" si="25"/>
        <v>3.7309437990091912E-2</v>
      </c>
      <c r="CB26" s="13">
        <f t="shared" si="26"/>
        <v>2.242079214580433E-3</v>
      </c>
      <c r="CC26" s="13">
        <f t="shared" si="27"/>
        <v>0</v>
      </c>
      <c r="CD26" s="13">
        <f t="shared" si="91"/>
        <v>9.4880441156099185E-2</v>
      </c>
      <c r="CE26" s="12">
        <f t="shared" si="92"/>
        <v>2.8151855741477774</v>
      </c>
      <c r="CF26" s="13"/>
      <c r="CG26" s="23">
        <f t="shared" si="28"/>
        <v>0.58977315456791379</v>
      </c>
      <c r="CH26" s="13">
        <f t="shared" si="28"/>
        <v>8.2270962062828187E-3</v>
      </c>
      <c r="CI26" s="13">
        <f t="shared" si="28"/>
        <v>0.15340851675954539</v>
      </c>
      <c r="CJ26" s="13">
        <f t="shared" si="28"/>
        <v>0</v>
      </c>
      <c r="CK26" s="13">
        <f t="shared" si="28"/>
        <v>4.4749817569347185E-2</v>
      </c>
      <c r="CL26" s="13">
        <f t="shared" si="28"/>
        <v>3.1862146387037223E-2</v>
      </c>
      <c r="CM26" s="13">
        <f t="shared" si="28"/>
        <v>1.9337647797233206E-2</v>
      </c>
      <c r="CN26" s="13">
        <f t="shared" si="28"/>
        <v>0</v>
      </c>
      <c r="CO26" s="13">
        <f t="shared" si="28"/>
        <v>7.7124034225285576E-2</v>
      </c>
      <c r="CP26" s="13">
        <f t="shared" si="28"/>
        <v>7.8964948435797544E-2</v>
      </c>
      <c r="CQ26" s="13">
        <f t="shared" si="28"/>
        <v>1.3252923122620913E-2</v>
      </c>
      <c r="CR26" s="13">
        <f t="shared" si="28"/>
        <v>7.9642323943747927E-4</v>
      </c>
      <c r="CS26" s="13">
        <f t="shared" si="28"/>
        <v>0</v>
      </c>
      <c r="CT26" s="13">
        <f t="shared" si="28"/>
        <v>3.3703085873769342E-2</v>
      </c>
      <c r="CU26" s="12">
        <f t="shared" si="29"/>
        <v>1</v>
      </c>
      <c r="CV26" s="26"/>
      <c r="CW26" s="23">
        <f t="shared" si="30"/>
        <v>0.83016043837960907</v>
      </c>
      <c r="CX26" s="13">
        <f t="shared" si="31"/>
        <v>1.1580401278526649E-2</v>
      </c>
      <c r="CY26" s="13">
        <f t="shared" si="32"/>
        <v>0.28791562888858646</v>
      </c>
      <c r="CZ26" s="13">
        <f t="shared" si="33"/>
        <v>0</v>
      </c>
      <c r="DA26" s="13">
        <f t="shared" si="34"/>
        <v>0.17270194986072424</v>
      </c>
      <c r="DB26" s="13">
        <f t="shared" si="35"/>
        <v>8.9697854870171914E-2</v>
      </c>
      <c r="DC26" s="24">
        <f t="shared" si="36"/>
        <v>3.6292711411147642E-2</v>
      </c>
      <c r="DD26" s="13">
        <f t="shared" si="37"/>
        <v>0</v>
      </c>
      <c r="DE26" s="13">
        <f t="shared" si="38"/>
        <v>0.21711846857110342</v>
      </c>
      <c r="DF26" s="13">
        <f t="shared" si="39"/>
        <v>0.22230098369978035</v>
      </c>
      <c r="DG26" s="13">
        <f t="shared" si="40"/>
        <v>7.4618875980183824E-2</v>
      </c>
      <c r="DH26" s="13">
        <f t="shared" si="41"/>
        <v>4.4841584291608659E-3</v>
      </c>
      <c r="DI26" s="13">
        <f t="shared" si="42"/>
        <v>0</v>
      </c>
      <c r="DJ26" s="13">
        <f t="shared" si="93"/>
        <v>0.18976088231219837</v>
      </c>
      <c r="DK26" s="12">
        <f t="shared" si="94"/>
        <v>2.0106417873998734</v>
      </c>
      <c r="DL26" s="26"/>
      <c r="DM26" s="23">
        <f t="shared" si="95"/>
        <v>0.41288331098159359</v>
      </c>
      <c r="DN26" s="13">
        <f t="shared" si="95"/>
        <v>5.7595546611523578E-3</v>
      </c>
      <c r="DO26" s="13">
        <f t="shared" si="95"/>
        <v>0.14319588436531694</v>
      </c>
      <c r="DP26" s="13">
        <f t="shared" si="95"/>
        <v>0</v>
      </c>
      <c r="DQ26" s="13">
        <f t="shared" si="95"/>
        <v>8.5893942393418257E-2</v>
      </c>
      <c r="DR26" s="13">
        <f t="shared" si="95"/>
        <v>4.4611554097941833E-2</v>
      </c>
      <c r="DS26" s="13">
        <f t="shared" si="95"/>
        <v>1.8050311914625399E-2</v>
      </c>
      <c r="DT26" s="13">
        <f t="shared" si="95"/>
        <v>0</v>
      </c>
      <c r="DU26" s="13">
        <f t="shared" si="95"/>
        <v>0.10798465939170458</v>
      </c>
      <c r="DV26" s="13">
        <f t="shared" si="95"/>
        <v>0.11056220212515133</v>
      </c>
      <c r="DW26" s="13">
        <f t="shared" si="95"/>
        <v>3.7111969147263987E-2</v>
      </c>
      <c r="DX26" s="13">
        <f t="shared" si="95"/>
        <v>2.230212490987617E-3</v>
      </c>
      <c r="DY26" s="13">
        <f t="shared" si="95"/>
        <v>0</v>
      </c>
      <c r="DZ26" s="13">
        <f t="shared" si="95"/>
        <v>9.4378264443411283E-2</v>
      </c>
      <c r="EA26" s="12">
        <f t="shared" si="44"/>
        <v>1</v>
      </c>
      <c r="EB26" s="26"/>
      <c r="EC26" s="30">
        <f t="shared" si="45"/>
        <v>1323</v>
      </c>
      <c r="ED26" s="14">
        <f t="shared" si="96"/>
        <v>100000</v>
      </c>
      <c r="EE26" s="29"/>
      <c r="EF26" s="128">
        <f t="shared" si="124"/>
        <v>-8.7342365835222964</v>
      </c>
      <c r="EG26" s="13">
        <f t="shared" si="97"/>
        <v>1.5</v>
      </c>
      <c r="EH26" s="13">
        <f t="shared" si="98"/>
        <v>0.74926606198035017</v>
      </c>
      <c r="EI26" s="12">
        <f t="shared" si="46"/>
        <v>5.3414996220710531</v>
      </c>
      <c r="EJ26" s="29"/>
      <c r="EK26" s="28">
        <f t="shared" si="99"/>
        <v>-1.5982947200360749</v>
      </c>
      <c r="EL26" s="24">
        <f t="shared" si="100"/>
        <v>-0.6940055232462331</v>
      </c>
      <c r="EM26" s="24">
        <f t="shared" si="101"/>
        <v>0.20224110180400737</v>
      </c>
      <c r="EN26" s="24">
        <f t="shared" si="102"/>
        <v>5.3215171881245693E-2</v>
      </c>
      <c r="EO26" s="24">
        <f t="shared" si="103"/>
        <v>1.0762294993952761E-2</v>
      </c>
      <c r="EP26" s="24">
        <f t="shared" si="104"/>
        <v>0.28799382617232799</v>
      </c>
      <c r="EQ26" s="24">
        <f t="shared" si="105"/>
        <v>-1.5979771013093109</v>
      </c>
      <c r="ER26" s="24">
        <f t="shared" si="47"/>
        <v>-20.109295756269134</v>
      </c>
      <c r="ES26" s="25">
        <f t="shared" si="48"/>
        <v>-8.7317827860482566</v>
      </c>
      <c r="ET26" s="26">
        <v>1.7</v>
      </c>
      <c r="EU26" s="26">
        <v>0.29083888041780526</v>
      </c>
      <c r="EV26" s="26">
        <v>0.3259170478637371</v>
      </c>
      <c r="EW26" s="26">
        <v>0.28799382617232799</v>
      </c>
      <c r="EX26" s="26">
        <v>0.32509707099664009</v>
      </c>
      <c r="EY26" s="26">
        <f t="shared" si="106"/>
        <v>0.9974840933529816</v>
      </c>
      <c r="EZ26" s="26">
        <f t="shared" si="107"/>
        <v>1.0098788723469887</v>
      </c>
      <c r="FA26" s="23">
        <f t="shared" si="125"/>
        <v>-1.2230687453106306</v>
      </c>
      <c r="FB26" s="190">
        <f t="shared" si="108"/>
        <v>5.6453952610827418E-2</v>
      </c>
      <c r="FC26" s="124">
        <v>6.2646889236044334E-2</v>
      </c>
      <c r="FD26" s="26"/>
      <c r="FE26" s="27">
        <f t="shared" si="109"/>
        <v>0.88818423022188309</v>
      </c>
      <c r="FF26" s="26"/>
      <c r="FG26" s="23">
        <f t="shared" si="49"/>
        <v>-4.0142180071976155</v>
      </c>
      <c r="FH26" s="13">
        <f t="shared" si="50"/>
        <v>14.760546112054751</v>
      </c>
      <c r="FI26" s="13">
        <f t="shared" si="51"/>
        <v>-21.845149910644157</v>
      </c>
      <c r="FJ26" s="13">
        <f t="shared" si="52"/>
        <v>0.39726811809315166</v>
      </c>
      <c r="FK26" s="12">
        <f t="shared" si="53"/>
        <v>0.59803111953122601</v>
      </c>
      <c r="FL26" s="13"/>
      <c r="FM26" s="23">
        <f t="shared" si="54"/>
        <v>-6.0497074244044633</v>
      </c>
      <c r="FN26" s="13">
        <f t="shared" si="55"/>
        <v>11.414403075077949</v>
      </c>
      <c r="FO26" s="13">
        <f t="shared" si="56"/>
        <v>11.933768151657091</v>
      </c>
      <c r="FP26" s="24">
        <f t="shared" si="110"/>
        <v>0.49748866779465306</v>
      </c>
      <c r="FQ26" s="25">
        <f t="shared" si="57"/>
        <v>0.76599566504121941</v>
      </c>
      <c r="FR26" s="13"/>
      <c r="FS26" s="23">
        <f t="shared" si="111"/>
        <v>10.930646518269299</v>
      </c>
      <c r="FT26" s="13">
        <f t="shared" si="126"/>
        <v>-6.2205983925226986</v>
      </c>
      <c r="FU26" s="13">
        <f t="shared" si="112"/>
        <v>-0.31722825625259432</v>
      </c>
      <c r="FV26" s="13">
        <f t="shared" si="58"/>
        <v>0.32509707099664009</v>
      </c>
      <c r="FW26" s="23">
        <f t="shared" si="113"/>
        <v>-0.31731079593513556</v>
      </c>
      <c r="FX26" s="13">
        <f t="shared" si="114"/>
        <v>0.32505537269035645</v>
      </c>
      <c r="FY26" s="13">
        <f t="shared" si="115"/>
        <v>-0.31727844521707027</v>
      </c>
      <c r="FZ26" s="13">
        <f t="shared" si="116"/>
        <v>0.32507171565218174</v>
      </c>
      <c r="GA26" s="13">
        <f t="shared" si="117"/>
        <v>-0.31731911037201854</v>
      </c>
      <c r="GB26" s="12">
        <f t="shared" si="118"/>
        <v>0.32505117246523363</v>
      </c>
      <c r="GC26" s="22"/>
      <c r="GD26" s="11">
        <f t="shared" si="59"/>
        <v>1.5</v>
      </c>
      <c r="GE26" s="10">
        <f t="shared" si="60"/>
        <v>0.74926606198035017</v>
      </c>
      <c r="GF26" s="10">
        <f t="shared" si="61"/>
        <v>5.3414996220710531</v>
      </c>
      <c r="GG26" s="5">
        <f t="shared" si="62"/>
        <v>-8.7342365835222964</v>
      </c>
      <c r="GH26" s="10">
        <f t="shared" si="63"/>
        <v>0.28799382617232799</v>
      </c>
      <c r="GI26" s="9">
        <f t="shared" si="119"/>
        <v>10.930646518269299</v>
      </c>
      <c r="GJ26" s="8">
        <f t="shared" si="120"/>
        <v>-6.2205983925226986</v>
      </c>
      <c r="GK26" s="8">
        <f t="shared" si="121"/>
        <v>0.32509707099664009</v>
      </c>
      <c r="GL26" s="7">
        <f t="shared" si="122"/>
        <v>0.32505537269035645</v>
      </c>
      <c r="GM26" s="6">
        <f t="shared" si="64"/>
        <v>0.49748866779465306</v>
      </c>
      <c r="GN26" s="5">
        <f t="shared" si="65"/>
        <v>0.76599566504121941</v>
      </c>
      <c r="GO26" s="4">
        <f t="shared" si="66"/>
        <v>0.59803111953122601</v>
      </c>
      <c r="GP26" s="4">
        <f t="shared" si="67"/>
        <v>0.88818423022188309</v>
      </c>
      <c r="GQ26" s="4">
        <f t="shared" si="68"/>
        <v>5.6453952610827418E-2</v>
      </c>
      <c r="GR26" s="1"/>
    </row>
    <row r="27" spans="1:200" x14ac:dyDescent="0.4">
      <c r="A27" s="34"/>
      <c r="B27" s="21"/>
      <c r="C27" s="21"/>
      <c r="D27" s="34"/>
      <c r="E27" s="34"/>
      <c r="F27" s="20" t="s">
        <v>134</v>
      </c>
      <c r="G27" s="19">
        <v>1050</v>
      </c>
      <c r="H27" s="18">
        <v>1E-4</v>
      </c>
      <c r="I27" s="17">
        <v>1.5</v>
      </c>
      <c r="J27" s="16">
        <v>49.6</v>
      </c>
      <c r="K27" s="16">
        <v>0.92</v>
      </c>
      <c r="L27" s="16">
        <v>14.6</v>
      </c>
      <c r="M27" s="16">
        <v>0</v>
      </c>
      <c r="N27" s="16">
        <v>9</v>
      </c>
      <c r="O27" s="16">
        <v>0</v>
      </c>
      <c r="P27" s="16">
        <v>8.6999999999999993</v>
      </c>
      <c r="Q27" s="16">
        <v>12.4</v>
      </c>
      <c r="R27" s="16">
        <v>2.2999999999999998</v>
      </c>
      <c r="S27" s="16">
        <v>0.21</v>
      </c>
      <c r="T27" s="16">
        <v>0</v>
      </c>
      <c r="U27" s="15">
        <v>1.8</v>
      </c>
      <c r="V27" s="16"/>
      <c r="W27" s="28">
        <f t="shared" si="69"/>
        <v>49.834220837938311</v>
      </c>
      <c r="X27" s="24">
        <f t="shared" si="127"/>
        <v>0.92434441876821061</v>
      </c>
      <c r="Y27" s="24">
        <f t="shared" si="127"/>
        <v>14.668944036973777</v>
      </c>
      <c r="Z27" s="24">
        <f t="shared" si="127"/>
        <v>0</v>
      </c>
      <c r="AA27" s="24">
        <f t="shared" si="127"/>
        <v>9.0424997488194521</v>
      </c>
      <c r="AB27" s="24">
        <f t="shared" si="127"/>
        <v>0</v>
      </c>
      <c r="AC27" s="24">
        <f t="shared" si="127"/>
        <v>8.7410830905254677</v>
      </c>
      <c r="AD27" s="24">
        <f t="shared" si="127"/>
        <v>12.458555209484578</v>
      </c>
      <c r="AE27" s="24">
        <f t="shared" si="127"/>
        <v>2.3108610469205262</v>
      </c>
      <c r="AF27" s="24">
        <f t="shared" si="127"/>
        <v>0.21099166080578718</v>
      </c>
      <c r="AG27" s="24">
        <f t="shared" si="127"/>
        <v>0</v>
      </c>
      <c r="AH27" s="24">
        <f t="shared" si="127"/>
        <v>1.8084999497638903</v>
      </c>
      <c r="AI27" s="14">
        <f t="shared" si="123"/>
        <v>99.999999999999972</v>
      </c>
      <c r="AJ27" s="26"/>
      <c r="AK27" s="50">
        <f t="shared" si="70"/>
        <v>0.82932635776232833</v>
      </c>
      <c r="AL27" s="47">
        <f t="shared" si="71"/>
        <v>1.1568766192343061E-2</v>
      </c>
      <c r="AM27" s="47">
        <f t="shared" si="72"/>
        <v>0.14386959628259885</v>
      </c>
      <c r="AN27" s="49">
        <f t="shared" si="73"/>
        <v>0</v>
      </c>
      <c r="AO27" s="49">
        <f t="shared" si="74"/>
        <v>0.12585246692859364</v>
      </c>
      <c r="AP27" s="47">
        <f t="shared" si="75"/>
        <v>0</v>
      </c>
      <c r="AQ27" s="47">
        <f t="shared" si="76"/>
        <v>0.21679273538009591</v>
      </c>
      <c r="AR27" s="47">
        <f t="shared" si="77"/>
        <v>0.22215683326470359</v>
      </c>
      <c r="AS27" s="47">
        <f t="shared" si="78"/>
        <v>3.7283979459834242E-2</v>
      </c>
      <c r="AT27" s="47">
        <f t="shared" si="79"/>
        <v>2.2398265478321354E-3</v>
      </c>
      <c r="AU27" s="47">
        <f t="shared" si="80"/>
        <v>0</v>
      </c>
      <c r="AV27" s="47">
        <f t="shared" si="81"/>
        <v>0.10036070753406716</v>
      </c>
      <c r="AW27" s="47">
        <f t="shared" si="82"/>
        <v>1.6894512693523969</v>
      </c>
      <c r="AX27" s="47">
        <f t="shared" si="83"/>
        <v>8.9627483447550352E-2</v>
      </c>
      <c r="AY27" s="46">
        <f t="shared" si="84"/>
        <v>1.8118245520792598E-2</v>
      </c>
      <c r="AZ27" s="26"/>
      <c r="BA27" s="23">
        <f t="shared" si="85"/>
        <v>0.49088504226595836</v>
      </c>
      <c r="BB27" s="13">
        <f t="shared" si="6"/>
        <v>6.8476471634352724E-3</v>
      </c>
      <c r="BC27" s="13">
        <f t="shared" si="7"/>
        <v>8.5157588675373375E-2</v>
      </c>
      <c r="BD27" s="13">
        <f t="shared" si="8"/>
        <v>0</v>
      </c>
      <c r="BE27" s="13">
        <f t="shared" si="9"/>
        <v>7.4493102708334175E-2</v>
      </c>
      <c r="BF27" s="13">
        <f t="shared" si="10"/>
        <v>5.305123922390878E-2</v>
      </c>
      <c r="BG27" s="13">
        <f t="shared" si="11"/>
        <v>1.0724337451732308E-2</v>
      </c>
      <c r="BH27" s="13">
        <f t="shared" si="12"/>
        <v>0</v>
      </c>
      <c r="BI27" s="13">
        <f t="shared" si="13"/>
        <v>0.12832139009442825</v>
      </c>
      <c r="BJ27" s="13">
        <f t="shared" si="14"/>
        <v>0.13149644342796646</v>
      </c>
      <c r="BK27" s="13">
        <f t="shared" si="15"/>
        <v>2.2068691850535584E-2</v>
      </c>
      <c r="BL27" s="13">
        <f t="shared" si="16"/>
        <v>1.3257716209184947E-3</v>
      </c>
      <c r="BM27" s="13">
        <f t="shared" si="17"/>
        <v>0</v>
      </c>
      <c r="BN27" s="13">
        <f t="shared" si="86"/>
        <v>5.9404322193050044E-2</v>
      </c>
      <c r="BO27" s="12">
        <f t="shared" si="87"/>
        <v>0.94059567780695008</v>
      </c>
      <c r="BP27" s="13"/>
      <c r="BQ27" s="23">
        <f t="shared" si="88"/>
        <v>1.6586527155246567</v>
      </c>
      <c r="BR27" s="13">
        <f t="shared" si="18"/>
        <v>2.3137532384686122E-2</v>
      </c>
      <c r="BS27" s="13">
        <f t="shared" si="19"/>
        <v>0.43143953049922873</v>
      </c>
      <c r="BT27" s="13">
        <f t="shared" si="20"/>
        <v>0</v>
      </c>
      <c r="BU27" s="13">
        <f t="shared" si="21"/>
        <v>0.12585246692859364</v>
      </c>
      <c r="BV27" s="13">
        <f t="shared" si="89"/>
        <v>8.9627483447550352E-2</v>
      </c>
      <c r="BW27" s="24">
        <f t="shared" si="90"/>
        <v>5.4354736562377798E-2</v>
      </c>
      <c r="BX27" s="13">
        <f t="shared" si="22"/>
        <v>0</v>
      </c>
      <c r="BY27" s="13">
        <f t="shared" si="23"/>
        <v>0.21690032482693469</v>
      </c>
      <c r="BZ27" s="13">
        <f t="shared" si="24"/>
        <v>0.22207763296763952</v>
      </c>
      <c r="CA27" s="13">
        <f t="shared" si="25"/>
        <v>3.7271952369685904E-2</v>
      </c>
      <c r="CB27" s="13">
        <f t="shared" si="26"/>
        <v>2.2398265478321354E-3</v>
      </c>
      <c r="CC27" s="13">
        <f t="shared" si="27"/>
        <v>0</v>
      </c>
      <c r="CD27" s="13">
        <f t="shared" si="91"/>
        <v>0.10036070753406716</v>
      </c>
      <c r="CE27" s="12">
        <f t="shared" si="92"/>
        <v>2.8179326895833245</v>
      </c>
      <c r="CF27" s="13"/>
      <c r="CG27" s="23">
        <f t="shared" si="28"/>
        <v>0.58860622244668104</v>
      </c>
      <c r="CH27" s="13">
        <f t="shared" si="28"/>
        <v>8.2108179766733069E-3</v>
      </c>
      <c r="CI27" s="13">
        <f t="shared" si="28"/>
        <v>0.15310498085851149</v>
      </c>
      <c r="CJ27" s="13">
        <f t="shared" si="28"/>
        <v>0</v>
      </c>
      <c r="CK27" s="13">
        <f t="shared" ref="CK27:CT52" si="128">IF(OR($CE27="",BU27=""),"",BU27/$CE27)</f>
        <v>4.4661275052387039E-2</v>
      </c>
      <c r="CL27" s="13">
        <f t="shared" si="128"/>
        <v>3.1806112253448884E-2</v>
      </c>
      <c r="CM27" s="13">
        <f t="shared" si="128"/>
        <v>1.9288869731808603E-2</v>
      </c>
      <c r="CN27" s="13">
        <f t="shared" si="128"/>
        <v>0</v>
      </c>
      <c r="CO27" s="13">
        <f t="shared" si="128"/>
        <v>7.6971435701328556E-2</v>
      </c>
      <c r="CP27" s="13">
        <f t="shared" si="128"/>
        <v>7.8808707457266189E-2</v>
      </c>
      <c r="CQ27" s="13">
        <f t="shared" si="128"/>
        <v>1.3226700732584619E-2</v>
      </c>
      <c r="CR27" s="13">
        <f t="shared" si="128"/>
        <v>7.948474270204548E-4</v>
      </c>
      <c r="CS27" s="13">
        <f t="shared" si="128"/>
        <v>0</v>
      </c>
      <c r="CT27" s="13">
        <f t="shared" si="128"/>
        <v>3.5615012347547256E-2</v>
      </c>
      <c r="CU27" s="12">
        <f t="shared" si="29"/>
        <v>0.99999999999999989</v>
      </c>
      <c r="CV27" s="26"/>
      <c r="CW27" s="23">
        <f t="shared" si="30"/>
        <v>0.82932635776232833</v>
      </c>
      <c r="CX27" s="13">
        <f t="shared" si="31"/>
        <v>1.1568766192343061E-2</v>
      </c>
      <c r="CY27" s="13">
        <f t="shared" si="32"/>
        <v>0.28762635366615247</v>
      </c>
      <c r="CZ27" s="13">
        <f t="shared" si="33"/>
        <v>0</v>
      </c>
      <c r="DA27" s="13">
        <f t="shared" si="34"/>
        <v>0.17270194986072424</v>
      </c>
      <c r="DB27" s="13">
        <f t="shared" si="35"/>
        <v>8.9627483447550352E-2</v>
      </c>
      <c r="DC27" s="24">
        <f t="shared" si="36"/>
        <v>3.6236491041585196E-2</v>
      </c>
      <c r="DD27" s="13">
        <f t="shared" si="37"/>
        <v>0</v>
      </c>
      <c r="DE27" s="13">
        <f t="shared" si="38"/>
        <v>0.21690032482693469</v>
      </c>
      <c r="DF27" s="13">
        <f t="shared" si="39"/>
        <v>0.22207763296763952</v>
      </c>
      <c r="DG27" s="13">
        <f t="shared" si="40"/>
        <v>7.4543904739371808E-2</v>
      </c>
      <c r="DH27" s="13">
        <f t="shared" si="41"/>
        <v>4.4796530956642709E-3</v>
      </c>
      <c r="DI27" s="13">
        <f t="shared" si="42"/>
        <v>0</v>
      </c>
      <c r="DJ27" s="13">
        <f t="shared" si="93"/>
        <v>0.20072141506813432</v>
      </c>
      <c r="DK27" s="12">
        <f t="shared" si="94"/>
        <v>2.0199463581792929</v>
      </c>
      <c r="DL27" s="26"/>
      <c r="DM27" s="23">
        <f t="shared" si="95"/>
        <v>0.41056850564579017</v>
      </c>
      <c r="DN27" s="13">
        <f t="shared" si="95"/>
        <v>5.7272640659481334E-3</v>
      </c>
      <c r="DO27" s="13">
        <f t="shared" si="95"/>
        <v>0.1423930652917974</v>
      </c>
      <c r="DP27" s="13">
        <f t="shared" si="95"/>
        <v>0</v>
      </c>
      <c r="DQ27" s="13">
        <f t="shared" si="95"/>
        <v>8.5498285220005327E-2</v>
      </c>
      <c r="DR27" s="13">
        <f t="shared" si="95"/>
        <v>4.4371219604236095E-2</v>
      </c>
      <c r="DS27" s="13">
        <f t="shared" si="95"/>
        <v>1.7939333336677053E-2</v>
      </c>
      <c r="DT27" s="13">
        <f t="shared" si="95"/>
        <v>0</v>
      </c>
      <c r="DU27" s="13">
        <f t="shared" si="95"/>
        <v>0.10737924992346869</v>
      </c>
      <c r="DV27" s="13">
        <f t="shared" si="95"/>
        <v>0.10994234181932055</v>
      </c>
      <c r="DW27" s="13">
        <f t="shared" si="95"/>
        <v>3.6903903134617402E-2</v>
      </c>
      <c r="DX27" s="13">
        <f t="shared" si="95"/>
        <v>2.217708939410683E-3</v>
      </c>
      <c r="DY27" s="13">
        <f t="shared" si="95"/>
        <v>0</v>
      </c>
      <c r="DZ27" s="13">
        <f t="shared" si="95"/>
        <v>9.9369675959641524E-2</v>
      </c>
      <c r="EA27" s="12">
        <f t="shared" si="44"/>
        <v>1</v>
      </c>
      <c r="EB27" s="26"/>
      <c r="EC27" s="30">
        <f t="shared" si="45"/>
        <v>1323</v>
      </c>
      <c r="ED27" s="14">
        <f t="shared" si="96"/>
        <v>100000</v>
      </c>
      <c r="EE27" s="29"/>
      <c r="EF27" s="128">
        <f t="shared" si="124"/>
        <v>-8.7342365835222964</v>
      </c>
      <c r="EG27" s="13">
        <f t="shared" si="97"/>
        <v>1.5</v>
      </c>
      <c r="EH27" s="13">
        <f t="shared" si="98"/>
        <v>0.74926606198035017</v>
      </c>
      <c r="EI27" s="12">
        <f t="shared" si="46"/>
        <v>5.3414996220710531</v>
      </c>
      <c r="EJ27" s="29"/>
      <c r="EK27" s="28">
        <f t="shared" si="99"/>
        <v>-1.5990601562161975</v>
      </c>
      <c r="EL27" s="24">
        <f t="shared" si="100"/>
        <v>-0.69433788806608665</v>
      </c>
      <c r="EM27" s="24">
        <f t="shared" si="101"/>
        <v>0.20208635837824235</v>
      </c>
      <c r="EN27" s="24">
        <f t="shared" si="102"/>
        <v>5.3051239223908774E-2</v>
      </c>
      <c r="EO27" s="24">
        <f t="shared" si="103"/>
        <v>1.0720931742212695E-2</v>
      </c>
      <c r="EP27" s="24">
        <f t="shared" si="104"/>
        <v>0.28783689636848098</v>
      </c>
      <c r="EQ27" s="24">
        <f t="shared" si="105"/>
        <v>-1.5987425374894337</v>
      </c>
      <c r="ER27" s="24">
        <f t="shared" si="47"/>
        <v>-20.10929575626913</v>
      </c>
      <c r="ES27" s="25">
        <f t="shared" si="48"/>
        <v>-8.7317827860482549</v>
      </c>
      <c r="ET27" s="26">
        <v>1.8</v>
      </c>
      <c r="EU27" s="26">
        <v>0.2908388804178052</v>
      </c>
      <c r="EV27" s="26">
        <v>0.32844560343462692</v>
      </c>
      <c r="EW27" s="26">
        <v>0.28783689636848098</v>
      </c>
      <c r="EX27" s="26">
        <v>0.32757982335029845</v>
      </c>
      <c r="EY27" s="26">
        <f t="shared" si="106"/>
        <v>0.99736400769176137</v>
      </c>
      <c r="EZ27" s="26">
        <f t="shared" si="107"/>
        <v>1.010429462265606</v>
      </c>
      <c r="FA27" s="23">
        <f t="shared" si="125"/>
        <v>-1.2257281429848419</v>
      </c>
      <c r="FB27" s="190">
        <f t="shared" si="108"/>
        <v>5.6128657820807781E-2</v>
      </c>
      <c r="FC27" s="124">
        <v>6.2646889236044334E-2</v>
      </c>
      <c r="FD27" s="26"/>
      <c r="FE27" s="27">
        <f t="shared" si="109"/>
        <v>0.88818423022188309</v>
      </c>
      <c r="FF27" s="26"/>
      <c r="FG27" s="23">
        <f t="shared" si="49"/>
        <v>-4.0403446773445397</v>
      </c>
      <c r="FH27" s="13">
        <f t="shared" si="50"/>
        <v>14.72236516977053</v>
      </c>
      <c r="FI27" s="13">
        <f t="shared" si="51"/>
        <v>-21.845149910644157</v>
      </c>
      <c r="FJ27" s="13">
        <f t="shared" si="52"/>
        <v>0.38521384595586028</v>
      </c>
      <c r="FK27" s="12">
        <f t="shared" si="53"/>
        <v>0.59513000115772319</v>
      </c>
      <c r="FL27" s="13"/>
      <c r="FM27" s="23">
        <f t="shared" si="54"/>
        <v>-6.0504375022226053</v>
      </c>
      <c r="FN27" s="13">
        <f t="shared" si="55"/>
        <v>11.409935182295161</v>
      </c>
      <c r="FO27" s="13">
        <f t="shared" si="56"/>
        <v>11.92938749542904</v>
      </c>
      <c r="FP27" s="24">
        <f t="shared" si="110"/>
        <v>0.49533712260532403</v>
      </c>
      <c r="FQ27" s="25">
        <f t="shared" si="57"/>
        <v>0.76448559480808842</v>
      </c>
      <c r="FR27" s="13"/>
      <c r="FS27" s="23">
        <f t="shared" si="111"/>
        <v>10.93735711131643</v>
      </c>
      <c r="FT27" s="13">
        <f t="shared" si="126"/>
        <v>-6.2187924636967296</v>
      </c>
      <c r="FU27" s="13">
        <f t="shared" si="112"/>
        <v>-0.3123235920314329</v>
      </c>
      <c r="FV27" s="13">
        <f t="shared" si="58"/>
        <v>0.32757982335029845</v>
      </c>
      <c r="FW27" s="23">
        <f t="shared" si="113"/>
        <v>-0.31240613171397413</v>
      </c>
      <c r="FX27" s="13">
        <f t="shared" si="114"/>
        <v>0.32753796114231226</v>
      </c>
      <c r="FY27" s="13">
        <f t="shared" si="115"/>
        <v>-0.31237378099590885</v>
      </c>
      <c r="FZ27" s="13">
        <f t="shared" si="116"/>
        <v>0.32755436834740781</v>
      </c>
      <c r="GA27" s="13">
        <f t="shared" si="117"/>
        <v>-0.31241444615085712</v>
      </c>
      <c r="GB27" s="12">
        <f t="shared" si="118"/>
        <v>0.32753374440535876</v>
      </c>
      <c r="GC27" s="22"/>
      <c r="GD27" s="11">
        <f t="shared" si="59"/>
        <v>1.5</v>
      </c>
      <c r="GE27" s="10">
        <f t="shared" si="60"/>
        <v>0.74926606198035017</v>
      </c>
      <c r="GF27" s="10">
        <f t="shared" si="61"/>
        <v>5.3414996220710531</v>
      </c>
      <c r="GG27" s="5">
        <f t="shared" si="62"/>
        <v>-8.7342365835222964</v>
      </c>
      <c r="GH27" s="10">
        <f t="shared" si="63"/>
        <v>0.28783689636848098</v>
      </c>
      <c r="GI27" s="9">
        <f t="shared" si="119"/>
        <v>10.93735711131643</v>
      </c>
      <c r="GJ27" s="8">
        <f t="shared" si="120"/>
        <v>-6.2187924636967296</v>
      </c>
      <c r="GK27" s="8">
        <f t="shared" si="121"/>
        <v>0.32757982335029845</v>
      </c>
      <c r="GL27" s="7">
        <f t="shared" si="122"/>
        <v>0.32753796114231226</v>
      </c>
      <c r="GM27" s="6">
        <f t="shared" si="64"/>
        <v>0.49533712260532403</v>
      </c>
      <c r="GN27" s="5">
        <f t="shared" si="65"/>
        <v>0.76448559480808842</v>
      </c>
      <c r="GO27" s="4">
        <f t="shared" si="66"/>
        <v>0.59513000115772319</v>
      </c>
      <c r="GP27" s="4">
        <f t="shared" si="67"/>
        <v>0.88818423022188309</v>
      </c>
      <c r="GQ27" s="4">
        <f t="shared" si="68"/>
        <v>5.6128657820807781E-2</v>
      </c>
      <c r="GR27" s="1"/>
    </row>
    <row r="28" spans="1:200" x14ac:dyDescent="0.4">
      <c r="A28" s="34"/>
      <c r="B28" s="21"/>
      <c r="C28" s="21"/>
      <c r="D28" s="34"/>
      <c r="E28" s="34"/>
      <c r="F28" s="20" t="s">
        <v>134</v>
      </c>
      <c r="G28" s="19">
        <v>1050</v>
      </c>
      <c r="H28" s="18">
        <v>1E-4</v>
      </c>
      <c r="I28" s="17">
        <v>1.5</v>
      </c>
      <c r="J28" s="16">
        <v>49.6</v>
      </c>
      <c r="K28" s="16">
        <v>0.92</v>
      </c>
      <c r="L28" s="16">
        <v>14.6</v>
      </c>
      <c r="M28" s="16">
        <v>0</v>
      </c>
      <c r="N28" s="16">
        <v>9</v>
      </c>
      <c r="O28" s="16">
        <v>0</v>
      </c>
      <c r="P28" s="16">
        <v>8.6999999999999993</v>
      </c>
      <c r="Q28" s="16">
        <v>12.4</v>
      </c>
      <c r="R28" s="16">
        <v>2.2999999999999998</v>
      </c>
      <c r="S28" s="16">
        <v>0.21</v>
      </c>
      <c r="T28" s="16">
        <v>0</v>
      </c>
      <c r="U28" s="15">
        <v>1.9</v>
      </c>
      <c r="V28" s="16"/>
      <c r="W28" s="28">
        <f t="shared" si="69"/>
        <v>49.784201545719156</v>
      </c>
      <c r="X28" s="24">
        <f t="shared" si="127"/>
        <v>0.92341664157382308</v>
      </c>
      <c r="Y28" s="24">
        <f t="shared" si="127"/>
        <v>14.654220616280236</v>
      </c>
      <c r="Z28" s="24">
        <f t="shared" si="127"/>
        <v>0</v>
      </c>
      <c r="AA28" s="24">
        <f t="shared" si="127"/>
        <v>9.0334236675700073</v>
      </c>
      <c r="AB28" s="24">
        <f t="shared" si="127"/>
        <v>0</v>
      </c>
      <c r="AC28" s="24">
        <f t="shared" si="127"/>
        <v>8.7323095453176727</v>
      </c>
      <c r="AD28" s="24">
        <f t="shared" si="127"/>
        <v>12.446050386429789</v>
      </c>
      <c r="AE28" s="24">
        <f t="shared" si="127"/>
        <v>2.3085416039345574</v>
      </c>
      <c r="AF28" s="24">
        <f t="shared" si="127"/>
        <v>0.21077988557663352</v>
      </c>
      <c r="AG28" s="24">
        <f t="shared" si="127"/>
        <v>0</v>
      </c>
      <c r="AH28" s="24">
        <f t="shared" si="127"/>
        <v>1.9070561075981127</v>
      </c>
      <c r="AI28" s="14">
        <f t="shared" si="123"/>
        <v>99.999999999999986</v>
      </c>
      <c r="AJ28" s="26"/>
      <c r="AK28" s="50">
        <f t="shared" si="70"/>
        <v>0.82849395150140048</v>
      </c>
      <c r="AL28" s="47">
        <f t="shared" si="71"/>
        <v>1.1557154462751226E-2</v>
      </c>
      <c r="AM28" s="47">
        <f t="shared" si="72"/>
        <v>0.14372519239192072</v>
      </c>
      <c r="AN28" s="49">
        <f t="shared" si="73"/>
        <v>0</v>
      </c>
      <c r="AO28" s="49">
        <f t="shared" si="74"/>
        <v>0.12572614707821861</v>
      </c>
      <c r="AP28" s="47">
        <f t="shared" si="75"/>
        <v>0</v>
      </c>
      <c r="AQ28" s="47">
        <f t="shared" si="76"/>
        <v>0.21657513753268037</v>
      </c>
      <c r="AR28" s="47">
        <f t="shared" si="77"/>
        <v>0.22193385139853405</v>
      </c>
      <c r="AS28" s="47">
        <f t="shared" si="78"/>
        <v>3.7246557017337166E-2</v>
      </c>
      <c r="AT28" s="47">
        <f t="shared" si="79"/>
        <v>2.2375784031489756E-3</v>
      </c>
      <c r="AU28" s="47">
        <f t="shared" si="80"/>
        <v>0</v>
      </c>
      <c r="AV28" s="47">
        <f t="shared" si="81"/>
        <v>0.10582997267470104</v>
      </c>
      <c r="AW28" s="47">
        <f t="shared" si="82"/>
        <v>1.6933255424606926</v>
      </c>
      <c r="AX28" s="47">
        <f t="shared" si="83"/>
        <v>8.9557117146046819E-2</v>
      </c>
      <c r="AY28" s="46">
        <f t="shared" si="84"/>
        <v>1.8090259858998058E-2</v>
      </c>
      <c r="AZ28" s="26"/>
      <c r="BA28" s="23">
        <f t="shared" si="85"/>
        <v>0.48927033268361181</v>
      </c>
      <c r="BB28" s="13">
        <f t="shared" si="6"/>
        <v>6.8251226199285333E-3</v>
      </c>
      <c r="BC28" s="13">
        <f t="shared" si="7"/>
        <v>8.4877472634744142E-2</v>
      </c>
      <c r="BD28" s="13">
        <f t="shared" si="8"/>
        <v>0</v>
      </c>
      <c r="BE28" s="13">
        <f t="shared" si="9"/>
        <v>7.4248066261090553E-2</v>
      </c>
      <c r="BF28" s="13">
        <f t="shared" si="10"/>
        <v>5.2888304640999487E-2</v>
      </c>
      <c r="BG28" s="13">
        <f t="shared" si="11"/>
        <v>1.0683273478949479E-2</v>
      </c>
      <c r="BH28" s="13">
        <f t="shared" si="12"/>
        <v>0</v>
      </c>
      <c r="BI28" s="13">
        <f t="shared" si="13"/>
        <v>0.1278992917203384</v>
      </c>
      <c r="BJ28" s="13">
        <f t="shared" si="14"/>
        <v>0.13106390108308771</v>
      </c>
      <c r="BK28" s="13">
        <f t="shared" si="15"/>
        <v>2.1996099440637698E-2</v>
      </c>
      <c r="BL28" s="13">
        <f t="shared" si="16"/>
        <v>1.3214106484789631E-3</v>
      </c>
      <c r="BM28" s="13">
        <f t="shared" si="17"/>
        <v>0</v>
      </c>
      <c r="BN28" s="13">
        <f t="shared" si="86"/>
        <v>6.249830290808224E-2</v>
      </c>
      <c r="BO28" s="12">
        <f t="shared" si="87"/>
        <v>0.937501697091918</v>
      </c>
      <c r="BP28" s="13"/>
      <c r="BQ28" s="23">
        <f t="shared" si="88"/>
        <v>1.656987903002801</v>
      </c>
      <c r="BR28" s="13">
        <f t="shared" si="18"/>
        <v>2.3114308925502453E-2</v>
      </c>
      <c r="BS28" s="13">
        <f t="shared" si="19"/>
        <v>0.43100648871412461</v>
      </c>
      <c r="BT28" s="13">
        <f t="shared" si="20"/>
        <v>0</v>
      </c>
      <c r="BU28" s="13">
        <f t="shared" si="21"/>
        <v>0.12572614707821861</v>
      </c>
      <c r="BV28" s="13">
        <f t="shared" si="89"/>
        <v>8.9557117146046819E-2</v>
      </c>
      <c r="BW28" s="24">
        <f t="shared" si="90"/>
        <v>5.4270779576994173E-2</v>
      </c>
      <c r="BX28" s="13">
        <f t="shared" si="22"/>
        <v>0</v>
      </c>
      <c r="BY28" s="13">
        <f t="shared" si="23"/>
        <v>0.216682618990513</v>
      </c>
      <c r="BZ28" s="13">
        <f t="shared" si="24"/>
        <v>0.22185473059589642</v>
      </c>
      <c r="CA28" s="13">
        <f t="shared" si="25"/>
        <v>3.7234541998944472E-2</v>
      </c>
      <c r="CB28" s="13">
        <f t="shared" si="26"/>
        <v>2.2375784031489756E-3</v>
      </c>
      <c r="CC28" s="13">
        <f t="shared" si="27"/>
        <v>0</v>
      </c>
      <c r="CD28" s="13">
        <f t="shared" si="91"/>
        <v>0.10582997267470104</v>
      </c>
      <c r="CE28" s="12">
        <f t="shared" si="92"/>
        <v>2.8206742903838506</v>
      </c>
      <c r="CF28" s="13"/>
      <c r="CG28" s="23">
        <f t="shared" ref="CG28:CO59" si="129">IF(OR($CE28="",BQ28=""),"",BQ28/$CE28)</f>
        <v>0.5874438990179579</v>
      </c>
      <c r="CH28" s="13">
        <f t="shared" si="129"/>
        <v>8.1946040364543286E-3</v>
      </c>
      <c r="CI28" s="13">
        <f t="shared" si="129"/>
        <v>0.15280264374497179</v>
      </c>
      <c r="CJ28" s="13">
        <f t="shared" si="129"/>
        <v>0</v>
      </c>
      <c r="CK28" s="13">
        <f t="shared" si="128"/>
        <v>4.4573082226062051E-2</v>
      </c>
      <c r="CL28" s="13">
        <f t="shared" si="128"/>
        <v>3.1750251154967442E-2</v>
      </c>
      <c r="CM28" s="13">
        <f t="shared" si="128"/>
        <v>1.9240356733853433E-2</v>
      </c>
      <c r="CN28" s="13">
        <f t="shared" si="128"/>
        <v>0</v>
      </c>
      <c r="CO28" s="13">
        <f t="shared" si="128"/>
        <v>7.6819439851393057E-2</v>
      </c>
      <c r="CP28" s="13">
        <f t="shared" si="128"/>
        <v>7.8653083538300125E-2</v>
      </c>
      <c r="CQ28" s="13">
        <f t="shared" si="128"/>
        <v>1.3200581905498001E-2</v>
      </c>
      <c r="CR28" s="13">
        <f t="shared" si="128"/>
        <v>7.932778381315609E-4</v>
      </c>
      <c r="CS28" s="13">
        <f t="shared" si="128"/>
        <v>0</v>
      </c>
      <c r="CT28" s="13">
        <f t="shared" si="128"/>
        <v>3.7519387841231114E-2</v>
      </c>
      <c r="CU28" s="12">
        <f t="shared" si="29"/>
        <v>0.99999999999999989</v>
      </c>
      <c r="CV28" s="26"/>
      <c r="CW28" s="23">
        <f t="shared" si="30"/>
        <v>0.82849395150140048</v>
      </c>
      <c r="CX28" s="13">
        <f t="shared" si="31"/>
        <v>1.1557154462751226E-2</v>
      </c>
      <c r="CY28" s="13">
        <f t="shared" si="32"/>
        <v>0.28733765914274972</v>
      </c>
      <c r="CZ28" s="13">
        <f t="shared" si="33"/>
        <v>0</v>
      </c>
      <c r="DA28" s="13">
        <f t="shared" si="34"/>
        <v>0.17270194986072424</v>
      </c>
      <c r="DB28" s="13">
        <f t="shared" si="35"/>
        <v>8.9557117146046819E-2</v>
      </c>
      <c r="DC28" s="24">
        <f t="shared" si="36"/>
        <v>3.6180519717996115E-2</v>
      </c>
      <c r="DD28" s="13">
        <f t="shared" si="37"/>
        <v>0</v>
      </c>
      <c r="DE28" s="13">
        <f t="shared" si="38"/>
        <v>0.216682618990513</v>
      </c>
      <c r="DF28" s="13">
        <f t="shared" si="39"/>
        <v>0.22185473059589642</v>
      </c>
      <c r="DG28" s="13">
        <f t="shared" si="40"/>
        <v>7.4469083997888944E-2</v>
      </c>
      <c r="DH28" s="13">
        <f t="shared" si="41"/>
        <v>4.4751568062979512E-3</v>
      </c>
      <c r="DI28" s="13">
        <f t="shared" si="42"/>
        <v>0</v>
      </c>
      <c r="DJ28" s="13">
        <f t="shared" si="93"/>
        <v>0.21165994534940208</v>
      </c>
      <c r="DK28" s="12">
        <f t="shared" si="94"/>
        <v>2.0292322507076239</v>
      </c>
      <c r="DL28" s="26"/>
      <c r="DM28" s="23">
        <f t="shared" si="95"/>
        <v>0.40827951123509504</v>
      </c>
      <c r="DN28" s="13">
        <f t="shared" si="95"/>
        <v>5.6953335226764077E-3</v>
      </c>
      <c r="DO28" s="13">
        <f t="shared" si="95"/>
        <v>0.14159919794422288</v>
      </c>
      <c r="DP28" s="13">
        <f t="shared" si="95"/>
        <v>0</v>
      </c>
      <c r="DQ28" s="13">
        <f t="shared" si="95"/>
        <v>8.5107039768612225E-2</v>
      </c>
      <c r="DR28" s="13">
        <f t="shared" si="95"/>
        <v>4.4133497836345202E-2</v>
      </c>
      <c r="DS28" s="13">
        <f t="shared" si="95"/>
        <v>1.7829659323312756E-2</v>
      </c>
      <c r="DT28" s="13">
        <f t="shared" si="95"/>
        <v>0</v>
      </c>
      <c r="DU28" s="13">
        <f t="shared" si="95"/>
        <v>0.10678059099196383</v>
      </c>
      <c r="DV28" s="13">
        <f t="shared" si="95"/>
        <v>0.10932939318233895</v>
      </c>
      <c r="DW28" s="13">
        <f t="shared" si="95"/>
        <v>3.6698157134019749E-2</v>
      </c>
      <c r="DX28" s="13">
        <f t="shared" si="95"/>
        <v>2.2053448070014641E-3</v>
      </c>
      <c r="DY28" s="13">
        <f t="shared" si="95"/>
        <v>0</v>
      </c>
      <c r="DZ28" s="13">
        <f t="shared" si="95"/>
        <v>0.10430543141406956</v>
      </c>
      <c r="EA28" s="12">
        <f t="shared" si="44"/>
        <v>1</v>
      </c>
      <c r="EB28" s="26"/>
      <c r="EC28" s="30">
        <f t="shared" si="45"/>
        <v>1323</v>
      </c>
      <c r="ED28" s="14">
        <f t="shared" si="96"/>
        <v>100000</v>
      </c>
      <c r="EE28" s="29"/>
      <c r="EF28" s="128">
        <f t="shared" si="124"/>
        <v>-8.7342365835222964</v>
      </c>
      <c r="EG28" s="13">
        <f t="shared" si="97"/>
        <v>1.5</v>
      </c>
      <c r="EH28" s="13">
        <f t="shared" si="98"/>
        <v>0.74926606198035017</v>
      </c>
      <c r="EI28" s="12">
        <f t="shared" si="46"/>
        <v>5.3414996220710531</v>
      </c>
      <c r="EJ28" s="29"/>
      <c r="EK28" s="28">
        <f t="shared" si="99"/>
        <v>-1.5998205567687156</v>
      </c>
      <c r="EL28" s="24">
        <f t="shared" si="100"/>
        <v>-0.69466806633465727</v>
      </c>
      <c r="EM28" s="24">
        <f t="shared" si="101"/>
        <v>0.20193275020894502</v>
      </c>
      <c r="EN28" s="24">
        <f t="shared" si="102"/>
        <v>5.2888304640999487E-2</v>
      </c>
      <c r="EO28" s="24">
        <f t="shared" si="103"/>
        <v>1.0679880810045537E-2</v>
      </c>
      <c r="EP28" s="24">
        <f t="shared" si="104"/>
        <v>0.2876810494293584</v>
      </c>
      <c r="EQ28" s="24">
        <f t="shared" si="105"/>
        <v>-1.5995029380419519</v>
      </c>
      <c r="ER28" s="24">
        <f t="shared" si="47"/>
        <v>-20.109295756269134</v>
      </c>
      <c r="ES28" s="25">
        <f t="shared" si="48"/>
        <v>-8.7317827860482566</v>
      </c>
      <c r="ET28" s="26">
        <v>1.9</v>
      </c>
      <c r="EU28" s="26">
        <v>0.29083888041780526</v>
      </c>
      <c r="EV28" s="26">
        <v>0.33097304282746931</v>
      </c>
      <c r="EW28" s="26">
        <v>0.2876810494293584</v>
      </c>
      <c r="EX28" s="26">
        <v>0.33006177206763354</v>
      </c>
      <c r="EY28" s="26">
        <f t="shared" si="106"/>
        <v>0.99724669189958526</v>
      </c>
      <c r="EZ28" s="26">
        <f t="shared" si="107"/>
        <v>1.0109768474312462</v>
      </c>
      <c r="FA28" s="23">
        <f t="shared" si="125"/>
        <v>-1.2283700450967991</v>
      </c>
      <c r="FB28" s="190">
        <f t="shared" si="108"/>
        <v>5.5807249253960189E-2</v>
      </c>
      <c r="FC28" s="124">
        <v>6.2646889236044334E-2</v>
      </c>
      <c r="FD28" s="26"/>
      <c r="FE28" s="27">
        <f t="shared" si="109"/>
        <v>0.88818423022188309</v>
      </c>
      <c r="FF28" s="26"/>
      <c r="FG28" s="23">
        <f t="shared" si="49"/>
        <v>-4.0661799654037196</v>
      </c>
      <c r="FH28" s="13">
        <f t="shared" si="50"/>
        <v>14.684609122197411</v>
      </c>
      <c r="FI28" s="13">
        <f t="shared" si="51"/>
        <v>-21.845149910644157</v>
      </c>
      <c r="FJ28" s="13">
        <f t="shared" si="52"/>
        <v>0.37329308644191883</v>
      </c>
      <c r="FK28" s="12">
        <f t="shared" si="53"/>
        <v>0.592254463910735</v>
      </c>
      <c r="FL28" s="13"/>
      <c r="FM28" s="23">
        <f t="shared" si="54"/>
        <v>-6.0511656173786816</v>
      </c>
      <c r="FN28" s="13">
        <f t="shared" si="55"/>
        <v>11.40548493504944</v>
      </c>
      <c r="FO28" s="13">
        <f t="shared" si="56"/>
        <v>11.92502414020521</v>
      </c>
      <c r="FP28" s="24">
        <f t="shared" si="110"/>
        <v>0.49319477621228747</v>
      </c>
      <c r="FQ28" s="25">
        <f t="shared" si="57"/>
        <v>0.7629751823446832</v>
      </c>
      <c r="FR28" s="13"/>
      <c r="FS28" s="23">
        <f t="shared" si="111"/>
        <v>10.944041201485305</v>
      </c>
      <c r="FT28" s="13">
        <f t="shared" si="126"/>
        <v>-6.216992432425041</v>
      </c>
      <c r="FU28" s="13">
        <f t="shared" si="112"/>
        <v>-0.30743953313424655</v>
      </c>
      <c r="FV28" s="13">
        <f t="shared" si="58"/>
        <v>0.33006177206763354</v>
      </c>
      <c r="FW28" s="23">
        <f t="shared" si="113"/>
        <v>-0.30752207281678778</v>
      </c>
      <c r="FX28" s="13">
        <f t="shared" si="114"/>
        <v>0.33001974835264614</v>
      </c>
      <c r="FY28" s="13">
        <f t="shared" si="115"/>
        <v>-0.3074897220987225</v>
      </c>
      <c r="FZ28" s="13">
        <f t="shared" si="116"/>
        <v>0.33003621886248302</v>
      </c>
      <c r="GA28" s="13">
        <f t="shared" si="117"/>
        <v>-0.30753038725367077</v>
      </c>
      <c r="GB28" s="12">
        <f t="shared" si="118"/>
        <v>0.33001551534506157</v>
      </c>
      <c r="GC28" s="22"/>
      <c r="GD28" s="11">
        <f t="shared" si="59"/>
        <v>1.5</v>
      </c>
      <c r="GE28" s="10">
        <f t="shared" si="60"/>
        <v>0.74926606198035017</v>
      </c>
      <c r="GF28" s="10">
        <f t="shared" si="61"/>
        <v>5.3414996220710531</v>
      </c>
      <c r="GG28" s="5">
        <f t="shared" si="62"/>
        <v>-8.7342365835222964</v>
      </c>
      <c r="GH28" s="10">
        <f t="shared" si="63"/>
        <v>0.2876810494293584</v>
      </c>
      <c r="GI28" s="9">
        <f t="shared" si="119"/>
        <v>10.944041201485305</v>
      </c>
      <c r="GJ28" s="8">
        <f t="shared" si="120"/>
        <v>-6.216992432425041</v>
      </c>
      <c r="GK28" s="8">
        <f t="shared" si="121"/>
        <v>0.33006177206763354</v>
      </c>
      <c r="GL28" s="7">
        <f t="shared" si="122"/>
        <v>0.33001974835264614</v>
      </c>
      <c r="GM28" s="6">
        <f t="shared" si="64"/>
        <v>0.49319477621228747</v>
      </c>
      <c r="GN28" s="5">
        <f t="shared" si="65"/>
        <v>0.7629751823446832</v>
      </c>
      <c r="GO28" s="4">
        <f t="shared" si="66"/>
        <v>0.592254463910735</v>
      </c>
      <c r="GP28" s="4">
        <f t="shared" si="67"/>
        <v>0.88818423022188309</v>
      </c>
      <c r="GQ28" s="4">
        <f t="shared" si="68"/>
        <v>5.5807249253960189E-2</v>
      </c>
      <c r="GR28" s="1"/>
    </row>
    <row r="29" spans="1:200" x14ac:dyDescent="0.4">
      <c r="A29" s="34"/>
      <c r="B29" s="21"/>
      <c r="C29" s="21"/>
      <c r="D29" s="34"/>
      <c r="E29" s="34"/>
      <c r="F29" s="20" t="s">
        <v>134</v>
      </c>
      <c r="G29" s="19">
        <v>1050</v>
      </c>
      <c r="H29" s="18">
        <v>1E-4</v>
      </c>
      <c r="I29" s="17">
        <v>1.5</v>
      </c>
      <c r="J29" s="16">
        <v>49.6</v>
      </c>
      <c r="K29" s="16">
        <v>0.92</v>
      </c>
      <c r="L29" s="16">
        <v>14.6</v>
      </c>
      <c r="M29" s="16">
        <v>0</v>
      </c>
      <c r="N29" s="16">
        <v>9</v>
      </c>
      <c r="O29" s="16">
        <v>0</v>
      </c>
      <c r="P29" s="16">
        <v>8.6999999999999993</v>
      </c>
      <c r="Q29" s="16">
        <v>12.4</v>
      </c>
      <c r="R29" s="16">
        <v>2.2999999999999998</v>
      </c>
      <c r="S29" s="16">
        <v>0.21</v>
      </c>
      <c r="T29" s="16">
        <v>0</v>
      </c>
      <c r="U29" s="15">
        <v>2</v>
      </c>
      <c r="V29" s="16"/>
      <c r="W29" s="28">
        <f t="shared" si="69"/>
        <v>49.734282562919887</v>
      </c>
      <c r="X29" s="24">
        <f t="shared" si="127"/>
        <v>0.92249072495738482</v>
      </c>
      <c r="Y29" s="24">
        <f t="shared" si="127"/>
        <v>14.639526722149803</v>
      </c>
      <c r="Z29" s="24">
        <f t="shared" si="127"/>
        <v>0</v>
      </c>
      <c r="AA29" s="24">
        <f t="shared" si="127"/>
        <v>9.024365787626591</v>
      </c>
      <c r="AB29" s="24">
        <f t="shared" si="127"/>
        <v>0</v>
      </c>
      <c r="AC29" s="24">
        <f t="shared" si="127"/>
        <v>8.7235535947057041</v>
      </c>
      <c r="AD29" s="24">
        <f t="shared" si="127"/>
        <v>12.433570640729972</v>
      </c>
      <c r="AE29" s="24">
        <f t="shared" si="127"/>
        <v>2.3062268123934619</v>
      </c>
      <c r="AF29" s="24">
        <f t="shared" si="127"/>
        <v>0.21056853504462045</v>
      </c>
      <c r="AG29" s="24">
        <f t="shared" si="127"/>
        <v>0</v>
      </c>
      <c r="AH29" s="24">
        <f t="shared" si="127"/>
        <v>2.0054146194725759</v>
      </c>
      <c r="AI29" s="14">
        <f t="shared" si="123"/>
        <v>99.999999999999986</v>
      </c>
      <c r="AJ29" s="26"/>
      <c r="AK29" s="50">
        <f t="shared" si="70"/>
        <v>0.82766321456015779</v>
      </c>
      <c r="AL29" s="47">
        <f t="shared" si="71"/>
        <v>1.1545566019491674E-2</v>
      </c>
      <c r="AM29" s="47">
        <f t="shared" si="72"/>
        <v>0.14358107809091608</v>
      </c>
      <c r="AN29" s="49">
        <f t="shared" si="73"/>
        <v>0</v>
      </c>
      <c r="AO29" s="49">
        <f t="shared" si="74"/>
        <v>0.12560008055151833</v>
      </c>
      <c r="AP29" s="47">
        <f t="shared" si="75"/>
        <v>0</v>
      </c>
      <c r="AQ29" s="47">
        <f t="shared" si="76"/>
        <v>0.21635797605916926</v>
      </c>
      <c r="AR29" s="47">
        <f t="shared" si="77"/>
        <v>0.22171131670345884</v>
      </c>
      <c r="AS29" s="47">
        <f t="shared" si="78"/>
        <v>3.720920962235337E-2</v>
      </c>
      <c r="AT29" s="47">
        <f t="shared" si="79"/>
        <v>2.23533476692803E-3</v>
      </c>
      <c r="AU29" s="47">
        <f t="shared" si="80"/>
        <v>0</v>
      </c>
      <c r="AV29" s="47">
        <f t="shared" si="81"/>
        <v>0.11128826967106414</v>
      </c>
      <c r="AW29" s="47">
        <f t="shared" si="82"/>
        <v>1.6971920460450571</v>
      </c>
      <c r="AX29" s="47">
        <f t="shared" si="83"/>
        <v>8.9486757347560827E-2</v>
      </c>
      <c r="AY29" s="46">
        <f t="shared" si="84"/>
        <v>1.8062397646735767E-2</v>
      </c>
      <c r="AZ29" s="26"/>
      <c r="BA29" s="23">
        <f t="shared" si="85"/>
        <v>0.48766621107425634</v>
      </c>
      <c r="BB29" s="13">
        <f t="shared" si="6"/>
        <v>6.802745774348958E-3</v>
      </c>
      <c r="BC29" s="13">
        <f t="shared" si="7"/>
        <v>8.4599193370898162E-2</v>
      </c>
      <c r="BD29" s="13">
        <f t="shared" si="8"/>
        <v>0</v>
      </c>
      <c r="BE29" s="13">
        <f t="shared" si="9"/>
        <v>7.4004636566735296E-2</v>
      </c>
      <c r="BF29" s="13">
        <f t="shared" si="10"/>
        <v>5.2726359138961655E-2</v>
      </c>
      <c r="BG29" s="13">
        <f t="shared" si="11"/>
        <v>1.064251844028277E-2</v>
      </c>
      <c r="BH29" s="13">
        <f t="shared" si="12"/>
        <v>0</v>
      </c>
      <c r="BI29" s="13">
        <f t="shared" si="13"/>
        <v>0.12747996112952875</v>
      </c>
      <c r="BJ29" s="13">
        <f t="shared" si="14"/>
        <v>0.13063419500469001</v>
      </c>
      <c r="BK29" s="13">
        <f t="shared" si="15"/>
        <v>2.1923983033659316E-2</v>
      </c>
      <c r="BL29" s="13">
        <f t="shared" si="16"/>
        <v>1.3170782718060689E-3</v>
      </c>
      <c r="BM29" s="13">
        <f t="shared" si="17"/>
        <v>0</v>
      </c>
      <c r="BN29" s="13">
        <f t="shared" si="86"/>
        <v>6.5571995774077324E-2</v>
      </c>
      <c r="BO29" s="12">
        <f t="shared" si="87"/>
        <v>0.93442800422592276</v>
      </c>
      <c r="BP29" s="13"/>
      <c r="BQ29" s="23">
        <f t="shared" si="88"/>
        <v>1.6553264291203156</v>
      </c>
      <c r="BR29" s="13">
        <f t="shared" si="18"/>
        <v>2.3091132038983348E-2</v>
      </c>
      <c r="BS29" s="13">
        <f t="shared" si="19"/>
        <v>0.43057431535734714</v>
      </c>
      <c r="BT29" s="13">
        <f t="shared" si="20"/>
        <v>0</v>
      </c>
      <c r="BU29" s="13">
        <f t="shared" si="21"/>
        <v>0.12560008055151833</v>
      </c>
      <c r="BV29" s="13">
        <f t="shared" si="89"/>
        <v>8.9486757347560827E-2</v>
      </c>
      <c r="BW29" s="24">
        <f t="shared" si="90"/>
        <v>5.4187192940207303E-2</v>
      </c>
      <c r="BX29" s="13">
        <f t="shared" si="22"/>
        <v>0</v>
      </c>
      <c r="BY29" s="13">
        <f t="shared" si="23"/>
        <v>0.21646534974455844</v>
      </c>
      <c r="BZ29" s="13">
        <f t="shared" si="24"/>
        <v>0.22163227523582837</v>
      </c>
      <c r="CA29" s="13">
        <f t="shared" si="25"/>
        <v>3.7197206651507449E-2</v>
      </c>
      <c r="CB29" s="13">
        <f t="shared" si="26"/>
        <v>2.23533476692803E-3</v>
      </c>
      <c r="CC29" s="13">
        <f t="shared" si="27"/>
        <v>0</v>
      </c>
      <c r="CD29" s="13">
        <f t="shared" si="91"/>
        <v>0.11128826967106414</v>
      </c>
      <c r="CE29" s="12">
        <f t="shared" si="92"/>
        <v>2.823410393138051</v>
      </c>
      <c r="CF29" s="13"/>
      <c r="CG29" s="23">
        <f t="shared" si="129"/>
        <v>0.58628615703313314</v>
      </c>
      <c r="CH29" s="13">
        <f t="shared" si="129"/>
        <v>8.1784540055188162E-3</v>
      </c>
      <c r="CI29" s="13">
        <f t="shared" si="129"/>
        <v>0.1525014983311688</v>
      </c>
      <c r="CJ29" s="13">
        <f t="shared" si="129"/>
        <v>0</v>
      </c>
      <c r="CK29" s="13">
        <f t="shared" si="128"/>
        <v>4.4485237022847887E-2</v>
      </c>
      <c r="CL29" s="13">
        <f t="shared" si="128"/>
        <v>3.1694562563432969E-2</v>
      </c>
      <c r="CM29" s="13">
        <f t="shared" si="128"/>
        <v>1.9192106493587529E-2</v>
      </c>
      <c r="CN29" s="13">
        <f t="shared" si="128"/>
        <v>0</v>
      </c>
      <c r="CO29" s="13">
        <f t="shared" si="128"/>
        <v>7.6668043112205944E-2</v>
      </c>
      <c r="CP29" s="13">
        <f t="shared" si="128"/>
        <v>7.8498073030572588E-2</v>
      </c>
      <c r="CQ29" s="13">
        <f t="shared" si="128"/>
        <v>1.3174566029051479E-2</v>
      </c>
      <c r="CR29" s="13">
        <f t="shared" si="128"/>
        <v>7.9171443597456971E-4</v>
      </c>
      <c r="CS29" s="13">
        <f t="shared" si="128"/>
        <v>0</v>
      </c>
      <c r="CT29" s="13">
        <f t="shared" si="128"/>
        <v>3.9416256999526701E-2</v>
      </c>
      <c r="CU29" s="12">
        <f t="shared" si="29"/>
        <v>0.99999999999999989</v>
      </c>
      <c r="CV29" s="26"/>
      <c r="CW29" s="23">
        <f t="shared" si="30"/>
        <v>0.82766321456015779</v>
      </c>
      <c r="CX29" s="13">
        <f t="shared" si="31"/>
        <v>1.1545566019491674E-2</v>
      </c>
      <c r="CY29" s="13">
        <f t="shared" si="32"/>
        <v>0.28704954357156476</v>
      </c>
      <c r="CZ29" s="13">
        <f t="shared" si="33"/>
        <v>0</v>
      </c>
      <c r="DA29" s="13">
        <f t="shared" si="34"/>
        <v>0.17270194986072424</v>
      </c>
      <c r="DB29" s="13">
        <f t="shared" si="35"/>
        <v>8.9486757347560827E-2</v>
      </c>
      <c r="DC29" s="24">
        <f t="shared" si="36"/>
        <v>3.6124795293471533E-2</v>
      </c>
      <c r="DD29" s="13">
        <f t="shared" si="37"/>
        <v>0</v>
      </c>
      <c r="DE29" s="13">
        <f t="shared" si="38"/>
        <v>0.21646534974455844</v>
      </c>
      <c r="DF29" s="13">
        <f t="shared" si="39"/>
        <v>0.22163227523582837</v>
      </c>
      <c r="DG29" s="13">
        <f t="shared" si="40"/>
        <v>7.4394413303014897E-2</v>
      </c>
      <c r="DH29" s="13">
        <f t="shared" si="41"/>
        <v>4.4706695338560601E-3</v>
      </c>
      <c r="DI29" s="13">
        <f t="shared" si="42"/>
        <v>0</v>
      </c>
      <c r="DJ29" s="13">
        <f t="shared" si="93"/>
        <v>0.22257653934212829</v>
      </c>
      <c r="DK29" s="12">
        <f t="shared" si="94"/>
        <v>2.038499521171325</v>
      </c>
      <c r="DL29" s="26"/>
      <c r="DM29" s="23">
        <f t="shared" si="95"/>
        <v>0.40601589844111474</v>
      </c>
      <c r="DN29" s="13">
        <f t="shared" si="95"/>
        <v>5.663757042659286E-3</v>
      </c>
      <c r="DO29" s="13">
        <f t="shared" si="95"/>
        <v>0.14081413343017399</v>
      </c>
      <c r="DP29" s="13">
        <f t="shared" si="95"/>
        <v>0</v>
      </c>
      <c r="DQ29" s="13">
        <f t="shared" si="95"/>
        <v>8.4720132659873978E-2</v>
      </c>
      <c r="DR29" s="13">
        <f t="shared" si="95"/>
        <v>4.3898346022736172E-2</v>
      </c>
      <c r="DS29" s="13">
        <f t="shared" si="95"/>
        <v>1.7721267490273515E-2</v>
      </c>
      <c r="DT29" s="13">
        <f t="shared" si="95"/>
        <v>0</v>
      </c>
      <c r="DU29" s="13">
        <f t="shared" si="95"/>
        <v>0.10618857031674803</v>
      </c>
      <c r="DV29" s="13">
        <f t="shared" si="95"/>
        <v>0.10872324125368356</v>
      </c>
      <c r="DW29" s="13">
        <f t="shared" si="95"/>
        <v>3.6494692557135236E-2</v>
      </c>
      <c r="DX29" s="13">
        <f t="shared" si="95"/>
        <v>2.1931177748264596E-3</v>
      </c>
      <c r="DY29" s="13">
        <f t="shared" si="95"/>
        <v>0</v>
      </c>
      <c r="DZ29" s="13">
        <f t="shared" si="95"/>
        <v>0.10918645652378445</v>
      </c>
      <c r="EA29" s="12">
        <f t="shared" si="44"/>
        <v>1</v>
      </c>
      <c r="EB29" s="26"/>
      <c r="EC29" s="30">
        <f t="shared" si="45"/>
        <v>1323</v>
      </c>
      <c r="ED29" s="14">
        <f t="shared" si="96"/>
        <v>100000</v>
      </c>
      <c r="EE29" s="29"/>
      <c r="EF29" s="128">
        <f t="shared" si="124"/>
        <v>-8.7342365835222964</v>
      </c>
      <c r="EG29" s="13">
        <f t="shared" si="97"/>
        <v>1.5</v>
      </c>
      <c r="EH29" s="13">
        <f t="shared" si="98"/>
        <v>0.74926606198035017</v>
      </c>
      <c r="EI29" s="12">
        <f t="shared" si="46"/>
        <v>5.3414996220710531</v>
      </c>
      <c r="EJ29" s="29"/>
      <c r="EK29" s="28">
        <f t="shared" si="99"/>
        <v>-1.6005759712230521</v>
      </c>
      <c r="EL29" s="24">
        <f t="shared" si="100"/>
        <v>-0.69499607955842468</v>
      </c>
      <c r="EM29" s="24">
        <f t="shared" si="101"/>
        <v>0.20178026489269058</v>
      </c>
      <c r="EN29" s="24">
        <f t="shared" si="102"/>
        <v>5.2726359138961662E-2</v>
      </c>
      <c r="EO29" s="24">
        <f t="shared" si="103"/>
        <v>1.0639138713886821E-2</v>
      </c>
      <c r="EP29" s="24">
        <f t="shared" si="104"/>
        <v>0.28752627422993271</v>
      </c>
      <c r="EQ29" s="24">
        <f t="shared" si="105"/>
        <v>-1.6002583524962883</v>
      </c>
      <c r="ER29" s="24">
        <f t="shared" si="47"/>
        <v>-20.109295756269134</v>
      </c>
      <c r="ES29" s="25">
        <f t="shared" si="48"/>
        <v>-8.7317827860482566</v>
      </c>
      <c r="ET29" s="26">
        <v>2</v>
      </c>
      <c r="EU29" s="26">
        <v>0.29083888041780531</v>
      </c>
      <c r="EV29" s="26">
        <v>0.33349920095859442</v>
      </c>
      <c r="EW29" s="26">
        <v>0.28752627422993271</v>
      </c>
      <c r="EX29" s="26">
        <v>0.3325427578609339</v>
      </c>
      <c r="EY29" s="26">
        <f t="shared" si="106"/>
        <v>0.99713209778340883</v>
      </c>
      <c r="EZ29" s="26">
        <f t="shared" si="107"/>
        <v>1.0115210555861185</v>
      </c>
      <c r="FA29" s="23">
        <f t="shared" si="125"/>
        <v>-1.2309946237293481</v>
      </c>
      <c r="FB29" s="190">
        <f t="shared" si="108"/>
        <v>5.5489663523511479E-2</v>
      </c>
      <c r="FC29" s="124">
        <v>6.2646889236044334E-2</v>
      </c>
      <c r="FD29" s="26"/>
      <c r="FE29" s="27">
        <f t="shared" si="109"/>
        <v>0.88818423022188309</v>
      </c>
      <c r="FF29" s="26"/>
      <c r="FG29" s="23">
        <f t="shared" si="49"/>
        <v>-4.0917287016668675</v>
      </c>
      <c r="FH29" s="13">
        <f t="shared" si="50"/>
        <v>14.647270910688206</v>
      </c>
      <c r="FI29" s="13">
        <f t="shared" si="51"/>
        <v>-21.845149910644157</v>
      </c>
      <c r="FJ29" s="13">
        <f t="shared" si="52"/>
        <v>0.36150361119585739</v>
      </c>
      <c r="FK29" s="12">
        <f t="shared" si="53"/>
        <v>0.58940436713627931</v>
      </c>
      <c r="FL29" s="13"/>
      <c r="FM29" s="23">
        <f t="shared" si="54"/>
        <v>-6.0518917720363126</v>
      </c>
      <c r="FN29" s="13">
        <f t="shared" si="55"/>
        <v>11.401052229012638</v>
      </c>
      <c r="FO29" s="13">
        <f t="shared" si="56"/>
        <v>11.920677983694475</v>
      </c>
      <c r="FP29" s="24">
        <f t="shared" si="110"/>
        <v>0.49106164581381828</v>
      </c>
      <c r="FQ29" s="25">
        <f t="shared" si="57"/>
        <v>0.76146447893336278</v>
      </c>
      <c r="FR29" s="13"/>
      <c r="FS29" s="23">
        <f t="shared" si="111"/>
        <v>10.950698945472624</v>
      </c>
      <c r="FT29" s="13">
        <f t="shared" si="126"/>
        <v>-6.2151982660846921</v>
      </c>
      <c r="FU29" s="13">
        <f t="shared" si="112"/>
        <v>-0.30257595548727778</v>
      </c>
      <c r="FV29" s="13">
        <f t="shared" si="58"/>
        <v>0.3325427578609339</v>
      </c>
      <c r="FW29" s="23">
        <f t="shared" si="113"/>
        <v>-0.30265849516981902</v>
      </c>
      <c r="FX29" s="13">
        <f t="shared" si="114"/>
        <v>0.33250057504151564</v>
      </c>
      <c r="FY29" s="13">
        <f t="shared" si="115"/>
        <v>-0.30262614445175373</v>
      </c>
      <c r="FZ29" s="13">
        <f t="shared" si="116"/>
        <v>0.33251710791448008</v>
      </c>
      <c r="GA29" s="13">
        <f t="shared" si="117"/>
        <v>-0.302666809606702</v>
      </c>
      <c r="GB29" s="12">
        <f t="shared" si="118"/>
        <v>0.33249632600529266</v>
      </c>
      <c r="GC29" s="22"/>
      <c r="GD29" s="11">
        <f t="shared" si="59"/>
        <v>1.5</v>
      </c>
      <c r="GE29" s="10">
        <f t="shared" si="60"/>
        <v>0.74926606198035017</v>
      </c>
      <c r="GF29" s="10">
        <f t="shared" si="61"/>
        <v>5.3414996220710531</v>
      </c>
      <c r="GG29" s="5">
        <f t="shared" si="62"/>
        <v>-8.7342365835222964</v>
      </c>
      <c r="GH29" s="10">
        <f t="shared" si="63"/>
        <v>0.28752627422993271</v>
      </c>
      <c r="GI29" s="9">
        <f t="shared" si="119"/>
        <v>10.950698945472624</v>
      </c>
      <c r="GJ29" s="8">
        <f t="shared" si="120"/>
        <v>-6.2151982660846921</v>
      </c>
      <c r="GK29" s="8">
        <f t="shared" si="121"/>
        <v>0.3325427578609339</v>
      </c>
      <c r="GL29" s="7">
        <f t="shared" si="122"/>
        <v>0.33250057504151564</v>
      </c>
      <c r="GM29" s="6">
        <f t="shared" si="64"/>
        <v>0.49106164581381828</v>
      </c>
      <c r="GN29" s="5">
        <f t="shared" si="65"/>
        <v>0.76146447893336278</v>
      </c>
      <c r="GO29" s="4">
        <f t="shared" si="66"/>
        <v>0.58940436713627931</v>
      </c>
      <c r="GP29" s="4">
        <f t="shared" si="67"/>
        <v>0.88818423022188309</v>
      </c>
      <c r="GQ29" s="4">
        <f t="shared" si="68"/>
        <v>5.5489663523511479E-2</v>
      </c>
      <c r="GR29" s="1"/>
    </row>
    <row r="30" spans="1:200" x14ac:dyDescent="0.4">
      <c r="A30" s="34"/>
      <c r="B30" s="21"/>
      <c r="C30" s="21"/>
      <c r="D30" s="34"/>
      <c r="E30" s="34"/>
      <c r="F30" s="20" t="s">
        <v>134</v>
      </c>
      <c r="G30" s="19">
        <v>1050</v>
      </c>
      <c r="H30" s="18">
        <v>1E-4</v>
      </c>
      <c r="I30" s="17">
        <v>1.5</v>
      </c>
      <c r="J30" s="16">
        <v>49.6</v>
      </c>
      <c r="K30" s="16">
        <v>0.92</v>
      </c>
      <c r="L30" s="16">
        <v>14.6</v>
      </c>
      <c r="M30" s="16">
        <v>0</v>
      </c>
      <c r="N30" s="16">
        <v>9</v>
      </c>
      <c r="O30" s="16">
        <v>0</v>
      </c>
      <c r="P30" s="16">
        <v>8.6999999999999993</v>
      </c>
      <c r="Q30" s="16">
        <v>12.4</v>
      </c>
      <c r="R30" s="16">
        <v>2.2999999999999998</v>
      </c>
      <c r="S30" s="16">
        <v>0.21</v>
      </c>
      <c r="T30" s="16">
        <v>0</v>
      </c>
      <c r="U30" s="15">
        <v>2.1</v>
      </c>
      <c r="V30" s="16"/>
      <c r="W30" s="28">
        <f t="shared" si="69"/>
        <v>49.684463588099767</v>
      </c>
      <c r="X30" s="24">
        <f t="shared" si="127"/>
        <v>0.92156666332765713</v>
      </c>
      <c r="Y30" s="24">
        <f t="shared" si="127"/>
        <v>14.624862265851949</v>
      </c>
      <c r="Z30" s="24">
        <f t="shared" si="127"/>
        <v>0</v>
      </c>
      <c r="AA30" s="24">
        <f t="shared" si="127"/>
        <v>9.0153260542922968</v>
      </c>
      <c r="AB30" s="24">
        <f t="shared" si="127"/>
        <v>0</v>
      </c>
      <c r="AC30" s="24">
        <f t="shared" si="127"/>
        <v>8.7148151858158869</v>
      </c>
      <c r="AD30" s="24">
        <f t="shared" si="127"/>
        <v>12.421115897024942</v>
      </c>
      <c r="AE30" s="24">
        <f t="shared" si="127"/>
        <v>2.3039166583191424</v>
      </c>
      <c r="AF30" s="24">
        <f t="shared" si="127"/>
        <v>0.21035760793348693</v>
      </c>
      <c r="AG30" s="24">
        <f t="shared" si="127"/>
        <v>0</v>
      </c>
      <c r="AH30" s="24">
        <f t="shared" si="127"/>
        <v>2.1035760793348692</v>
      </c>
      <c r="AI30" s="14">
        <f t="shared" si="123"/>
        <v>100</v>
      </c>
      <c r="AJ30" s="26"/>
      <c r="AK30" s="50">
        <f t="shared" si="70"/>
        <v>0.82683414192211291</v>
      </c>
      <c r="AL30" s="47">
        <f t="shared" si="71"/>
        <v>1.1534000792586447E-2</v>
      </c>
      <c r="AM30" s="47">
        <f t="shared" si="72"/>
        <v>0.1434372525093365</v>
      </c>
      <c r="AN30" s="49">
        <f t="shared" si="73"/>
        <v>0</v>
      </c>
      <c r="AO30" s="49">
        <f t="shared" si="74"/>
        <v>0.12547426658722752</v>
      </c>
      <c r="AP30" s="47">
        <f t="shared" si="75"/>
        <v>0</v>
      </c>
      <c r="AQ30" s="47">
        <f t="shared" si="76"/>
        <v>0.21614124964821149</v>
      </c>
      <c r="AR30" s="47">
        <f t="shared" si="77"/>
        <v>0.22148922783568015</v>
      </c>
      <c r="AS30" s="47">
        <f t="shared" si="78"/>
        <v>3.717193704935693E-2</v>
      </c>
      <c r="AT30" s="47">
        <f t="shared" si="79"/>
        <v>2.2330956256208802E-3</v>
      </c>
      <c r="AU30" s="47">
        <f t="shared" si="80"/>
        <v>0</v>
      </c>
      <c r="AV30" s="47">
        <f t="shared" si="81"/>
        <v>0.11673563148362205</v>
      </c>
      <c r="AW30" s="47">
        <f t="shared" si="82"/>
        <v>1.701050803453755</v>
      </c>
      <c r="AX30" s="47">
        <f t="shared" si="83"/>
        <v>8.9416405409471489E-2</v>
      </c>
      <c r="AY30" s="46">
        <f t="shared" si="84"/>
        <v>1.8034657824347041E-2</v>
      </c>
      <c r="AZ30" s="26"/>
      <c r="BA30" s="23">
        <f t="shared" si="85"/>
        <v>0.48607257363703499</v>
      </c>
      <c r="BB30" s="13">
        <f t="shared" si="6"/>
        <v>6.7805151787167133E-3</v>
      </c>
      <c r="BC30" s="13">
        <f t="shared" si="7"/>
        <v>8.432273287670565E-2</v>
      </c>
      <c r="BD30" s="13">
        <f t="shared" si="8"/>
        <v>0</v>
      </c>
      <c r="BE30" s="13">
        <f t="shared" si="9"/>
        <v>7.3762797873213951E-2</v>
      </c>
      <c r="BF30" s="13">
        <f t="shared" si="10"/>
        <v>5.2565393830638976E-2</v>
      </c>
      <c r="BG30" s="13">
        <f t="shared" si="11"/>
        <v>1.0602068902192747E-2</v>
      </c>
      <c r="BH30" s="13">
        <f t="shared" si="12"/>
        <v>0</v>
      </c>
      <c r="BI30" s="13">
        <f t="shared" si="13"/>
        <v>0.12706337118760105</v>
      </c>
      <c r="BJ30" s="13">
        <f t="shared" si="14"/>
        <v>0.1302072973869893</v>
      </c>
      <c r="BK30" s="13">
        <f t="shared" si="15"/>
        <v>2.1852337963031033E-2</v>
      </c>
      <c r="BL30" s="13">
        <f t="shared" si="16"/>
        <v>1.3127742105567216E-3</v>
      </c>
      <c r="BM30" s="13">
        <f t="shared" si="17"/>
        <v>0</v>
      </c>
      <c r="BN30" s="13">
        <f t="shared" si="86"/>
        <v>6.8625599686150493E-2</v>
      </c>
      <c r="BO30" s="12">
        <f t="shared" si="87"/>
        <v>0.93137440031384933</v>
      </c>
      <c r="BP30" s="13"/>
      <c r="BQ30" s="23">
        <f t="shared" si="88"/>
        <v>1.6536682838442258</v>
      </c>
      <c r="BR30" s="13">
        <f t="shared" si="18"/>
        <v>2.3068001585172894E-2</v>
      </c>
      <c r="BS30" s="13">
        <f t="shared" si="19"/>
        <v>0.43014300781917497</v>
      </c>
      <c r="BT30" s="13">
        <f t="shared" si="20"/>
        <v>0</v>
      </c>
      <c r="BU30" s="13">
        <f t="shared" si="21"/>
        <v>0.12547426658722752</v>
      </c>
      <c r="BV30" s="13">
        <f t="shared" si="89"/>
        <v>8.9416405409471489E-2</v>
      </c>
      <c r="BW30" s="24">
        <f t="shared" si="90"/>
        <v>5.4103973473041127E-2</v>
      </c>
      <c r="BX30" s="13">
        <f t="shared" si="22"/>
        <v>0</v>
      </c>
      <c r="BY30" s="13">
        <f t="shared" si="23"/>
        <v>0.21624851577706916</v>
      </c>
      <c r="BZ30" s="13">
        <f t="shared" si="24"/>
        <v>0.22141026554411661</v>
      </c>
      <c r="CA30" s="13">
        <f t="shared" si="25"/>
        <v>3.7159946101921651E-2</v>
      </c>
      <c r="CB30" s="13">
        <f t="shared" si="26"/>
        <v>2.2330956256208802E-3</v>
      </c>
      <c r="CC30" s="13">
        <f t="shared" si="27"/>
        <v>0</v>
      </c>
      <c r="CD30" s="13">
        <f t="shared" si="91"/>
        <v>0.11673563148362205</v>
      </c>
      <c r="CE30" s="12">
        <f t="shared" si="92"/>
        <v>2.8261410143681513</v>
      </c>
      <c r="CF30" s="13"/>
      <c r="CG30" s="23">
        <f t="shared" si="129"/>
        <v>0.58513296945798055</v>
      </c>
      <c r="CH30" s="13">
        <f t="shared" si="129"/>
        <v>8.1623675067502861E-3</v>
      </c>
      <c r="CI30" s="13">
        <f t="shared" si="129"/>
        <v>0.15220153758510996</v>
      </c>
      <c r="CJ30" s="13">
        <f t="shared" si="129"/>
        <v>0</v>
      </c>
      <c r="CK30" s="13">
        <f t="shared" si="128"/>
        <v>4.4397737391486877E-2</v>
      </c>
      <c r="CL30" s="13">
        <f t="shared" si="128"/>
        <v>3.1639045948123924E-2</v>
      </c>
      <c r="CM30" s="13">
        <f t="shared" si="128"/>
        <v>1.9144116729482203E-2</v>
      </c>
      <c r="CN30" s="13">
        <f t="shared" si="128"/>
        <v>0</v>
      </c>
      <c r="CO30" s="13">
        <f t="shared" si="128"/>
        <v>7.6517241948529047E-2</v>
      </c>
      <c r="CP30" s="13">
        <f t="shared" si="128"/>
        <v>7.8343672314460905E-2</v>
      </c>
      <c r="CQ30" s="13">
        <f t="shared" si="128"/>
        <v>1.3148652495752979E-2</v>
      </c>
      <c r="CR30" s="13">
        <f t="shared" si="128"/>
        <v>7.9015718404275737E-4</v>
      </c>
      <c r="CS30" s="13">
        <f t="shared" si="128"/>
        <v>0</v>
      </c>
      <c r="CT30" s="13">
        <f t="shared" si="128"/>
        <v>4.1305664115886653E-2</v>
      </c>
      <c r="CU30" s="12">
        <f t="shared" si="29"/>
        <v>1</v>
      </c>
      <c r="CV30" s="26"/>
      <c r="CW30" s="23">
        <f t="shared" si="30"/>
        <v>0.82683414192211291</v>
      </c>
      <c r="CX30" s="13">
        <f t="shared" si="31"/>
        <v>1.1534000792586447E-2</v>
      </c>
      <c r="CY30" s="13">
        <f t="shared" si="32"/>
        <v>0.28676200521278333</v>
      </c>
      <c r="CZ30" s="13">
        <f t="shared" si="33"/>
        <v>0</v>
      </c>
      <c r="DA30" s="13">
        <f t="shared" si="34"/>
        <v>0.17270194986072424</v>
      </c>
      <c r="DB30" s="13">
        <f t="shared" si="35"/>
        <v>8.9416405409471489E-2</v>
      </c>
      <c r="DC30" s="24">
        <f t="shared" si="36"/>
        <v>3.6069315648694082E-2</v>
      </c>
      <c r="DD30" s="13">
        <f t="shared" si="37"/>
        <v>0</v>
      </c>
      <c r="DE30" s="13">
        <f t="shared" si="38"/>
        <v>0.21624851577706916</v>
      </c>
      <c r="DF30" s="13">
        <f t="shared" si="39"/>
        <v>0.22141026554411661</v>
      </c>
      <c r="DG30" s="13">
        <f t="shared" si="40"/>
        <v>7.4319892203843302E-2</v>
      </c>
      <c r="DH30" s="13">
        <f t="shared" si="41"/>
        <v>4.4661912512417605E-3</v>
      </c>
      <c r="DI30" s="13">
        <f t="shared" si="42"/>
        <v>0</v>
      </c>
      <c r="DJ30" s="13">
        <f t="shared" si="93"/>
        <v>0.2334712629672441</v>
      </c>
      <c r="DK30" s="12">
        <f t="shared" si="94"/>
        <v>2.0477482255317221</v>
      </c>
      <c r="DL30" s="26"/>
      <c r="DM30" s="23">
        <f t="shared" si="95"/>
        <v>0.40377724742377236</v>
      </c>
      <c r="DN30" s="13">
        <f t="shared" si="95"/>
        <v>5.6325287692980458E-3</v>
      </c>
      <c r="DO30" s="13">
        <f t="shared" si="95"/>
        <v>0.14003772614102605</v>
      </c>
      <c r="DP30" s="13">
        <f t="shared" si="95"/>
        <v>0</v>
      </c>
      <c r="DQ30" s="13">
        <f t="shared" si="95"/>
        <v>8.4337492132793873E-2</v>
      </c>
      <c r="DR30" s="13">
        <f t="shared" si="95"/>
        <v>4.3665722325923861E-2</v>
      </c>
      <c r="DS30" s="13">
        <f t="shared" si="95"/>
        <v>1.7614135956254221E-2</v>
      </c>
      <c r="DT30" s="13">
        <f t="shared" si="95"/>
        <v>0</v>
      </c>
      <c r="DU30" s="13">
        <f t="shared" si="95"/>
        <v>0.10560307809370348</v>
      </c>
      <c r="DV30" s="13">
        <f t="shared" si="95"/>
        <v>0.10812377360826418</v>
      </c>
      <c r="DW30" s="13">
        <f t="shared" si="95"/>
        <v>3.6293471666686596E-2</v>
      </c>
      <c r="DX30" s="13">
        <f t="shared" si="95"/>
        <v>2.1810255750958157E-3</v>
      </c>
      <c r="DY30" s="13">
        <f t="shared" si="95"/>
        <v>0</v>
      </c>
      <c r="DZ30" s="13">
        <f t="shared" si="95"/>
        <v>0.11401365658935952</v>
      </c>
      <c r="EA30" s="12">
        <f t="shared" si="44"/>
        <v>1</v>
      </c>
      <c r="EB30" s="26"/>
      <c r="EC30" s="30">
        <f t="shared" si="45"/>
        <v>1323</v>
      </c>
      <c r="ED30" s="14">
        <f t="shared" si="96"/>
        <v>100000</v>
      </c>
      <c r="EE30" s="29"/>
      <c r="EF30" s="128">
        <f t="shared" si="124"/>
        <v>-8.7342365835222964</v>
      </c>
      <c r="EG30" s="13">
        <f t="shared" si="97"/>
        <v>1.5</v>
      </c>
      <c r="EH30" s="13">
        <f t="shared" si="98"/>
        <v>0.74926606198035017</v>
      </c>
      <c r="EI30" s="12">
        <f t="shared" si="46"/>
        <v>5.3414996220710531</v>
      </c>
      <c r="EJ30" s="29"/>
      <c r="EK30" s="28">
        <f t="shared" si="99"/>
        <v>-1.601326448461204</v>
      </c>
      <c r="EL30" s="24">
        <f t="shared" si="100"/>
        <v>-0.69532194896274602</v>
      </c>
      <c r="EM30" s="24">
        <f t="shared" si="101"/>
        <v>0.20162889020551364</v>
      </c>
      <c r="EN30" s="24">
        <f t="shared" si="102"/>
        <v>5.2565393830638969E-2</v>
      </c>
      <c r="EO30" s="24">
        <f t="shared" si="103"/>
        <v>1.0598702021287489E-2</v>
      </c>
      <c r="EP30" s="24">
        <f t="shared" si="104"/>
        <v>0.28737255979646825</v>
      </c>
      <c r="EQ30" s="24">
        <f t="shared" si="105"/>
        <v>-1.6010088297344405</v>
      </c>
      <c r="ER30" s="24">
        <f t="shared" si="47"/>
        <v>-20.109295756269134</v>
      </c>
      <c r="ES30" s="25">
        <f t="shared" si="48"/>
        <v>-8.7317827860482566</v>
      </c>
      <c r="ET30" s="26">
        <v>2.1</v>
      </c>
      <c r="EU30" s="26">
        <v>0.29083888041780526</v>
      </c>
      <c r="EV30" s="26">
        <v>0.33602391451897939</v>
      </c>
      <c r="EW30" s="26">
        <v>0.28737255979646825</v>
      </c>
      <c r="EX30" s="26">
        <v>0.33502262303621733</v>
      </c>
      <c r="EY30" s="26">
        <f t="shared" si="106"/>
        <v>0.99702017791145781</v>
      </c>
      <c r="EZ30" s="26">
        <f t="shared" si="107"/>
        <v>1.0120621141552</v>
      </c>
      <c r="FA30" s="23">
        <f t="shared" si="125"/>
        <v>-1.2336020487159338</v>
      </c>
      <c r="FB30" s="190">
        <f t="shared" si="108"/>
        <v>5.5175838526360432E-2</v>
      </c>
      <c r="FC30" s="124">
        <v>6.2646889236044334E-2</v>
      </c>
      <c r="FD30" s="26"/>
      <c r="FE30" s="27">
        <f t="shared" si="109"/>
        <v>0.88818423022188309</v>
      </c>
      <c r="FF30" s="26"/>
      <c r="FG30" s="23">
        <f t="shared" si="49"/>
        <v>-4.1169956101011209</v>
      </c>
      <c r="FH30" s="13">
        <f t="shared" si="50"/>
        <v>14.610343632157264</v>
      </c>
      <c r="FI30" s="13">
        <f t="shared" si="51"/>
        <v>-21.845149910644157</v>
      </c>
      <c r="FJ30" s="13">
        <f t="shared" si="52"/>
        <v>0.34984324109917253</v>
      </c>
      <c r="FK30" s="12">
        <f t="shared" si="53"/>
        <v>0.58657956477615181</v>
      </c>
      <c r="FL30" s="13"/>
      <c r="FM30" s="23">
        <f t="shared" si="54"/>
        <v>-6.0526159684702305</v>
      </c>
      <c r="FN30" s="13">
        <f t="shared" si="55"/>
        <v>11.396636960677423</v>
      </c>
      <c r="FO30" s="13">
        <f t="shared" si="56"/>
        <v>11.916348924410499</v>
      </c>
      <c r="FP30" s="24">
        <f t="shared" si="110"/>
        <v>0.48893774718184579</v>
      </c>
      <c r="FQ30" s="25">
        <f t="shared" si="57"/>
        <v>0.75995353547311262</v>
      </c>
      <c r="FR30" s="13"/>
      <c r="FS30" s="23">
        <f t="shared" si="111"/>
        <v>10.957330498742124</v>
      </c>
      <c r="FT30" s="13">
        <f t="shared" si="126"/>
        <v>-6.2134099323599745</v>
      </c>
      <c r="FU30" s="13">
        <f t="shared" si="112"/>
        <v>-0.29773273594249616</v>
      </c>
      <c r="FV30" s="13">
        <f t="shared" si="58"/>
        <v>0.33502262303621733</v>
      </c>
      <c r="FW30" s="23">
        <f t="shared" si="113"/>
        <v>-0.2978152756250374</v>
      </c>
      <c r="FX30" s="13">
        <f t="shared" si="114"/>
        <v>0.33498028352210796</v>
      </c>
      <c r="FY30" s="13">
        <f t="shared" si="115"/>
        <v>-0.29778292490697211</v>
      </c>
      <c r="FZ30" s="13">
        <f t="shared" si="116"/>
        <v>0.33499687781377463</v>
      </c>
      <c r="GA30" s="13">
        <f t="shared" si="117"/>
        <v>-0.29782359006192038</v>
      </c>
      <c r="GB30" s="12">
        <f t="shared" si="118"/>
        <v>0.33497601869996174</v>
      </c>
      <c r="GC30" s="22"/>
      <c r="GD30" s="11">
        <f t="shared" si="59"/>
        <v>1.5</v>
      </c>
      <c r="GE30" s="10">
        <f t="shared" si="60"/>
        <v>0.74926606198035017</v>
      </c>
      <c r="GF30" s="10">
        <f t="shared" si="61"/>
        <v>5.3414996220710531</v>
      </c>
      <c r="GG30" s="5">
        <f t="shared" si="62"/>
        <v>-8.7342365835222964</v>
      </c>
      <c r="GH30" s="10">
        <f t="shared" si="63"/>
        <v>0.28737255979646825</v>
      </c>
      <c r="GI30" s="9">
        <f t="shared" si="119"/>
        <v>10.957330498742124</v>
      </c>
      <c r="GJ30" s="8">
        <f t="shared" si="120"/>
        <v>-6.2134099323599745</v>
      </c>
      <c r="GK30" s="8">
        <f t="shared" si="121"/>
        <v>0.33502262303621733</v>
      </c>
      <c r="GL30" s="7">
        <f t="shared" si="122"/>
        <v>0.33498028352210796</v>
      </c>
      <c r="GM30" s="6">
        <f t="shared" si="64"/>
        <v>0.48893774718184579</v>
      </c>
      <c r="GN30" s="5">
        <f t="shared" si="65"/>
        <v>0.75995353547311262</v>
      </c>
      <c r="GO30" s="4">
        <f t="shared" si="66"/>
        <v>0.58657956477615181</v>
      </c>
      <c r="GP30" s="4">
        <f t="shared" si="67"/>
        <v>0.88818423022188309</v>
      </c>
      <c r="GQ30" s="4">
        <f t="shared" si="68"/>
        <v>5.5175838526360432E-2</v>
      </c>
      <c r="GR30" s="1"/>
    </row>
    <row r="31" spans="1:200" x14ac:dyDescent="0.4">
      <c r="A31" s="34"/>
      <c r="B31" s="21"/>
      <c r="C31" s="21"/>
      <c r="D31" s="34"/>
      <c r="E31" s="34"/>
      <c r="F31" s="20" t="s">
        <v>134</v>
      </c>
      <c r="G31" s="19">
        <v>1050</v>
      </c>
      <c r="H31" s="18">
        <v>1E-4</v>
      </c>
      <c r="I31" s="17">
        <v>1.5</v>
      </c>
      <c r="J31" s="16">
        <v>49.6</v>
      </c>
      <c r="K31" s="16">
        <v>0.92</v>
      </c>
      <c r="L31" s="16">
        <v>14.6</v>
      </c>
      <c r="M31" s="16">
        <v>0</v>
      </c>
      <c r="N31" s="16">
        <v>9</v>
      </c>
      <c r="O31" s="16">
        <v>0</v>
      </c>
      <c r="P31" s="16">
        <v>8.6999999999999993</v>
      </c>
      <c r="Q31" s="16">
        <v>12.4</v>
      </c>
      <c r="R31" s="16">
        <v>2.2999999999999998</v>
      </c>
      <c r="S31" s="16">
        <v>0.21</v>
      </c>
      <c r="T31" s="16">
        <v>0</v>
      </c>
      <c r="U31" s="15">
        <v>2.2000000000000002</v>
      </c>
      <c r="V31" s="16"/>
      <c r="W31" s="28">
        <f t="shared" si="69"/>
        <v>49.634744321024712</v>
      </c>
      <c r="X31" s="24">
        <f t="shared" si="127"/>
        <v>0.92064445111578097</v>
      </c>
      <c r="Y31" s="24">
        <f t="shared" si="127"/>
        <v>14.610227159011307</v>
      </c>
      <c r="Z31" s="24">
        <f t="shared" si="127"/>
        <v>0</v>
      </c>
      <c r="AA31" s="24">
        <f t="shared" si="127"/>
        <v>9.0063044130891612</v>
      </c>
      <c r="AB31" s="24">
        <f t="shared" si="127"/>
        <v>0</v>
      </c>
      <c r="AC31" s="24">
        <f t="shared" si="127"/>
        <v>8.7060942659861897</v>
      </c>
      <c r="AD31" s="24">
        <f t="shared" si="127"/>
        <v>12.408686080256178</v>
      </c>
      <c r="AE31" s="24">
        <f t="shared" si="127"/>
        <v>2.3016111277894522</v>
      </c>
      <c r="AF31" s="24">
        <f t="shared" si="127"/>
        <v>0.21014710297208045</v>
      </c>
      <c r="AG31" s="24">
        <f t="shared" si="127"/>
        <v>0</v>
      </c>
      <c r="AH31" s="24">
        <f t="shared" si="127"/>
        <v>2.2015410787551288</v>
      </c>
      <c r="AI31" s="14">
        <f t="shared" si="123"/>
        <v>100</v>
      </c>
      <c r="AJ31" s="26"/>
      <c r="AK31" s="50">
        <f t="shared" si="70"/>
        <v>0.82600672859085889</v>
      </c>
      <c r="AL31" s="47">
        <f t="shared" si="71"/>
        <v>1.1522458712337683E-2</v>
      </c>
      <c r="AM31" s="47">
        <f t="shared" si="72"/>
        <v>0.14329371478041691</v>
      </c>
      <c r="AN31" s="49">
        <f t="shared" si="73"/>
        <v>0</v>
      </c>
      <c r="AO31" s="49">
        <f t="shared" si="74"/>
        <v>0.1253487044271282</v>
      </c>
      <c r="AP31" s="47">
        <f t="shared" si="75"/>
        <v>0</v>
      </c>
      <c r="AQ31" s="47">
        <f t="shared" si="76"/>
        <v>0.21592495699370509</v>
      </c>
      <c r="AR31" s="47">
        <f t="shared" si="77"/>
        <v>0.22126758345677922</v>
      </c>
      <c r="AS31" s="47">
        <f t="shared" si="78"/>
        <v>3.7134739073724624E-2</v>
      </c>
      <c r="AT31" s="47">
        <f t="shared" si="79"/>
        <v>2.2308609657333378E-3</v>
      </c>
      <c r="AU31" s="47">
        <f t="shared" si="80"/>
        <v>0</v>
      </c>
      <c r="AV31" s="47">
        <f t="shared" si="81"/>
        <v>0.12217209094090616</v>
      </c>
      <c r="AW31" s="47">
        <f t="shared" si="82"/>
        <v>1.7049018379415901</v>
      </c>
      <c r="AX31" s="47">
        <f t="shared" si="83"/>
        <v>8.9346062665080397E-2</v>
      </c>
      <c r="AY31" s="46">
        <f t="shared" si="84"/>
        <v>1.8007039345739873E-2</v>
      </c>
      <c r="AZ31" s="26"/>
      <c r="BA31" s="23">
        <f t="shared" si="85"/>
        <v>0.48448931792350958</v>
      </c>
      <c r="BB31" s="13">
        <f t="shared" si="6"/>
        <v>6.7584294039176474E-3</v>
      </c>
      <c r="BC31" s="13">
        <f t="shared" si="7"/>
        <v>8.4048073379651173E-2</v>
      </c>
      <c r="BD31" s="13">
        <f t="shared" si="8"/>
        <v>0</v>
      </c>
      <c r="BE31" s="13">
        <f t="shared" si="9"/>
        <v>7.35225346337052E-2</v>
      </c>
      <c r="BF31" s="13">
        <f t="shared" si="10"/>
        <v>5.2405399933730022E-2</v>
      </c>
      <c r="BG31" s="13">
        <f t="shared" si="11"/>
        <v>1.0561921481345013E-2</v>
      </c>
      <c r="BH31" s="13">
        <f t="shared" si="12"/>
        <v>0</v>
      </c>
      <c r="BI31" s="13">
        <f t="shared" si="13"/>
        <v>0.12664949511369034</v>
      </c>
      <c r="BJ31" s="13">
        <f t="shared" si="14"/>
        <v>0.12978318078648224</v>
      </c>
      <c r="BK31" s="13">
        <f t="shared" si="15"/>
        <v>2.178115962298403E-2</v>
      </c>
      <c r="BL31" s="13">
        <f t="shared" si="16"/>
        <v>1.3084981880404113E-3</v>
      </c>
      <c r="BM31" s="13">
        <f t="shared" si="17"/>
        <v>0</v>
      </c>
      <c r="BN31" s="13">
        <f t="shared" si="86"/>
        <v>7.1659310948019389E-2</v>
      </c>
      <c r="BO31" s="12">
        <f t="shared" si="87"/>
        <v>0.92834068905198053</v>
      </c>
      <c r="BP31" s="13"/>
      <c r="BQ31" s="23">
        <f t="shared" si="88"/>
        <v>1.6520134571817178</v>
      </c>
      <c r="BR31" s="13">
        <f t="shared" si="18"/>
        <v>2.3044917424675366E-2</v>
      </c>
      <c r="BS31" s="13">
        <f t="shared" si="19"/>
        <v>0.42971256350033255</v>
      </c>
      <c r="BT31" s="13">
        <f t="shared" si="20"/>
        <v>0</v>
      </c>
      <c r="BU31" s="13">
        <f t="shared" si="21"/>
        <v>0.1253487044271282</v>
      </c>
      <c r="BV31" s="13">
        <f t="shared" si="89"/>
        <v>8.9346062665080397E-2</v>
      </c>
      <c r="BW31" s="24">
        <f t="shared" si="90"/>
        <v>5.4021118037219623E-2</v>
      </c>
      <c r="BX31" s="13">
        <f t="shared" si="22"/>
        <v>0</v>
      </c>
      <c r="BY31" s="13">
        <f t="shared" si="23"/>
        <v>0.21603211578129505</v>
      </c>
      <c r="BZ31" s="13">
        <f t="shared" si="24"/>
        <v>0.22118870018281958</v>
      </c>
      <c r="CA31" s="13">
        <f t="shared" si="25"/>
        <v>3.7122760125636325E-2</v>
      </c>
      <c r="CB31" s="13">
        <f t="shared" si="26"/>
        <v>2.2308609657333378E-3</v>
      </c>
      <c r="CC31" s="13">
        <f t="shared" si="27"/>
        <v>0</v>
      </c>
      <c r="CD31" s="13">
        <f t="shared" si="91"/>
        <v>0.12217209094090616</v>
      </c>
      <c r="CE31" s="12">
        <f t="shared" si="92"/>
        <v>2.8288661705302443</v>
      </c>
      <c r="CF31" s="13"/>
      <c r="CG31" s="23">
        <f t="shared" si="129"/>
        <v>0.58398430947055491</v>
      </c>
      <c r="CH31" s="13">
        <f t="shared" si="129"/>
        <v>8.1463441659934775E-3</v>
      </c>
      <c r="CI31" s="13">
        <f t="shared" si="129"/>
        <v>0.1519027545300197</v>
      </c>
      <c r="CJ31" s="13">
        <f t="shared" si="129"/>
        <v>0</v>
      </c>
      <c r="CK31" s="13">
        <f t="shared" si="128"/>
        <v>4.4310581296828466E-2</v>
      </c>
      <c r="CL31" s="13">
        <f t="shared" si="128"/>
        <v>3.1583700775895424E-2</v>
      </c>
      <c r="CM31" s="13">
        <f t="shared" si="128"/>
        <v>1.9096385187813206E-2</v>
      </c>
      <c r="CN31" s="13">
        <f t="shared" si="128"/>
        <v>0</v>
      </c>
      <c r="CO31" s="13">
        <f t="shared" si="128"/>
        <v>7.6367032852883904E-2</v>
      </c>
      <c r="CP31" s="13">
        <f t="shared" si="128"/>
        <v>7.8189877798764809E-2</v>
      </c>
      <c r="CQ31" s="13">
        <f t="shared" si="128"/>
        <v>1.3122840702880622E-2</v>
      </c>
      <c r="CR31" s="13">
        <f t="shared" si="128"/>
        <v>7.886060461160607E-4</v>
      </c>
      <c r="CS31" s="13">
        <f t="shared" si="128"/>
        <v>0</v>
      </c>
      <c r="CT31" s="13">
        <f t="shared" si="128"/>
        <v>4.3187653135958057E-2</v>
      </c>
      <c r="CU31" s="12">
        <f t="shared" si="29"/>
        <v>1</v>
      </c>
      <c r="CV31" s="26"/>
      <c r="CW31" s="23">
        <f t="shared" si="30"/>
        <v>0.82600672859085889</v>
      </c>
      <c r="CX31" s="13">
        <f t="shared" si="31"/>
        <v>1.1522458712337683E-2</v>
      </c>
      <c r="CY31" s="13">
        <f t="shared" si="32"/>
        <v>0.28647504233355503</v>
      </c>
      <c r="CZ31" s="13">
        <f t="shared" si="33"/>
        <v>0</v>
      </c>
      <c r="DA31" s="13">
        <f t="shared" si="34"/>
        <v>0.17270194986072424</v>
      </c>
      <c r="DB31" s="13">
        <f t="shared" si="35"/>
        <v>8.9346062665080397E-2</v>
      </c>
      <c r="DC31" s="24">
        <f t="shared" si="36"/>
        <v>3.6014078691479746E-2</v>
      </c>
      <c r="DD31" s="13">
        <f t="shared" si="37"/>
        <v>0</v>
      </c>
      <c r="DE31" s="13">
        <f t="shared" si="38"/>
        <v>0.21603211578129505</v>
      </c>
      <c r="DF31" s="13">
        <f t="shared" si="39"/>
        <v>0.22118870018281958</v>
      </c>
      <c r="DG31" s="13">
        <f t="shared" si="40"/>
        <v>7.4245520251272651E-2</v>
      </c>
      <c r="DH31" s="13">
        <f t="shared" si="41"/>
        <v>4.4617219314666756E-3</v>
      </c>
      <c r="DI31" s="13">
        <f t="shared" si="42"/>
        <v>0</v>
      </c>
      <c r="DJ31" s="13">
        <f t="shared" si="93"/>
        <v>0.24434418188181231</v>
      </c>
      <c r="DK31" s="12">
        <f t="shared" si="94"/>
        <v>2.0569784195261422</v>
      </c>
      <c r="DL31" s="26"/>
      <c r="DM31" s="23">
        <f t="shared" si="95"/>
        <v>0.40156314755170969</v>
      </c>
      <c r="DN31" s="13">
        <f t="shared" si="95"/>
        <v>5.6016429744518495E-3</v>
      </c>
      <c r="DO31" s="13">
        <f t="shared" si="95"/>
        <v>0.1392698336619152</v>
      </c>
      <c r="DP31" s="13">
        <f t="shared" si="95"/>
        <v>0</v>
      </c>
      <c r="DQ31" s="13">
        <f t="shared" si="95"/>
        <v>8.3959048000371767E-2</v>
      </c>
      <c r="DR31" s="13">
        <f t="shared" si="95"/>
        <v>4.3435585817017314E-2</v>
      </c>
      <c r="DS31" s="13">
        <f t="shared" si="95"/>
        <v>1.7508243328958291E-2</v>
      </c>
      <c r="DT31" s="13">
        <f t="shared" si="95"/>
        <v>0</v>
      </c>
      <c r="DU31" s="13">
        <f t="shared" si="95"/>
        <v>0.10502400692714195</v>
      </c>
      <c r="DV31" s="13">
        <f t="shared" si="95"/>
        <v>0.10753088028690837</v>
      </c>
      <c r="DW31" s="13">
        <f t="shared" si="95"/>
        <v>3.6094457553121191E-2</v>
      </c>
      <c r="DX31" s="13">
        <f t="shared" si="95"/>
        <v>2.1690659897610908E-3</v>
      </c>
      <c r="DY31" s="13">
        <f t="shared" si="95"/>
        <v>0</v>
      </c>
      <c r="DZ31" s="13">
        <f t="shared" si="95"/>
        <v>0.11878791705461883</v>
      </c>
      <c r="EA31" s="12">
        <f t="shared" si="44"/>
        <v>1</v>
      </c>
      <c r="EB31" s="26"/>
      <c r="EC31" s="30">
        <f t="shared" si="45"/>
        <v>1323</v>
      </c>
      <c r="ED31" s="14">
        <f t="shared" si="96"/>
        <v>100000</v>
      </c>
      <c r="EE31" s="29"/>
      <c r="EF31" s="128">
        <f t="shared" si="124"/>
        <v>-8.7342365835222964</v>
      </c>
      <c r="EG31" s="13">
        <f t="shared" si="97"/>
        <v>1.5</v>
      </c>
      <c r="EH31" s="13">
        <f t="shared" si="98"/>
        <v>0.74926606198035017</v>
      </c>
      <c r="EI31" s="12">
        <f t="shared" si="46"/>
        <v>5.3414996220710531</v>
      </c>
      <c r="EJ31" s="29"/>
      <c r="EK31" s="28">
        <f t="shared" si="99"/>
        <v>-1.6020720367282859</v>
      </c>
      <c r="EL31" s="24">
        <f t="shared" si="100"/>
        <v>-0.69564569549643329</v>
      </c>
      <c r="EM31" s="24">
        <f t="shared" si="101"/>
        <v>0.2014786140996839</v>
      </c>
      <c r="EN31" s="24">
        <f t="shared" si="102"/>
        <v>5.2405399933730015E-2</v>
      </c>
      <c r="EO31" s="24">
        <f t="shared" si="103"/>
        <v>1.0558567349987591E-2</v>
      </c>
      <c r="EP31" s="24">
        <f t="shared" si="104"/>
        <v>0.28721989530396819</v>
      </c>
      <c r="EQ31" s="24">
        <f t="shared" si="105"/>
        <v>-1.6017544180015222</v>
      </c>
      <c r="ER31" s="24">
        <f t="shared" si="47"/>
        <v>-20.109295756269134</v>
      </c>
      <c r="ES31" s="25">
        <f t="shared" si="48"/>
        <v>-8.7317827860482566</v>
      </c>
      <c r="ET31" s="26">
        <v>2.2000000000000002</v>
      </c>
      <c r="EU31" s="26">
        <v>0.29083888041780526</v>
      </c>
      <c r="EV31" s="26">
        <v>0.33854702199706099</v>
      </c>
      <c r="EW31" s="26">
        <v>0.28721989530396819</v>
      </c>
      <c r="EX31" s="26">
        <v>0.33750121151660206</v>
      </c>
      <c r="EY31" s="26">
        <f t="shared" si="106"/>
        <v>0.99691088560079544</v>
      </c>
      <c r="EZ31" s="26">
        <f t="shared" si="107"/>
        <v>1.0126000502507218</v>
      </c>
      <c r="FA31" s="23">
        <f t="shared" si="125"/>
        <v>-1.2361924876772576</v>
      </c>
      <c r="FB31" s="190">
        <f t="shared" si="108"/>
        <v>5.486571341245472E-2</v>
      </c>
      <c r="FC31" s="124">
        <v>6.2646889236044334E-2</v>
      </c>
      <c r="FD31" s="26"/>
      <c r="FE31" s="27">
        <f t="shared" si="109"/>
        <v>0.88818423022188309</v>
      </c>
      <c r="FF31" s="26"/>
      <c r="FG31" s="23">
        <f t="shared" si="49"/>
        <v>-4.1419853112758123</v>
      </c>
      <c r="FH31" s="13">
        <f t="shared" si="50"/>
        <v>14.573820534817294</v>
      </c>
      <c r="FI31" s="13">
        <f t="shared" si="51"/>
        <v>-21.845149910644157</v>
      </c>
      <c r="FJ31" s="13">
        <f t="shared" si="52"/>
        <v>0.33830984493389593</v>
      </c>
      <c r="FK31" s="12">
        <f t="shared" si="53"/>
        <v>0.58377990573157112</v>
      </c>
      <c r="FL31" s="13"/>
      <c r="FM31" s="23">
        <f t="shared" si="54"/>
        <v>-6.0533382090630221</v>
      </c>
      <c r="FN31" s="13">
        <f t="shared" si="55"/>
        <v>11.392239027349238</v>
      </c>
      <c r="FO31" s="13">
        <f t="shared" si="56"/>
        <v>11.912036861663893</v>
      </c>
      <c r="FP31" s="24">
        <f t="shared" si="110"/>
        <v>0.48682309468685325</v>
      </c>
      <c r="FQ31" s="25">
        <f t="shared" si="57"/>
        <v>0.75844240247674377</v>
      </c>
      <c r="FR31" s="13"/>
      <c r="FS31" s="23">
        <f t="shared" si="111"/>
        <v>10.963936015536859</v>
      </c>
      <c r="FT31" s="13">
        <f t="shared" si="126"/>
        <v>-6.2116273992377531</v>
      </c>
      <c r="FU31" s="13">
        <f t="shared" si="112"/>
        <v>-0.29290975226998128</v>
      </c>
      <c r="FV31" s="13">
        <f t="shared" si="58"/>
        <v>0.33750121151660206</v>
      </c>
      <c r="FW31" s="23">
        <f t="shared" si="113"/>
        <v>-0.29299229195252252</v>
      </c>
      <c r="FX31" s="13">
        <f t="shared" si="114"/>
        <v>0.33745871772401714</v>
      </c>
      <c r="FY31" s="13">
        <f t="shared" si="115"/>
        <v>-0.29295994123445723</v>
      </c>
      <c r="FZ31" s="13">
        <f t="shared" si="116"/>
        <v>0.33747537248742165</v>
      </c>
      <c r="GA31" s="13">
        <f t="shared" si="117"/>
        <v>-0.2930006063894055</v>
      </c>
      <c r="GB31" s="12">
        <f t="shared" si="118"/>
        <v>0.33745443735931591</v>
      </c>
      <c r="GC31" s="22"/>
      <c r="GD31" s="11">
        <f t="shared" si="59"/>
        <v>1.5</v>
      </c>
      <c r="GE31" s="10">
        <f t="shared" si="60"/>
        <v>0.74926606198035017</v>
      </c>
      <c r="GF31" s="10">
        <f t="shared" si="61"/>
        <v>5.3414996220710531</v>
      </c>
      <c r="GG31" s="5">
        <f t="shared" si="62"/>
        <v>-8.7342365835222964</v>
      </c>
      <c r="GH31" s="10">
        <f t="shared" si="63"/>
        <v>0.28721989530396819</v>
      </c>
      <c r="GI31" s="9">
        <f t="shared" si="119"/>
        <v>10.963936015536859</v>
      </c>
      <c r="GJ31" s="8">
        <f t="shared" si="120"/>
        <v>-6.2116273992377531</v>
      </c>
      <c r="GK31" s="8">
        <f t="shared" si="121"/>
        <v>0.33750121151660206</v>
      </c>
      <c r="GL31" s="7">
        <f t="shared" si="122"/>
        <v>0.33745871772401714</v>
      </c>
      <c r="GM31" s="6">
        <f t="shared" si="64"/>
        <v>0.48682309468685325</v>
      </c>
      <c r="GN31" s="5">
        <f t="shared" si="65"/>
        <v>0.75844240247674377</v>
      </c>
      <c r="GO31" s="4">
        <f t="shared" si="66"/>
        <v>0.58377990573157112</v>
      </c>
      <c r="GP31" s="4">
        <f t="shared" si="67"/>
        <v>0.88818423022188309</v>
      </c>
      <c r="GQ31" s="4">
        <f t="shared" si="68"/>
        <v>5.486571341245472E-2</v>
      </c>
      <c r="GR31" s="1"/>
    </row>
    <row r="32" spans="1:200" x14ac:dyDescent="0.4">
      <c r="A32" s="34"/>
      <c r="B32" s="21"/>
      <c r="C32" s="21"/>
      <c r="D32" s="34"/>
      <c r="E32" s="34"/>
      <c r="F32" s="20" t="s">
        <v>134</v>
      </c>
      <c r="G32" s="19">
        <v>1050</v>
      </c>
      <c r="H32" s="18">
        <v>1E-4</v>
      </c>
      <c r="I32" s="17">
        <v>1.5</v>
      </c>
      <c r="J32" s="16">
        <v>49.6</v>
      </c>
      <c r="K32" s="16">
        <v>0.92</v>
      </c>
      <c r="L32" s="16">
        <v>14.6</v>
      </c>
      <c r="M32" s="16">
        <v>0</v>
      </c>
      <c r="N32" s="16">
        <v>9</v>
      </c>
      <c r="O32" s="16">
        <v>0</v>
      </c>
      <c r="P32" s="16">
        <v>8.6999999999999993</v>
      </c>
      <c r="Q32" s="16">
        <v>12.4</v>
      </c>
      <c r="R32" s="16">
        <v>2.2999999999999998</v>
      </c>
      <c r="S32" s="16">
        <v>0.21</v>
      </c>
      <c r="T32" s="16">
        <v>0</v>
      </c>
      <c r="U32" s="15">
        <v>2.2999999999999998</v>
      </c>
      <c r="V32" s="16"/>
      <c r="W32" s="28">
        <f t="shared" si="69"/>
        <v>49.585124462661199</v>
      </c>
      <c r="X32" s="24">
        <f t="shared" si="127"/>
        <v>0.91972408277516748</v>
      </c>
      <c r="Y32" s="24">
        <f t="shared" si="127"/>
        <v>14.595621313605916</v>
      </c>
      <c r="Z32" s="24">
        <f t="shared" si="127"/>
        <v>0</v>
      </c>
      <c r="AA32" s="24">
        <f t="shared" si="127"/>
        <v>8.997300809757073</v>
      </c>
      <c r="AB32" s="24">
        <f t="shared" si="127"/>
        <v>0</v>
      </c>
      <c r="AC32" s="24">
        <f t="shared" si="127"/>
        <v>8.6973907827651704</v>
      </c>
      <c r="AD32" s="24">
        <f t="shared" si="127"/>
        <v>12.3962811156653</v>
      </c>
      <c r="AE32" s="24">
        <f t="shared" si="127"/>
        <v>2.2993102069379185</v>
      </c>
      <c r="AF32" s="24">
        <f t="shared" si="127"/>
        <v>0.2099370188943317</v>
      </c>
      <c r="AG32" s="24">
        <f t="shared" si="127"/>
        <v>0</v>
      </c>
      <c r="AH32" s="24">
        <f t="shared" si="127"/>
        <v>2.2993102069379185</v>
      </c>
      <c r="AI32" s="14">
        <f t="shared" si="123"/>
        <v>100</v>
      </c>
      <c r="AJ32" s="26"/>
      <c r="AK32" s="50">
        <f t="shared" si="70"/>
        <v>0.82518096958996834</v>
      </c>
      <c r="AL32" s="47">
        <f t="shared" si="71"/>
        <v>1.151093970932625E-2</v>
      </c>
      <c r="AM32" s="47">
        <f t="shared" si="72"/>
        <v>0.14315046404085835</v>
      </c>
      <c r="AN32" s="49">
        <f t="shared" si="73"/>
        <v>0</v>
      </c>
      <c r="AO32" s="49">
        <f t="shared" si="74"/>
        <v>0.12522339331603444</v>
      </c>
      <c r="AP32" s="47">
        <f t="shared" si="75"/>
        <v>0</v>
      </c>
      <c r="AQ32" s="47">
        <f t="shared" si="76"/>
        <v>0.2157090967947711</v>
      </c>
      <c r="AR32" s="47">
        <f t="shared" si="77"/>
        <v>0.22104638223368939</v>
      </c>
      <c r="AS32" s="47">
        <f t="shared" si="78"/>
        <v>3.7097615471731502E-2</v>
      </c>
      <c r="AT32" s="47">
        <f t="shared" si="79"/>
        <v>2.2286307738251772E-3</v>
      </c>
      <c r="AU32" s="47">
        <f t="shared" si="80"/>
        <v>0</v>
      </c>
      <c r="AV32" s="47">
        <f t="shared" si="81"/>
        <v>0.12759768074017305</v>
      </c>
      <c r="AW32" s="47">
        <f t="shared" si="82"/>
        <v>1.7087451726703775</v>
      </c>
      <c r="AX32" s="47">
        <f t="shared" si="83"/>
        <v>8.9275730424045463E-2</v>
      </c>
      <c r="AY32" s="46">
        <f t="shared" si="84"/>
        <v>1.7979541178164356E-2</v>
      </c>
      <c r="AZ32" s="26"/>
      <c r="BA32" s="23">
        <f t="shared" si="85"/>
        <v>0.48291634281570456</v>
      </c>
      <c r="BB32" s="13">
        <f t="shared" si="6"/>
        <v>6.7364870393970371E-3</v>
      </c>
      <c r="BC32" s="13">
        <f t="shared" si="7"/>
        <v>8.3775197338024923E-2</v>
      </c>
      <c r="BD32" s="13">
        <f t="shared" si="8"/>
        <v>0</v>
      </c>
      <c r="BE32" s="13">
        <f t="shared" si="9"/>
        <v>7.3283831503289015E-2</v>
      </c>
      <c r="BF32" s="13">
        <f t="shared" si="10"/>
        <v>5.22463687692694E-2</v>
      </c>
      <c r="BG32" s="13">
        <f t="shared" si="11"/>
        <v>1.0522072843703458E-2</v>
      </c>
      <c r="BH32" s="13">
        <f t="shared" si="12"/>
        <v>0</v>
      </c>
      <c r="BI32" s="13">
        <f t="shared" si="13"/>
        <v>0.12623830647472564</v>
      </c>
      <c r="BJ32" s="13">
        <f t="shared" si="14"/>
        <v>0.12936181811606495</v>
      </c>
      <c r="BK32" s="13">
        <f t="shared" si="15"/>
        <v>2.1710443467563054E-2</v>
      </c>
      <c r="BL32" s="13">
        <f t="shared" si="16"/>
        <v>1.3042499311599152E-3</v>
      </c>
      <c r="BM32" s="13">
        <f t="shared" si="17"/>
        <v>0</v>
      </c>
      <c r="BN32" s="13">
        <f t="shared" si="86"/>
        <v>7.4673323314070922E-2</v>
      </c>
      <c r="BO32" s="12">
        <f t="shared" si="87"/>
        <v>0.92532667668592916</v>
      </c>
      <c r="BP32" s="13"/>
      <c r="BQ32" s="23">
        <f t="shared" si="88"/>
        <v>1.6503619391799367</v>
      </c>
      <c r="BR32" s="13">
        <f t="shared" si="18"/>
        <v>2.30218794186525E-2</v>
      </c>
      <c r="BS32" s="13">
        <f t="shared" si="19"/>
        <v>0.42928297981193869</v>
      </c>
      <c r="BT32" s="13">
        <f t="shared" si="20"/>
        <v>0</v>
      </c>
      <c r="BU32" s="13">
        <f t="shared" si="21"/>
        <v>0.12522339331603444</v>
      </c>
      <c r="BV32" s="13">
        <f t="shared" si="89"/>
        <v>8.9275730424045463E-2</v>
      </c>
      <c r="BW32" s="24">
        <f t="shared" si="90"/>
        <v>5.3938623534493073E-2</v>
      </c>
      <c r="BX32" s="13">
        <f t="shared" si="22"/>
        <v>0</v>
      </c>
      <c r="BY32" s="13">
        <f t="shared" si="23"/>
        <v>0.21581614845571143</v>
      </c>
      <c r="BZ32" s="13">
        <f t="shared" si="24"/>
        <v>0.22096757781934581</v>
      </c>
      <c r="CA32" s="13">
        <f t="shared" si="25"/>
        <v>3.7085648498998688E-2</v>
      </c>
      <c r="CB32" s="13">
        <f t="shared" si="26"/>
        <v>2.2286307738251772E-3</v>
      </c>
      <c r="CC32" s="13">
        <f t="shared" si="27"/>
        <v>0</v>
      </c>
      <c r="CD32" s="13">
        <f t="shared" si="91"/>
        <v>0.12759768074017305</v>
      </c>
      <c r="CE32" s="12">
        <f t="shared" si="92"/>
        <v>2.8315858780146166</v>
      </c>
      <c r="CF32" s="13"/>
      <c r="CG32" s="23">
        <f t="shared" si="129"/>
        <v>0.58284015045911231</v>
      </c>
      <c r="CH32" s="13">
        <f t="shared" si="129"/>
        <v>8.1303836120253676E-3</v>
      </c>
      <c r="CI32" s="13">
        <f t="shared" si="129"/>
        <v>0.15160514224379909</v>
      </c>
      <c r="CJ32" s="13">
        <f t="shared" si="129"/>
        <v>0</v>
      </c>
      <c r="CK32" s="13">
        <f t="shared" si="128"/>
        <v>4.4223766719671438E-2</v>
      </c>
      <c r="CL32" s="13">
        <f t="shared" si="128"/>
        <v>3.1528526511313749E-2</v>
      </c>
      <c r="CM32" s="13">
        <f t="shared" si="128"/>
        <v>1.9048909642222282E-2</v>
      </c>
      <c r="CN32" s="13">
        <f t="shared" si="128"/>
        <v>0</v>
      </c>
      <c r="CO32" s="13">
        <f t="shared" si="128"/>
        <v>7.6217412345279886E-2</v>
      </c>
      <c r="CP32" s="13">
        <f t="shared" si="128"/>
        <v>7.8036685920427937E-2</v>
      </c>
      <c r="CQ32" s="13">
        <f t="shared" si="128"/>
        <v>1.3097130052436026E-2</v>
      </c>
      <c r="CR32" s="13">
        <f t="shared" si="128"/>
        <v>7.8706098625827125E-4</v>
      </c>
      <c r="CS32" s="13">
        <f t="shared" si="128"/>
        <v>0</v>
      </c>
      <c r="CT32" s="13">
        <f t="shared" si="128"/>
        <v>4.5062267660989655E-2</v>
      </c>
      <c r="CU32" s="12">
        <f t="shared" si="29"/>
        <v>0.99999999999999989</v>
      </c>
      <c r="CV32" s="26"/>
      <c r="CW32" s="23">
        <f t="shared" si="30"/>
        <v>0.82518096958996834</v>
      </c>
      <c r="CX32" s="13">
        <f t="shared" si="31"/>
        <v>1.151093970932625E-2</v>
      </c>
      <c r="CY32" s="13">
        <f t="shared" si="32"/>
        <v>0.28618865320795911</v>
      </c>
      <c r="CZ32" s="13">
        <f t="shared" si="33"/>
        <v>0</v>
      </c>
      <c r="DA32" s="13">
        <f t="shared" si="34"/>
        <v>0.17270194986072424</v>
      </c>
      <c r="DB32" s="13">
        <f t="shared" si="35"/>
        <v>8.9275730424045463E-2</v>
      </c>
      <c r="DC32" s="24">
        <f t="shared" si="36"/>
        <v>3.5959082356328713E-2</v>
      </c>
      <c r="DD32" s="13">
        <f t="shared" si="37"/>
        <v>0</v>
      </c>
      <c r="DE32" s="13">
        <f t="shared" si="38"/>
        <v>0.21581614845571143</v>
      </c>
      <c r="DF32" s="13">
        <f t="shared" si="39"/>
        <v>0.22096757781934581</v>
      </c>
      <c r="DG32" s="13">
        <f t="shared" si="40"/>
        <v>7.4171296997997377E-2</v>
      </c>
      <c r="DH32" s="13">
        <f t="shared" si="41"/>
        <v>4.4572615476503544E-3</v>
      </c>
      <c r="DI32" s="13">
        <f t="shared" si="42"/>
        <v>0</v>
      </c>
      <c r="DJ32" s="13">
        <f t="shared" si="93"/>
        <v>0.25519536148034611</v>
      </c>
      <c r="DK32" s="12">
        <f t="shared" si="94"/>
        <v>2.0661901586690292</v>
      </c>
      <c r="DL32" s="26"/>
      <c r="DM32" s="23">
        <f t="shared" si="95"/>
        <v>0.39937319715118691</v>
      </c>
      <c r="DN32" s="13">
        <f t="shared" si="95"/>
        <v>5.5710940549350083E-3</v>
      </c>
      <c r="DO32" s="13">
        <f t="shared" si="95"/>
        <v>0.13851031668465225</v>
      </c>
      <c r="DP32" s="13">
        <f t="shared" si="95"/>
        <v>0</v>
      </c>
      <c r="DQ32" s="13">
        <f t="shared" si="95"/>
        <v>8.3584731606684781E-2</v>
      </c>
      <c r="DR32" s="13">
        <f t="shared" si="95"/>
        <v>4.3207896451096212E-2</v>
      </c>
      <c r="DS32" s="13">
        <f t="shared" si="95"/>
        <v>1.740356869161179E-2</v>
      </c>
      <c r="DT32" s="13">
        <f t="shared" si="95"/>
        <v>0</v>
      </c>
      <c r="DU32" s="13">
        <f t="shared" si="95"/>
        <v>0.10445125176413239</v>
      </c>
      <c r="DV32" s="13">
        <f t="shared" si="95"/>
        <v>0.10694445372912131</v>
      </c>
      <c r="DW32" s="13">
        <f t="shared" si="95"/>
        <v>3.5897614112040906E-2</v>
      </c>
      <c r="DX32" s="13">
        <f t="shared" si="95"/>
        <v>2.1572368491589245E-3</v>
      </c>
      <c r="DY32" s="13">
        <f t="shared" si="95"/>
        <v>0</v>
      </c>
      <c r="DZ32" s="13">
        <f t="shared" si="95"/>
        <v>0.12351010404808745</v>
      </c>
      <c r="EA32" s="12">
        <f t="shared" si="44"/>
        <v>1</v>
      </c>
      <c r="EB32" s="26"/>
      <c r="EC32" s="30">
        <f t="shared" si="45"/>
        <v>1323</v>
      </c>
      <c r="ED32" s="14">
        <f t="shared" si="96"/>
        <v>100000</v>
      </c>
      <c r="EE32" s="29"/>
      <c r="EF32" s="128">
        <f t="shared" si="124"/>
        <v>-8.7342365835222964</v>
      </c>
      <c r="EG32" s="13">
        <f t="shared" si="97"/>
        <v>1.5</v>
      </c>
      <c r="EH32" s="13">
        <f t="shared" si="98"/>
        <v>0.74926606198035017</v>
      </c>
      <c r="EI32" s="12">
        <f t="shared" si="46"/>
        <v>5.3414996220710531</v>
      </c>
      <c r="EJ32" s="29"/>
      <c r="EK32" s="28">
        <f t="shared" si="99"/>
        <v>-1.6028127836428698</v>
      </c>
      <c r="EL32" s="24">
        <f t="shared" si="100"/>
        <v>-0.69596733983624393</v>
      </c>
      <c r="EM32" s="24">
        <f t="shared" si="101"/>
        <v>0.20132942470055021</v>
      </c>
      <c r="EN32" s="24">
        <f t="shared" si="102"/>
        <v>5.2246368769269413E-2</v>
      </c>
      <c r="EO32" s="24">
        <f t="shared" si="103"/>
        <v>1.0518731367009804E-2</v>
      </c>
      <c r="EP32" s="24">
        <f t="shared" si="104"/>
        <v>0.28706827007367153</v>
      </c>
      <c r="EQ32" s="24">
        <f t="shared" si="105"/>
        <v>-1.6024951649161061</v>
      </c>
      <c r="ER32" s="24">
        <f t="shared" si="47"/>
        <v>-20.10929575626913</v>
      </c>
      <c r="ES32" s="25">
        <f t="shared" si="48"/>
        <v>-8.7317827860482549</v>
      </c>
      <c r="ET32" s="26">
        <v>2.2999999999999998</v>
      </c>
      <c r="EU32" s="26">
        <v>0.2908388804178052</v>
      </c>
      <c r="EV32" s="26">
        <v>0.34106836370025539</v>
      </c>
      <c r="EW32" s="26">
        <v>0.28706827007367153</v>
      </c>
      <c r="EX32" s="26">
        <v>0.33997836886451904</v>
      </c>
      <c r="EY32" s="26">
        <f t="shared" si="106"/>
        <v>0.99680417490525663</v>
      </c>
      <c r="EZ32" s="26">
        <f t="shared" si="107"/>
        <v>1.0131348906765836</v>
      </c>
      <c r="FA32" s="23">
        <f t="shared" si="125"/>
        <v>-1.2387661060571808</v>
      </c>
      <c r="FB32" s="190">
        <f t="shared" si="108"/>
        <v>5.4559228555003392E-2</v>
      </c>
      <c r="FC32" s="124">
        <v>6.2646889236044334E-2</v>
      </c>
      <c r="FD32" s="26"/>
      <c r="FE32" s="27">
        <f t="shared" si="109"/>
        <v>0.88818423022188309</v>
      </c>
      <c r="FF32" s="26"/>
      <c r="FG32" s="23">
        <f t="shared" si="49"/>
        <v>-4.1667023251921229</v>
      </c>
      <c r="FH32" s="13">
        <f t="shared" si="50"/>
        <v>14.537695014055721</v>
      </c>
      <c r="FI32" s="13">
        <f t="shared" si="51"/>
        <v>-21.845149910644157</v>
      </c>
      <c r="FJ32" s="13">
        <f t="shared" si="52"/>
        <v>0.32690133808863209</v>
      </c>
      <c r="FK32" s="12">
        <f t="shared" si="53"/>
        <v>0.5810052342114953</v>
      </c>
      <c r="FL32" s="13"/>
      <c r="FM32" s="23">
        <f t="shared" si="54"/>
        <v>-6.0540584963019688</v>
      </c>
      <c r="FN32" s="13">
        <f t="shared" si="55"/>
        <v>11.387858327138343</v>
      </c>
      <c r="FO32" s="13">
        <f t="shared" si="56"/>
        <v>11.90774169555425</v>
      </c>
      <c r="FP32" s="24">
        <f t="shared" si="110"/>
        <v>0.48471770132266079</v>
      </c>
      <c r="FQ32" s="25">
        <f t="shared" si="57"/>
        <v>0.75693113006813595</v>
      </c>
      <c r="FR32" s="13"/>
      <c r="FS32" s="23">
        <f t="shared" si="111"/>
        <v>10.970515648891109</v>
      </c>
      <c r="FT32" s="13">
        <f t="shared" si="126"/>
        <v>-6.2098506350029048</v>
      </c>
      <c r="FU32" s="13">
        <f t="shared" si="112"/>
        <v>-0.28810688315057931</v>
      </c>
      <c r="FV32" s="13">
        <f t="shared" si="58"/>
        <v>0.33997836886451904</v>
      </c>
      <c r="FW32" s="23">
        <f t="shared" si="113"/>
        <v>-0.28818942283312055</v>
      </c>
      <c r="FX32" s="13">
        <f t="shared" si="114"/>
        <v>0.33993572321546417</v>
      </c>
      <c r="FY32" s="13">
        <f t="shared" si="115"/>
        <v>-0.28815707211505526</v>
      </c>
      <c r="FZ32" s="13">
        <f t="shared" si="116"/>
        <v>0.33995243750137172</v>
      </c>
      <c r="GA32" s="13">
        <f t="shared" si="117"/>
        <v>-0.28819773727000353</v>
      </c>
      <c r="GB32" s="12">
        <f t="shared" si="118"/>
        <v>0.33993142755215977</v>
      </c>
      <c r="GC32" s="22"/>
      <c r="GD32" s="11">
        <f t="shared" si="59"/>
        <v>1.5</v>
      </c>
      <c r="GE32" s="10">
        <f t="shared" si="60"/>
        <v>0.74926606198035017</v>
      </c>
      <c r="GF32" s="10">
        <f t="shared" si="61"/>
        <v>5.3414996220710531</v>
      </c>
      <c r="GG32" s="5">
        <f t="shared" si="62"/>
        <v>-8.7342365835222964</v>
      </c>
      <c r="GH32" s="10">
        <f t="shared" si="63"/>
        <v>0.28706827007367153</v>
      </c>
      <c r="GI32" s="9">
        <f t="shared" si="119"/>
        <v>10.970515648891109</v>
      </c>
      <c r="GJ32" s="8">
        <f t="shared" si="120"/>
        <v>-6.2098506350029048</v>
      </c>
      <c r="GK32" s="8">
        <f t="shared" si="121"/>
        <v>0.33997836886451904</v>
      </c>
      <c r="GL32" s="7">
        <f t="shared" si="122"/>
        <v>0.33993572321546417</v>
      </c>
      <c r="GM32" s="6">
        <f t="shared" si="64"/>
        <v>0.48471770132266079</v>
      </c>
      <c r="GN32" s="5">
        <f t="shared" si="65"/>
        <v>0.75693113006813595</v>
      </c>
      <c r="GO32" s="4">
        <f t="shared" si="66"/>
        <v>0.5810052342114953</v>
      </c>
      <c r="GP32" s="4">
        <f t="shared" si="67"/>
        <v>0.88818423022188309</v>
      </c>
      <c r="GQ32" s="4">
        <f t="shared" si="68"/>
        <v>5.4559228555003392E-2</v>
      </c>
      <c r="GR32" s="1"/>
    </row>
    <row r="33" spans="1:200" x14ac:dyDescent="0.4">
      <c r="A33" s="34"/>
      <c r="B33" s="21"/>
      <c r="C33" s="21"/>
      <c r="D33" s="34"/>
      <c r="E33" s="34"/>
      <c r="F33" s="20" t="s">
        <v>134</v>
      </c>
      <c r="G33" s="19">
        <v>1050</v>
      </c>
      <c r="H33" s="18">
        <v>1E-4</v>
      </c>
      <c r="I33" s="17">
        <v>1.5</v>
      </c>
      <c r="J33" s="16">
        <v>49.6</v>
      </c>
      <c r="K33" s="16">
        <v>0.92</v>
      </c>
      <c r="L33" s="16">
        <v>14.6</v>
      </c>
      <c r="M33" s="16">
        <v>0</v>
      </c>
      <c r="N33" s="16">
        <v>9</v>
      </c>
      <c r="O33" s="16">
        <v>0</v>
      </c>
      <c r="P33" s="16">
        <v>8.6999999999999993</v>
      </c>
      <c r="Q33" s="16">
        <v>12.4</v>
      </c>
      <c r="R33" s="16">
        <v>2.2999999999999998</v>
      </c>
      <c r="S33" s="16">
        <v>0.21</v>
      </c>
      <c r="T33" s="16">
        <v>0</v>
      </c>
      <c r="U33" s="15">
        <v>2.4</v>
      </c>
      <c r="V33" s="16"/>
      <c r="W33" s="28">
        <f t="shared" si="69"/>
        <v>49.535603715170275</v>
      </c>
      <c r="X33" s="24">
        <f t="shared" si="127"/>
        <v>0.9188055527813842</v>
      </c>
      <c r="Y33" s="24">
        <f t="shared" si="127"/>
        <v>14.581044641965443</v>
      </c>
      <c r="Z33" s="24">
        <f t="shared" si="127"/>
        <v>0</v>
      </c>
      <c r="AA33" s="24">
        <f t="shared" si="127"/>
        <v>8.9883151902526706</v>
      </c>
      <c r="AB33" s="24">
        <f t="shared" si="127"/>
        <v>0</v>
      </c>
      <c r="AC33" s="24">
        <f t="shared" si="127"/>
        <v>8.6887046839109132</v>
      </c>
      <c r="AD33" s="24">
        <f t="shared" si="127"/>
        <v>12.383900928792569</v>
      </c>
      <c r="AE33" s="24">
        <f t="shared" si="127"/>
        <v>2.2970138819534602</v>
      </c>
      <c r="AF33" s="24">
        <f t="shared" si="127"/>
        <v>0.20972735443922896</v>
      </c>
      <c r="AG33" s="24">
        <f t="shared" si="127"/>
        <v>0</v>
      </c>
      <c r="AH33" s="24">
        <f t="shared" si="127"/>
        <v>2.3968840507340454</v>
      </c>
      <c r="AI33" s="14">
        <f t="shared" si="123"/>
        <v>99.999999999999986</v>
      </c>
      <c r="AJ33" s="26"/>
      <c r="AK33" s="50">
        <f t="shared" si="70"/>
        <v>0.82435685996289354</v>
      </c>
      <c r="AL33" s="47">
        <f t="shared" si="71"/>
        <v>1.1499443714410315E-2</v>
      </c>
      <c r="AM33" s="47">
        <f t="shared" si="72"/>
        <v>0.14300749943081056</v>
      </c>
      <c r="AN33" s="49">
        <f t="shared" si="73"/>
        <v>0</v>
      </c>
      <c r="AO33" s="49">
        <f t="shared" si="74"/>
        <v>0.1250983325017769</v>
      </c>
      <c r="AP33" s="47">
        <f t="shared" si="75"/>
        <v>0</v>
      </c>
      <c r="AQ33" s="47">
        <f t="shared" si="76"/>
        <v>0.21549366775572701</v>
      </c>
      <c r="AR33" s="47">
        <f t="shared" si="77"/>
        <v>0.22082562283866922</v>
      </c>
      <c r="AS33" s="47">
        <f t="shared" si="78"/>
        <v>3.7060566020546311E-2</v>
      </c>
      <c r="AT33" s="47">
        <f t="shared" si="79"/>
        <v>2.2264050365098614E-3</v>
      </c>
      <c r="AU33" s="47">
        <f t="shared" si="80"/>
        <v>0</v>
      </c>
      <c r="AV33" s="47">
        <f t="shared" si="81"/>
        <v>0.13301243344806024</v>
      </c>
      <c r="AW33" s="47">
        <f t="shared" si="82"/>
        <v>1.7125808307094041</v>
      </c>
      <c r="AX33" s="47">
        <f t="shared" si="83"/>
        <v>8.9205409972805502E-2</v>
      </c>
      <c r="AY33" s="46">
        <f t="shared" si="84"/>
        <v>1.7952162301992654E-2</v>
      </c>
      <c r="AZ33" s="26"/>
      <c r="BA33" s="23">
        <f t="shared" si="85"/>
        <v>0.48135354850458029</v>
      </c>
      <c r="BB33" s="13">
        <f t="shared" si="6"/>
        <v>6.7146866928592727E-3</v>
      </c>
      <c r="BC33" s="13">
        <f t="shared" si="7"/>
        <v>8.3504087437188249E-2</v>
      </c>
      <c r="BD33" s="13">
        <f t="shared" si="8"/>
        <v>0</v>
      </c>
      <c r="BE33" s="13">
        <f t="shared" si="9"/>
        <v>7.3046673335679754E-2</v>
      </c>
      <c r="BF33" s="13">
        <f t="shared" si="10"/>
        <v>5.2088291760134818E-2</v>
      </c>
      <c r="BG33" s="13">
        <f t="shared" si="11"/>
        <v>1.0482519703643016E-2</v>
      </c>
      <c r="BH33" s="13">
        <f t="shared" si="12"/>
        <v>0</v>
      </c>
      <c r="BI33" s="13">
        <f t="shared" si="13"/>
        <v>0.12582977917980248</v>
      </c>
      <c r="BJ33" s="13">
        <f t="shared" si="14"/>
        <v>0.12894318263926638</v>
      </c>
      <c r="BK33" s="13">
        <f t="shared" si="15"/>
        <v>2.1640185009658596E-2</v>
      </c>
      <c r="BL33" s="13">
        <f t="shared" si="16"/>
        <v>1.3000291703531537E-3</v>
      </c>
      <c r="BM33" s="13">
        <f t="shared" si="17"/>
        <v>0</v>
      </c>
      <c r="BN33" s="13">
        <f t="shared" si="86"/>
        <v>7.7667828030611771E-2</v>
      </c>
      <c r="BO33" s="12">
        <f t="shared" si="87"/>
        <v>0.92233217196938821</v>
      </c>
      <c r="BP33" s="13"/>
      <c r="BQ33" s="23">
        <f t="shared" si="88"/>
        <v>1.6487137199257871</v>
      </c>
      <c r="BR33" s="13">
        <f t="shared" si="18"/>
        <v>2.2998887428820631E-2</v>
      </c>
      <c r="BS33" s="13">
        <f t="shared" si="19"/>
        <v>0.4288542541754542</v>
      </c>
      <c r="BT33" s="13">
        <f t="shared" si="20"/>
        <v>0</v>
      </c>
      <c r="BU33" s="13">
        <f t="shared" si="21"/>
        <v>0.1250983325017769</v>
      </c>
      <c r="BV33" s="13">
        <f t="shared" si="89"/>
        <v>8.9205409972805502E-2</v>
      </c>
      <c r="BW33" s="24">
        <f t="shared" si="90"/>
        <v>5.3856486905977968E-2</v>
      </c>
      <c r="BX33" s="13">
        <f t="shared" si="22"/>
        <v>0</v>
      </c>
      <c r="BY33" s="13">
        <f t="shared" si="23"/>
        <v>0.2156006125039929</v>
      </c>
      <c r="BZ33" s="13">
        <f t="shared" si="24"/>
        <v>0.22074689712642726</v>
      </c>
      <c r="CA33" s="13">
        <f t="shared" si="25"/>
        <v>3.704861099924936E-2</v>
      </c>
      <c r="CB33" s="13">
        <f t="shared" si="26"/>
        <v>2.2264050365098614E-3</v>
      </c>
      <c r="CC33" s="13">
        <f t="shared" si="27"/>
        <v>0</v>
      </c>
      <c r="CD33" s="13">
        <f t="shared" si="91"/>
        <v>0.13301243344806024</v>
      </c>
      <c r="CE33" s="12">
        <f t="shared" si="92"/>
        <v>2.8343001531460787</v>
      </c>
      <c r="CF33" s="13"/>
      <c r="CG33" s="23">
        <f t="shared" si="129"/>
        <v>0.58170046602005498</v>
      </c>
      <c r="CH33" s="13">
        <f t="shared" si="129"/>
        <v>8.1144854765264791E-3</v>
      </c>
      <c r="CI33" s="13">
        <f t="shared" si="129"/>
        <v>0.15130869385849099</v>
      </c>
      <c r="CJ33" s="13">
        <f t="shared" si="129"/>
        <v>0</v>
      </c>
      <c r="CK33" s="13">
        <f t="shared" si="128"/>
        <v>4.4137291656607895E-2</v>
      </c>
      <c r="CL33" s="13">
        <f t="shared" si="128"/>
        <v>3.1473522616786834E-2</v>
      </c>
      <c r="CM33" s="13">
        <f t="shared" si="128"/>
        <v>1.9001687893287225E-2</v>
      </c>
      <c r="CN33" s="13">
        <f t="shared" si="128"/>
        <v>0</v>
      </c>
      <c r="CO33" s="13">
        <f t="shared" si="128"/>
        <v>7.606837697294544E-2</v>
      </c>
      <c r="CP33" s="13">
        <f t="shared" si="128"/>
        <v>7.7884093144262714E-2</v>
      </c>
      <c r="CQ33" s="13">
        <f t="shared" si="128"/>
        <v>1.3071519951098096E-2</v>
      </c>
      <c r="CR33" s="13">
        <f t="shared" si="128"/>
        <v>7.8552196881425827E-4</v>
      </c>
      <c r="CS33" s="13">
        <f t="shared" si="128"/>
        <v>0</v>
      </c>
      <c r="CT33" s="13">
        <f t="shared" si="128"/>
        <v>4.6929550951199071E-2</v>
      </c>
      <c r="CU33" s="12">
        <f t="shared" si="29"/>
        <v>0.99999999999999989</v>
      </c>
      <c r="CV33" s="26"/>
      <c r="CW33" s="23">
        <f t="shared" si="30"/>
        <v>0.82435685996289354</v>
      </c>
      <c r="CX33" s="13">
        <f t="shared" si="31"/>
        <v>1.1499443714410315E-2</v>
      </c>
      <c r="CY33" s="13">
        <f t="shared" si="32"/>
        <v>0.28590283611696948</v>
      </c>
      <c r="CZ33" s="13">
        <f t="shared" si="33"/>
        <v>0</v>
      </c>
      <c r="DA33" s="13">
        <f t="shared" si="34"/>
        <v>0.17270194986072424</v>
      </c>
      <c r="DB33" s="13">
        <f t="shared" si="35"/>
        <v>8.9205409972805502E-2</v>
      </c>
      <c r="DC33" s="24">
        <f t="shared" si="36"/>
        <v>3.5904324603985308E-2</v>
      </c>
      <c r="DD33" s="13">
        <f t="shared" si="37"/>
        <v>0</v>
      </c>
      <c r="DE33" s="13">
        <f t="shared" si="38"/>
        <v>0.2156006125039929</v>
      </c>
      <c r="DF33" s="13">
        <f t="shared" si="39"/>
        <v>0.22074689712642726</v>
      </c>
      <c r="DG33" s="13">
        <f t="shared" si="40"/>
        <v>7.4097221998498719E-2</v>
      </c>
      <c r="DH33" s="13">
        <f t="shared" si="41"/>
        <v>4.4528100730197228E-3</v>
      </c>
      <c r="DI33" s="13">
        <f t="shared" si="42"/>
        <v>0</v>
      </c>
      <c r="DJ33" s="13">
        <f t="shared" si="93"/>
        <v>0.26602486689612048</v>
      </c>
      <c r="DK33" s="12">
        <f t="shared" si="94"/>
        <v>2.075383498253057</v>
      </c>
      <c r="DL33" s="26"/>
      <c r="DM33" s="23">
        <f t="shared" si="95"/>
        <v>0.39720700326315184</v>
      </c>
      <c r="DN33" s="13">
        <f t="shared" si="95"/>
        <v>5.5408765291281884E-3</v>
      </c>
      <c r="DO33" s="13">
        <f t="shared" si="95"/>
        <v>0.13775903892346963</v>
      </c>
      <c r="DP33" s="13">
        <f t="shared" si="95"/>
        <v>0</v>
      </c>
      <c r="DQ33" s="13">
        <f t="shared" si="95"/>
        <v>8.3214475785364575E-2</v>
      </c>
      <c r="DR33" s="13">
        <f t="shared" si="95"/>
        <v>4.2982615043385318E-2</v>
      </c>
      <c r="DS33" s="13">
        <f t="shared" si="95"/>
        <v>1.7300091589919443E-2</v>
      </c>
      <c r="DT33" s="13">
        <f t="shared" si="95"/>
        <v>0</v>
      </c>
      <c r="DU33" s="13">
        <f t="shared" si="95"/>
        <v>0.10388470983096548</v>
      </c>
      <c r="DV33" s="13">
        <f t="shared" si="95"/>
        <v>0.10636438870803386</v>
      </c>
      <c r="DW33" s="13">
        <f t="shared" si="95"/>
        <v>3.5702906022366303E-2</v>
      </c>
      <c r="DX33" s="13">
        <f t="shared" si="95"/>
        <v>2.1455360306988332E-3</v>
      </c>
      <c r="DY33" s="13">
        <f t="shared" si="95"/>
        <v>0</v>
      </c>
      <c r="DZ33" s="13">
        <f t="shared" si="95"/>
        <v>0.12818106490682107</v>
      </c>
      <c r="EA33" s="12">
        <f t="shared" si="44"/>
        <v>1</v>
      </c>
      <c r="EB33" s="26"/>
      <c r="EC33" s="30">
        <f t="shared" si="45"/>
        <v>1323</v>
      </c>
      <c r="ED33" s="14">
        <f t="shared" si="96"/>
        <v>100000</v>
      </c>
      <c r="EE33" s="29"/>
      <c r="EF33" s="128">
        <f t="shared" si="124"/>
        <v>-8.7342365835222964</v>
      </c>
      <c r="EG33" s="13">
        <f t="shared" si="97"/>
        <v>1.5</v>
      </c>
      <c r="EH33" s="13">
        <f t="shared" si="98"/>
        <v>0.74926606198035017</v>
      </c>
      <c r="EI33" s="12">
        <f t="shared" si="46"/>
        <v>5.3414996220710531</v>
      </c>
      <c r="EJ33" s="29"/>
      <c r="EK33" s="28">
        <f t="shared" si="99"/>
        <v>-1.6035487362071223</v>
      </c>
      <c r="EL33" s="24">
        <f t="shared" si="100"/>
        <v>-0.69628690239128199</v>
      </c>
      <c r="EM33" s="24">
        <f t="shared" si="101"/>
        <v>0.20118131030345276</v>
      </c>
      <c r="EN33" s="24">
        <f t="shared" si="102"/>
        <v>5.2088291760134825E-2</v>
      </c>
      <c r="EO33" s="24">
        <f t="shared" si="103"/>
        <v>1.0479190787772466E-2</v>
      </c>
      <c r="EP33" s="24">
        <f t="shared" si="104"/>
        <v>0.28691767357060161</v>
      </c>
      <c r="EQ33" s="24">
        <f t="shared" si="105"/>
        <v>-1.6032311174803586</v>
      </c>
      <c r="ER33" s="24">
        <f t="shared" si="47"/>
        <v>-20.10929575626913</v>
      </c>
      <c r="ES33" s="25">
        <f t="shared" si="48"/>
        <v>-8.7317827860482549</v>
      </c>
      <c r="ET33" s="26">
        <v>2.4</v>
      </c>
      <c r="EU33" s="26">
        <v>0.29083888041780526</v>
      </c>
      <c r="EV33" s="26">
        <v>0.34358778177534466</v>
      </c>
      <c r="EW33" s="26">
        <v>0.28691767357060161</v>
      </c>
      <c r="EX33" s="26">
        <v>0.34245394230287662</v>
      </c>
      <c r="EY33" s="26">
        <f t="shared" si="106"/>
        <v>0.99670000060360298</v>
      </c>
      <c r="EZ33" s="26">
        <f t="shared" si="107"/>
        <v>1.0136666619326911</v>
      </c>
      <c r="FA33" s="23">
        <f t="shared" si="125"/>
        <v>-1.2413230671579605</v>
      </c>
      <c r="FB33" s="190">
        <f t="shared" si="108"/>
        <v>5.4256325521492399E-2</v>
      </c>
      <c r="FC33" s="124">
        <v>6.2646889236044334E-2</v>
      </c>
      <c r="FD33" s="26"/>
      <c r="FE33" s="27">
        <f t="shared" si="109"/>
        <v>0.88818423022188309</v>
      </c>
      <c r="FF33" s="26"/>
      <c r="FG33" s="23">
        <f t="shared" si="49"/>
        <v>-4.1911510740194666</v>
      </c>
      <c r="FH33" s="13">
        <f t="shared" si="50"/>
        <v>14.501960608445085</v>
      </c>
      <c r="FI33" s="13">
        <f t="shared" si="51"/>
        <v>-21.845149910644157</v>
      </c>
      <c r="FJ33" s="13">
        <f t="shared" si="52"/>
        <v>0.31561568130533857</v>
      </c>
      <c r="FK33" s="12">
        <f t="shared" si="53"/>
        <v>0.57825539006604498</v>
      </c>
      <c r="FL33" s="13"/>
      <c r="FM33" s="23">
        <f t="shared" si="54"/>
        <v>-6.0547768327759552</v>
      </c>
      <c r="FN33" s="13">
        <f t="shared" si="55"/>
        <v>11.383494758951926</v>
      </c>
      <c r="FO33" s="13">
        <f t="shared" si="56"/>
        <v>11.903463326962708</v>
      </c>
      <c r="FP33" s="24">
        <f t="shared" si="110"/>
        <v>0.4826215787310324</v>
      </c>
      <c r="FQ33" s="25">
        <f t="shared" si="57"/>
        <v>0.75541976797976296</v>
      </c>
      <c r="FR33" s="13"/>
      <c r="FS33" s="23">
        <f t="shared" si="111"/>
        <v>10.977069550642113</v>
      </c>
      <c r="FT33" s="13">
        <f t="shared" si="126"/>
        <v>-6.2080796082338496</v>
      </c>
      <c r="FU33" s="13">
        <f t="shared" si="112"/>
        <v>-0.28332400816863057</v>
      </c>
      <c r="FV33" s="13">
        <f t="shared" si="58"/>
        <v>0.34245394230287662</v>
      </c>
      <c r="FW33" s="23">
        <f t="shared" si="113"/>
        <v>-0.28340654785117181</v>
      </c>
      <c r="FX33" s="13">
        <f t="shared" si="114"/>
        <v>0.34241114722446819</v>
      </c>
      <c r="FY33" s="13">
        <f t="shared" si="115"/>
        <v>-0.28337419713310652</v>
      </c>
      <c r="FZ33" s="13">
        <f t="shared" si="116"/>
        <v>0.34242792008163969</v>
      </c>
      <c r="GA33" s="13">
        <f t="shared" si="117"/>
        <v>-0.28341486228805479</v>
      </c>
      <c r="GB33" s="12">
        <f t="shared" si="118"/>
        <v>0.34240683650702797</v>
      </c>
      <c r="GC33" s="22"/>
      <c r="GD33" s="11">
        <f t="shared" si="59"/>
        <v>1.5</v>
      </c>
      <c r="GE33" s="10">
        <f t="shared" si="60"/>
        <v>0.74926606198035017</v>
      </c>
      <c r="GF33" s="10">
        <f t="shared" si="61"/>
        <v>5.3414996220710531</v>
      </c>
      <c r="GG33" s="5">
        <f t="shared" si="62"/>
        <v>-8.7342365835222964</v>
      </c>
      <c r="GH33" s="10">
        <f t="shared" si="63"/>
        <v>0.28691767357060161</v>
      </c>
      <c r="GI33" s="9">
        <f t="shared" si="119"/>
        <v>10.977069550642113</v>
      </c>
      <c r="GJ33" s="8">
        <f t="shared" si="120"/>
        <v>-6.2080796082338496</v>
      </c>
      <c r="GK33" s="8">
        <f t="shared" si="121"/>
        <v>0.34245394230287662</v>
      </c>
      <c r="GL33" s="7">
        <f t="shared" si="122"/>
        <v>0.34241114722446819</v>
      </c>
      <c r="GM33" s="6">
        <f t="shared" si="64"/>
        <v>0.4826215787310324</v>
      </c>
      <c r="GN33" s="5">
        <f t="shared" si="65"/>
        <v>0.75541976797976296</v>
      </c>
      <c r="GO33" s="4">
        <f t="shared" si="66"/>
        <v>0.57825539006604498</v>
      </c>
      <c r="GP33" s="4">
        <f t="shared" si="67"/>
        <v>0.88818423022188309</v>
      </c>
      <c r="GQ33" s="4">
        <f t="shared" si="68"/>
        <v>5.4256325521492399E-2</v>
      </c>
      <c r="GR33" s="1"/>
    </row>
    <row r="34" spans="1:200" x14ac:dyDescent="0.4">
      <c r="A34" s="34"/>
      <c r="B34" s="21"/>
      <c r="C34" s="21"/>
      <c r="D34" s="34"/>
      <c r="E34" s="34"/>
      <c r="F34" s="20" t="s">
        <v>134</v>
      </c>
      <c r="G34" s="19">
        <v>1050</v>
      </c>
      <c r="H34" s="18">
        <v>1E-4</v>
      </c>
      <c r="I34" s="17">
        <v>1.5</v>
      </c>
      <c r="J34" s="16">
        <v>49.6</v>
      </c>
      <c r="K34" s="16">
        <v>0.92</v>
      </c>
      <c r="L34" s="16">
        <v>14.6</v>
      </c>
      <c r="M34" s="16">
        <v>0</v>
      </c>
      <c r="N34" s="16">
        <v>9</v>
      </c>
      <c r="O34" s="16">
        <v>0</v>
      </c>
      <c r="P34" s="16">
        <v>8.6999999999999993</v>
      </c>
      <c r="Q34" s="16">
        <v>12.4</v>
      </c>
      <c r="R34" s="16">
        <v>2.2999999999999998</v>
      </c>
      <c r="S34" s="16">
        <v>0.21</v>
      </c>
      <c r="T34" s="16">
        <v>0</v>
      </c>
      <c r="U34" s="15">
        <v>2.5</v>
      </c>
      <c r="V34" s="16"/>
      <c r="W34" s="28">
        <f t="shared" si="69"/>
        <v>49.486181781901628</v>
      </c>
      <c r="X34" s="24">
        <f t="shared" si="127"/>
        <v>0.91788885563204636</v>
      </c>
      <c r="Y34" s="24">
        <f t="shared" si="127"/>
        <v>14.566497056769428</v>
      </c>
      <c r="Z34" s="24">
        <f t="shared" si="127"/>
        <v>0</v>
      </c>
      <c r="AA34" s="24">
        <f t="shared" si="127"/>
        <v>8.979347500748279</v>
      </c>
      <c r="AB34" s="24">
        <f t="shared" si="127"/>
        <v>0</v>
      </c>
      <c r="AC34" s="24">
        <f t="shared" si="127"/>
        <v>8.6800359173900006</v>
      </c>
      <c r="AD34" s="24">
        <f t="shared" si="127"/>
        <v>12.371545445475407</v>
      </c>
      <c r="AE34" s="24">
        <f t="shared" si="127"/>
        <v>2.2947221390801156</v>
      </c>
      <c r="AF34" s="24">
        <f t="shared" si="127"/>
        <v>0.20951810835079318</v>
      </c>
      <c r="AG34" s="24">
        <f t="shared" si="127"/>
        <v>0</v>
      </c>
      <c r="AH34" s="24">
        <f t="shared" si="127"/>
        <v>2.4942631946522997</v>
      </c>
      <c r="AI34" s="14">
        <f t="shared" si="123"/>
        <v>100</v>
      </c>
      <c r="AJ34" s="26"/>
      <c r="AK34" s="50">
        <f t="shared" si="70"/>
        <v>0.82353439477286783</v>
      </c>
      <c r="AL34" s="47">
        <f t="shared" si="71"/>
        <v>1.1487970658723983E-2</v>
      </c>
      <c r="AM34" s="47">
        <f t="shared" si="72"/>
        <v>0.14286482009385473</v>
      </c>
      <c r="AN34" s="49">
        <f t="shared" si="73"/>
        <v>0</v>
      </c>
      <c r="AO34" s="49">
        <f t="shared" si="74"/>
        <v>0.1249735212351883</v>
      </c>
      <c r="AP34" s="47">
        <f t="shared" si="75"/>
        <v>0</v>
      </c>
      <c r="AQ34" s="47">
        <f t="shared" si="76"/>
        <v>0.21527866858606151</v>
      </c>
      <c r="AR34" s="47">
        <f t="shared" si="77"/>
        <v>0.22060530394927616</v>
      </c>
      <c r="AS34" s="47">
        <f t="shared" si="78"/>
        <v>3.7023590498227101E-2</v>
      </c>
      <c r="AT34" s="47">
        <f t="shared" si="79"/>
        <v>2.2241837404542802E-3</v>
      </c>
      <c r="AU34" s="47">
        <f t="shared" si="80"/>
        <v>0</v>
      </c>
      <c r="AV34" s="47">
        <f t="shared" si="81"/>
        <v>0.1384163815012375</v>
      </c>
      <c r="AW34" s="47">
        <f t="shared" si="82"/>
        <v>1.7164088350358913</v>
      </c>
      <c r="AX34" s="47">
        <f t="shared" si="83"/>
        <v>8.91351025749966E-2</v>
      </c>
      <c r="AY34" s="46">
        <f t="shared" si="84"/>
        <v>1.792490171050334E-2</v>
      </c>
      <c r="AZ34" s="26"/>
      <c r="BA34" s="23">
        <f t="shared" si="85"/>
        <v>0.47980083646892158</v>
      </c>
      <c r="BB34" s="13">
        <f t="shared" si="6"/>
        <v>6.6930269899733779E-3</v>
      </c>
      <c r="BC34" s="13">
        <f t="shared" si="7"/>
        <v>8.3234726585911176E-2</v>
      </c>
      <c r="BD34" s="13">
        <f t="shared" si="8"/>
        <v>0</v>
      </c>
      <c r="BE34" s="13">
        <f t="shared" si="9"/>
        <v>7.281104518002264E-2</v>
      </c>
      <c r="BF34" s="13">
        <f t="shared" si="10"/>
        <v>5.1931160429579543E-2</v>
      </c>
      <c r="BG34" s="13">
        <f t="shared" si="11"/>
        <v>1.0443258823081343E-2</v>
      </c>
      <c r="BH34" s="13">
        <f t="shared" si="12"/>
        <v>0</v>
      </c>
      <c r="BI34" s="13">
        <f t="shared" si="13"/>
        <v>0.12542388747466443</v>
      </c>
      <c r="BJ34" s="13">
        <f t="shared" si="14"/>
        <v>0.12852724796459297</v>
      </c>
      <c r="BK34" s="13">
        <f t="shared" si="15"/>
        <v>2.1570379820057797E-2</v>
      </c>
      <c r="BL34" s="13">
        <f t="shared" si="16"/>
        <v>1.2958356395361779E-3</v>
      </c>
      <c r="BM34" s="13">
        <f t="shared" si="17"/>
        <v>0</v>
      </c>
      <c r="BN34" s="13">
        <f t="shared" si="86"/>
        <v>8.0643013876319933E-2</v>
      </c>
      <c r="BO34" s="12">
        <f t="shared" si="87"/>
        <v>0.91935698612368011</v>
      </c>
      <c r="BP34" s="13"/>
      <c r="BQ34" s="23">
        <f t="shared" si="88"/>
        <v>1.6470687895457357</v>
      </c>
      <c r="BR34" s="13">
        <f t="shared" si="18"/>
        <v>2.2975941317447967E-2</v>
      </c>
      <c r="BS34" s="13">
        <f t="shared" si="19"/>
        <v>0.42842638402263022</v>
      </c>
      <c r="BT34" s="13">
        <f t="shared" si="20"/>
        <v>0</v>
      </c>
      <c r="BU34" s="13">
        <f t="shared" si="21"/>
        <v>0.1249735212351883</v>
      </c>
      <c r="BV34" s="13">
        <f t="shared" si="89"/>
        <v>8.91351025749966E-2</v>
      </c>
      <c r="BW34" s="24">
        <f t="shared" si="90"/>
        <v>5.3774705131510031E-2</v>
      </c>
      <c r="BX34" s="13">
        <f t="shared" si="22"/>
        <v>0</v>
      </c>
      <c r="BY34" s="13">
        <f t="shared" si="23"/>
        <v>0.21538550663498762</v>
      </c>
      <c r="BZ34" s="13">
        <f t="shared" si="24"/>
        <v>0.22052665678209282</v>
      </c>
      <c r="CA34" s="13">
        <f t="shared" si="25"/>
        <v>3.701164740451799E-2</v>
      </c>
      <c r="CB34" s="13">
        <f t="shared" si="26"/>
        <v>2.2241837404542802E-3</v>
      </c>
      <c r="CC34" s="13">
        <f t="shared" si="27"/>
        <v>0</v>
      </c>
      <c r="CD34" s="13">
        <f t="shared" si="91"/>
        <v>0.1384163815012375</v>
      </c>
      <c r="CE34" s="12">
        <f t="shared" si="92"/>
        <v>2.8370090121842924</v>
      </c>
      <c r="CF34" s="13"/>
      <c r="CG34" s="23">
        <f t="shared" si="129"/>
        <v>0.58056522995590043</v>
      </c>
      <c r="CH34" s="13">
        <f t="shared" si="129"/>
        <v>8.0986493940525591E-3</v>
      </c>
      <c r="CI34" s="13">
        <f t="shared" si="129"/>
        <v>0.15101340255975176</v>
      </c>
      <c r="CJ34" s="13">
        <f t="shared" si="129"/>
        <v>0</v>
      </c>
      <c r="CK34" s="13">
        <f t="shared" si="128"/>
        <v>4.4051154119869255E-2</v>
      </c>
      <c r="CL34" s="13">
        <f t="shared" si="128"/>
        <v>3.1418688552691275E-2</v>
      </c>
      <c r="CM34" s="13">
        <f t="shared" si="128"/>
        <v>1.8954717768100211E-2</v>
      </c>
      <c r="CN34" s="13">
        <f t="shared" si="128"/>
        <v>0</v>
      </c>
      <c r="CO34" s="13">
        <f t="shared" si="128"/>
        <v>7.591992331006249E-2</v>
      </c>
      <c r="CP34" s="13">
        <f t="shared" si="128"/>
        <v>7.7732095962678383E-2</v>
      </c>
      <c r="CQ34" s="13">
        <f t="shared" si="128"/>
        <v>1.3046009810177407E-2</v>
      </c>
      <c r="CR34" s="13">
        <f t="shared" si="128"/>
        <v>7.8398895840722728E-4</v>
      </c>
      <c r="CS34" s="13">
        <f t="shared" si="128"/>
        <v>0</v>
      </c>
      <c r="CT34" s="13">
        <f t="shared" si="128"/>
        <v>4.8789545929100474E-2</v>
      </c>
      <c r="CU34" s="12">
        <f t="shared" si="29"/>
        <v>1.0000000000000002</v>
      </c>
      <c r="CV34" s="26"/>
      <c r="CW34" s="23">
        <f t="shared" si="30"/>
        <v>0.82353439477286783</v>
      </c>
      <c r="CX34" s="13">
        <f t="shared" si="31"/>
        <v>1.1487970658723983E-2</v>
      </c>
      <c r="CY34" s="13">
        <f t="shared" si="32"/>
        <v>0.28561758934842019</v>
      </c>
      <c r="CZ34" s="13">
        <f t="shared" si="33"/>
        <v>0</v>
      </c>
      <c r="DA34" s="13">
        <f t="shared" si="34"/>
        <v>0.17270194986072424</v>
      </c>
      <c r="DB34" s="13">
        <f t="shared" si="35"/>
        <v>8.91351025749966E-2</v>
      </c>
      <c r="DC34" s="24">
        <f t="shared" si="36"/>
        <v>3.584980342100668E-2</v>
      </c>
      <c r="DD34" s="13">
        <f t="shared" si="37"/>
        <v>0</v>
      </c>
      <c r="DE34" s="13">
        <f t="shared" si="38"/>
        <v>0.21538550663498762</v>
      </c>
      <c r="DF34" s="13">
        <f t="shared" si="39"/>
        <v>0.22052665678209282</v>
      </c>
      <c r="DG34" s="13">
        <f t="shared" si="40"/>
        <v>7.402329480903598E-2</v>
      </c>
      <c r="DH34" s="13">
        <f t="shared" si="41"/>
        <v>4.4483674809085603E-3</v>
      </c>
      <c r="DI34" s="13">
        <f t="shared" si="42"/>
        <v>0</v>
      </c>
      <c r="DJ34" s="13">
        <f t="shared" si="93"/>
        <v>0.276832763002475</v>
      </c>
      <c r="DK34" s="12">
        <f t="shared" si="94"/>
        <v>2.0845584933502366</v>
      </c>
      <c r="DL34" s="26"/>
      <c r="DM34" s="23">
        <f t="shared" si="95"/>
        <v>0.39506418140817406</v>
      </c>
      <c r="DN34" s="13">
        <f t="shared" si="95"/>
        <v>5.5109850336993327E-3</v>
      </c>
      <c r="DO34" s="13">
        <f t="shared" si="95"/>
        <v>0.13701586703349572</v>
      </c>
      <c r="DP34" s="13">
        <f t="shared" si="95"/>
        <v>0</v>
      </c>
      <c r="DQ34" s="13">
        <f t="shared" si="95"/>
        <v>8.2848214819418717E-2</v>
      </c>
      <c r="DR34" s="13">
        <f t="shared" si="95"/>
        <v>4.2759703246197461E-2</v>
      </c>
      <c r="DS34" s="13">
        <f t="shared" si="95"/>
        <v>1.7197792019445809E-2</v>
      </c>
      <c r="DT34" s="13">
        <f t="shared" si="95"/>
        <v>0</v>
      </c>
      <c r="DU34" s="13">
        <f t="shared" si="95"/>
        <v>0.10332428057167484</v>
      </c>
      <c r="DV34" s="13">
        <f t="shared" si="95"/>
        <v>0.10579058226745623</v>
      </c>
      <c r="DW34" s="13">
        <f t="shared" si="95"/>
        <v>3.5510298725207792E-2</v>
      </c>
      <c r="DX34" s="13">
        <f t="shared" si="95"/>
        <v>2.1339614575934902E-3</v>
      </c>
      <c r="DY34" s="13">
        <f t="shared" si="95"/>
        <v>0</v>
      </c>
      <c r="DZ34" s="13">
        <f t="shared" si="95"/>
        <v>0.13280162868327966</v>
      </c>
      <c r="EA34" s="12">
        <f t="shared" si="44"/>
        <v>1</v>
      </c>
      <c r="EB34" s="26"/>
      <c r="EC34" s="30">
        <f t="shared" si="45"/>
        <v>1323</v>
      </c>
      <c r="ED34" s="14">
        <f t="shared" si="96"/>
        <v>100000</v>
      </c>
      <c r="EE34" s="29"/>
      <c r="EF34" s="128">
        <f t="shared" si="124"/>
        <v>-8.7342365835222964</v>
      </c>
      <c r="EG34" s="13">
        <f t="shared" si="97"/>
        <v>1.5</v>
      </c>
      <c r="EH34" s="13">
        <f t="shared" si="98"/>
        <v>0.74926606198035017</v>
      </c>
      <c r="EI34" s="12">
        <f t="shared" si="46"/>
        <v>5.3414996220710531</v>
      </c>
      <c r="EJ34" s="29"/>
      <c r="EK34" s="28">
        <f t="shared" si="99"/>
        <v>-1.604279940816747</v>
      </c>
      <c r="EL34" s="24">
        <f t="shared" si="100"/>
        <v>-0.69660440330731521</v>
      </c>
      <c r="EM34" s="24">
        <f t="shared" si="101"/>
        <v>0.20103425937070035</v>
      </c>
      <c r="EN34" s="24">
        <f t="shared" si="102"/>
        <v>5.1931160429579543E-2</v>
      </c>
      <c r="EO34" s="24">
        <f t="shared" si="103"/>
        <v>1.0439942375221544E-2</v>
      </c>
      <c r="EP34" s="24">
        <f t="shared" si="104"/>
        <v>0.2867680954011626</v>
      </c>
      <c r="EQ34" s="24">
        <f t="shared" si="105"/>
        <v>-1.603962322089983</v>
      </c>
      <c r="ER34" s="24">
        <f t="shared" si="47"/>
        <v>-20.10929575626913</v>
      </c>
      <c r="ES34" s="25">
        <f t="shared" si="48"/>
        <v>-8.7317827860482549</v>
      </c>
      <c r="ET34" s="26">
        <v>2.5</v>
      </c>
      <c r="EU34" s="26">
        <v>0.2908388804178052</v>
      </c>
      <c r="EV34" s="26">
        <v>0.34610512022784667</v>
      </c>
      <c r="EW34" s="26">
        <v>0.2867680954011626</v>
      </c>
      <c r="EX34" s="26">
        <v>0.34492778073530506</v>
      </c>
      <c r="EY34" s="26">
        <f t="shared" si="106"/>
        <v>0.99659831818793509</v>
      </c>
      <c r="EZ34" s="26">
        <f t="shared" si="107"/>
        <v>1.014195390219222</v>
      </c>
      <c r="FA34" s="23">
        <f t="shared" si="125"/>
        <v>-1.2438635321747782</v>
      </c>
      <c r="FB34" s="190">
        <f t="shared" si="108"/>
        <v>5.3956947045482928E-2</v>
      </c>
      <c r="FC34" s="124">
        <v>6.2646889236044334E-2</v>
      </c>
      <c r="FD34" s="26"/>
      <c r="FE34" s="27">
        <f t="shared" si="109"/>
        <v>0.88818423022188309</v>
      </c>
      <c r="FF34" s="26"/>
      <c r="FG34" s="23">
        <f t="shared" si="49"/>
        <v>-4.2153358847421973</v>
      </c>
      <c r="FH34" s="13">
        <f t="shared" si="50"/>
        <v>14.466610995882714</v>
      </c>
      <c r="FI34" s="13">
        <f t="shared" si="51"/>
        <v>-21.845149910644157</v>
      </c>
      <c r="FJ34" s="13">
        <f t="shared" si="52"/>
        <v>0.30445087946569771</v>
      </c>
      <c r="FK34" s="12">
        <f t="shared" si="53"/>
        <v>0.57553020910558794</v>
      </c>
      <c r="FL34" s="13"/>
      <c r="FM34" s="23">
        <f t="shared" si="54"/>
        <v>-6.0554932211724584</v>
      </c>
      <c r="FN34" s="13">
        <f t="shared" si="55"/>
        <v>11.379148222486346</v>
      </c>
      <c r="FO34" s="13">
        <f t="shared" si="56"/>
        <v>11.89920165754404</v>
      </c>
      <c r="FP34" s="24">
        <f t="shared" si="110"/>
        <v>0.48053473722617568</v>
      </c>
      <c r="FQ34" s="25">
        <f t="shared" si="57"/>
        <v>0.75390836555011953</v>
      </c>
      <c r="FR34" s="13"/>
      <c r="FS34" s="23">
        <f t="shared" si="111"/>
        <v>10.983597871441873</v>
      </c>
      <c r="FT34" s="13">
        <f t="shared" si="126"/>
        <v>-6.2063142877981905</v>
      </c>
      <c r="FU34" s="13">
        <f t="shared" si="112"/>
        <v>-0.27856100780453019</v>
      </c>
      <c r="FV34" s="13">
        <f t="shared" si="58"/>
        <v>0.34492778073530506</v>
      </c>
      <c r="FW34" s="23">
        <f t="shared" si="113"/>
        <v>-0.27864354748707143</v>
      </c>
      <c r="FX34" s="13">
        <f t="shared" si="114"/>
        <v>0.34488483865909936</v>
      </c>
      <c r="FY34" s="13">
        <f t="shared" si="115"/>
        <v>-0.27861119676900614</v>
      </c>
      <c r="FZ34" s="13">
        <f t="shared" si="116"/>
        <v>0.34490166913455467</v>
      </c>
      <c r="GA34" s="13">
        <f t="shared" si="117"/>
        <v>-0.27865186192395441</v>
      </c>
      <c r="GB34" s="12">
        <f t="shared" si="118"/>
        <v>0.3448805131324385</v>
      </c>
      <c r="GC34" s="22"/>
      <c r="GD34" s="11">
        <f t="shared" si="59"/>
        <v>1.5</v>
      </c>
      <c r="GE34" s="10">
        <f t="shared" si="60"/>
        <v>0.74926606198035017</v>
      </c>
      <c r="GF34" s="10">
        <f t="shared" si="61"/>
        <v>5.3414996220710531</v>
      </c>
      <c r="GG34" s="5">
        <f t="shared" si="62"/>
        <v>-8.7342365835222964</v>
      </c>
      <c r="GH34" s="10">
        <f t="shared" si="63"/>
        <v>0.2867680954011626</v>
      </c>
      <c r="GI34" s="9">
        <f t="shared" si="119"/>
        <v>10.983597871441873</v>
      </c>
      <c r="GJ34" s="8">
        <f t="shared" si="120"/>
        <v>-6.2063142877981905</v>
      </c>
      <c r="GK34" s="8">
        <f t="shared" si="121"/>
        <v>0.34492778073530506</v>
      </c>
      <c r="GL34" s="7">
        <f t="shared" si="122"/>
        <v>0.34488483865909936</v>
      </c>
      <c r="GM34" s="6">
        <f t="shared" si="64"/>
        <v>0.48053473722617568</v>
      </c>
      <c r="GN34" s="5">
        <f t="shared" si="65"/>
        <v>0.75390836555011953</v>
      </c>
      <c r="GO34" s="4">
        <f t="shared" si="66"/>
        <v>0.57553020910558794</v>
      </c>
      <c r="GP34" s="4">
        <f t="shared" si="67"/>
        <v>0.88818423022188309</v>
      </c>
      <c r="GQ34" s="4">
        <f t="shared" si="68"/>
        <v>5.3956947045482928E-2</v>
      </c>
      <c r="GR34" s="1"/>
    </row>
    <row r="35" spans="1:200" x14ac:dyDescent="0.4">
      <c r="A35" s="34"/>
      <c r="B35" s="21"/>
      <c r="C35" s="21"/>
      <c r="D35" s="34"/>
      <c r="E35" s="34"/>
      <c r="F35" s="20" t="s">
        <v>83</v>
      </c>
      <c r="G35" s="19">
        <v>1050</v>
      </c>
      <c r="H35" s="18">
        <v>1E-4</v>
      </c>
      <c r="I35" s="17">
        <v>1.5</v>
      </c>
      <c r="J35" s="16">
        <v>49.6</v>
      </c>
      <c r="K35" s="16">
        <v>0.92</v>
      </c>
      <c r="L35" s="16">
        <v>14.6</v>
      </c>
      <c r="M35" s="16">
        <v>0</v>
      </c>
      <c r="N35" s="16">
        <v>9</v>
      </c>
      <c r="O35" s="16">
        <v>0</v>
      </c>
      <c r="P35" s="16">
        <v>8.6999999999999993</v>
      </c>
      <c r="Q35" s="16">
        <v>12.4</v>
      </c>
      <c r="R35" s="16">
        <v>2.2999999999999998</v>
      </c>
      <c r="S35" s="16">
        <v>0.21</v>
      </c>
      <c r="T35" s="16">
        <v>0</v>
      </c>
      <c r="U35" s="15">
        <v>2.6</v>
      </c>
      <c r="V35" s="16"/>
      <c r="W35" s="28">
        <f t="shared" si="69"/>
        <v>49.436858367387622</v>
      </c>
      <c r="X35" s="24">
        <f t="shared" si="127"/>
        <v>0.91697398584670597</v>
      </c>
      <c r="Y35" s="24">
        <f t="shared" si="127"/>
        <v>14.551978471045549</v>
      </c>
      <c r="Z35" s="24">
        <f t="shared" si="127"/>
        <v>0</v>
      </c>
      <c r="AA35" s="24">
        <f t="shared" si="127"/>
        <v>8.9703976876308182</v>
      </c>
      <c r="AB35" s="24">
        <f t="shared" si="127"/>
        <v>0</v>
      </c>
      <c r="AC35" s="24">
        <f t="shared" si="127"/>
        <v>8.6713844313764561</v>
      </c>
      <c r="AD35" s="24">
        <f t="shared" si="127"/>
        <v>12.359214591846905</v>
      </c>
      <c r="AE35" s="24">
        <f t="shared" si="127"/>
        <v>2.2924349646167643</v>
      </c>
      <c r="AF35" s="24">
        <f t="shared" si="127"/>
        <v>0.20930927937805244</v>
      </c>
      <c r="AG35" s="24">
        <f t="shared" si="127"/>
        <v>0</v>
      </c>
      <c r="AH35" s="24">
        <f t="shared" si="127"/>
        <v>2.5914482208711256</v>
      </c>
      <c r="AI35" s="14">
        <f t="shared" si="123"/>
        <v>99.999999999999986</v>
      </c>
      <c r="AJ35" s="26"/>
      <c r="AK35" s="50">
        <f t="shared" si="70"/>
        <v>0.82271356910280613</v>
      </c>
      <c r="AL35" s="47">
        <f t="shared" si="71"/>
        <v>1.1476520473675918E-2</v>
      </c>
      <c r="AM35" s="47">
        <f t="shared" si="72"/>
        <v>0.14272242517698658</v>
      </c>
      <c r="AN35" s="49">
        <f t="shared" si="73"/>
        <v>0</v>
      </c>
      <c r="AO35" s="49">
        <f t="shared" si="74"/>
        <v>0.12484895877008795</v>
      </c>
      <c r="AP35" s="47">
        <f t="shared" si="75"/>
        <v>0</v>
      </c>
      <c r="AQ35" s="47">
        <f t="shared" si="76"/>
        <v>0.21506409800040813</v>
      </c>
      <c r="AR35" s="47">
        <f t="shared" si="77"/>
        <v>0.22038542424833998</v>
      </c>
      <c r="AS35" s="47">
        <f t="shared" si="78"/>
        <v>3.6986688683716754E-2</v>
      </c>
      <c r="AT35" s="47">
        <f t="shared" si="79"/>
        <v>2.221966872378476E-3</v>
      </c>
      <c r="AU35" s="47">
        <f t="shared" si="80"/>
        <v>0</v>
      </c>
      <c r="AV35" s="47">
        <f t="shared" si="81"/>
        <v>0.14380955720705468</v>
      </c>
      <c r="AW35" s="47">
        <f t="shared" si="82"/>
        <v>1.7202292085354545</v>
      </c>
      <c r="AX35" s="47">
        <f t="shared" si="83"/>
        <v>8.9064809471859629E-2</v>
      </c>
      <c r="AY35" s="46">
        <f t="shared" si="84"/>
        <v>1.7897758409669985E-2</v>
      </c>
      <c r="AZ35" s="26"/>
      <c r="BA35" s="23">
        <f t="shared" si="85"/>
        <v>0.47825810945463304</v>
      </c>
      <c r="BB35" s="13">
        <f t="shared" si="6"/>
        <v>6.6715065740841845E-3</v>
      </c>
      <c r="BC35" s="13">
        <f t="shared" si="7"/>
        <v>8.2967097912780868E-2</v>
      </c>
      <c r="BD35" s="13">
        <f t="shared" si="8"/>
        <v>0</v>
      </c>
      <c r="BE35" s="13">
        <f t="shared" si="9"/>
        <v>7.2576932277751624E-2</v>
      </c>
      <c r="BF35" s="13">
        <f t="shared" si="10"/>
        <v>5.1774966399789492E-2</v>
      </c>
      <c r="BG35" s="13">
        <f t="shared" si="11"/>
        <v>1.0404287010628972E-2</v>
      </c>
      <c r="BH35" s="13">
        <f t="shared" si="12"/>
        <v>0</v>
      </c>
      <c r="BI35" s="13">
        <f t="shared" si="13"/>
        <v>0.12502060593629061</v>
      </c>
      <c r="BJ35" s="13">
        <f t="shared" si="14"/>
        <v>0.12811398803998261</v>
      </c>
      <c r="BK35" s="13">
        <f t="shared" si="15"/>
        <v>2.1501023526513646E-2</v>
      </c>
      <c r="BL35" s="13">
        <f t="shared" si="16"/>
        <v>1.2916690760472463E-3</v>
      </c>
      <c r="BM35" s="13">
        <f t="shared" si="17"/>
        <v>0</v>
      </c>
      <c r="BN35" s="13">
        <f t="shared" si="86"/>
        <v>8.3599067201916261E-2</v>
      </c>
      <c r="BO35" s="12">
        <f t="shared" si="87"/>
        <v>0.91640093279808388</v>
      </c>
      <c r="BP35" s="13"/>
      <c r="BQ35" s="23">
        <f t="shared" si="88"/>
        <v>1.6454271382056123</v>
      </c>
      <c r="BR35" s="13">
        <f t="shared" si="18"/>
        <v>2.2953040947351837E-2</v>
      </c>
      <c r="BS35" s="13">
        <f t="shared" si="19"/>
        <v>0.42799936679545736</v>
      </c>
      <c r="BT35" s="13">
        <f t="shared" si="20"/>
        <v>0</v>
      </c>
      <c r="BU35" s="13">
        <f t="shared" si="21"/>
        <v>0.12484895877008795</v>
      </c>
      <c r="BV35" s="13">
        <f t="shared" si="89"/>
        <v>8.9064809471859629E-2</v>
      </c>
      <c r="BW35" s="24">
        <f t="shared" si="90"/>
        <v>5.3693275229009955E-2</v>
      </c>
      <c r="BX35" s="13">
        <f t="shared" si="22"/>
        <v>0</v>
      </c>
      <c r="BY35" s="13">
        <f t="shared" si="23"/>
        <v>0.21517082956269123</v>
      </c>
      <c r="BZ35" s="13">
        <f t="shared" si="24"/>
        <v>0.22030685546964179</v>
      </c>
      <c r="CA35" s="13">
        <f t="shared" si="25"/>
        <v>3.6974757493818781E-2</v>
      </c>
      <c r="CB35" s="13">
        <f t="shared" si="26"/>
        <v>2.221966872378476E-3</v>
      </c>
      <c r="CC35" s="13">
        <f t="shared" si="27"/>
        <v>0</v>
      </c>
      <c r="CD35" s="13">
        <f t="shared" si="91"/>
        <v>0.14380955720705468</v>
      </c>
      <c r="CE35" s="12">
        <f t="shared" si="92"/>
        <v>2.839712471324094</v>
      </c>
      <c r="CF35" s="13"/>
      <c r="CG35" s="23">
        <f t="shared" si="129"/>
        <v>0.57943441627327386</v>
      </c>
      <c r="CH35" s="13">
        <f t="shared" si="129"/>
        <v>8.082875002006577E-3</v>
      </c>
      <c r="CI35" s="13">
        <f t="shared" si="129"/>
        <v>0.15071926158632915</v>
      </c>
      <c r="CJ35" s="13">
        <f t="shared" si="129"/>
        <v>0</v>
      </c>
      <c r="CK35" s="13">
        <f t="shared" si="128"/>
        <v>4.3965352137173834E-2</v>
      </c>
      <c r="CL35" s="13">
        <f t="shared" si="128"/>
        <v>3.1364023777495587E-2</v>
      </c>
      <c r="CM35" s="13">
        <f t="shared" si="128"/>
        <v>1.8907997119854178E-2</v>
      </c>
      <c r="CN35" s="13">
        <f t="shared" si="128"/>
        <v>0</v>
      </c>
      <c r="CO35" s="13">
        <f t="shared" si="128"/>
        <v>7.5772047957503919E-2</v>
      </c>
      <c r="CP35" s="13">
        <f t="shared" si="128"/>
        <v>7.7580690895412266E-2</v>
      </c>
      <c r="CQ35" s="13">
        <f t="shared" si="128"/>
        <v>1.3020599045571077E-2</v>
      </c>
      <c r="CR35" s="13">
        <f t="shared" si="128"/>
        <v>7.8246191993600782E-4</v>
      </c>
      <c r="CS35" s="13">
        <f t="shared" si="128"/>
        <v>0</v>
      </c>
      <c r="CT35" s="13">
        <f t="shared" si="128"/>
        <v>5.0642295182793465E-2</v>
      </c>
      <c r="CU35" s="12">
        <f t="shared" si="29"/>
        <v>1</v>
      </c>
      <c r="CV35" s="26"/>
      <c r="CW35" s="23">
        <f t="shared" si="30"/>
        <v>0.82271356910280613</v>
      </c>
      <c r="CX35" s="13">
        <f t="shared" si="31"/>
        <v>1.1476520473675918E-2</v>
      </c>
      <c r="CY35" s="13">
        <f t="shared" si="32"/>
        <v>0.28533291119697157</v>
      </c>
      <c r="CZ35" s="13">
        <f t="shared" si="33"/>
        <v>0</v>
      </c>
      <c r="DA35" s="13">
        <f t="shared" si="34"/>
        <v>0.17270194986072424</v>
      </c>
      <c r="DB35" s="13">
        <f t="shared" si="35"/>
        <v>8.9064809471859629E-2</v>
      </c>
      <c r="DC35" s="24">
        <f t="shared" si="36"/>
        <v>3.579551681933997E-2</v>
      </c>
      <c r="DD35" s="13">
        <f t="shared" si="37"/>
        <v>0</v>
      </c>
      <c r="DE35" s="13">
        <f t="shared" si="38"/>
        <v>0.21517082956269123</v>
      </c>
      <c r="DF35" s="13">
        <f t="shared" si="39"/>
        <v>0.22030685546964179</v>
      </c>
      <c r="DG35" s="13">
        <f t="shared" si="40"/>
        <v>7.3949514987637563E-2</v>
      </c>
      <c r="DH35" s="13">
        <f t="shared" si="41"/>
        <v>4.443933744756952E-3</v>
      </c>
      <c r="DI35" s="13">
        <f t="shared" si="42"/>
        <v>0</v>
      </c>
      <c r="DJ35" s="13">
        <f t="shared" si="93"/>
        <v>0.28761911441410937</v>
      </c>
      <c r="DK35" s="12">
        <f t="shared" si="94"/>
        <v>2.0937151988130145</v>
      </c>
      <c r="DL35" s="26"/>
      <c r="DM35" s="23">
        <f t="shared" si="95"/>
        <v>0.3929443553589454</v>
      </c>
      <c r="DN35" s="13">
        <f t="shared" si="95"/>
        <v>5.4814143204301507E-3</v>
      </c>
      <c r="DO35" s="13">
        <f t="shared" si="95"/>
        <v>0.13628067053185397</v>
      </c>
      <c r="DP35" s="13">
        <f t="shared" si="95"/>
        <v>0</v>
      </c>
      <c r="DQ35" s="13">
        <f t="shared" si="95"/>
        <v>8.2485884402345541E-2</v>
      </c>
      <c r="DR35" s="13">
        <f t="shared" si="95"/>
        <v>4.2539123526615728E-2</v>
      </c>
      <c r="DS35" s="13">
        <f t="shared" si="95"/>
        <v>1.7096650413405533E-2</v>
      </c>
      <c r="DT35" s="13">
        <f t="shared" si="95"/>
        <v>0</v>
      </c>
      <c r="DU35" s="13">
        <f t="shared" si="95"/>
        <v>0.10276986558853735</v>
      </c>
      <c r="DV35" s="13">
        <f t="shared" si="95"/>
        <v>0.10522293366095822</v>
      </c>
      <c r="DW35" s="13">
        <f t="shared" si="95"/>
        <v>3.5319758403416855E-2</v>
      </c>
      <c r="DX35" s="13">
        <f t="shared" si="95"/>
        <v>2.1225110976298696E-3</v>
      </c>
      <c r="DY35" s="13">
        <f t="shared" si="95"/>
        <v>0</v>
      </c>
      <c r="DZ35" s="13">
        <f t="shared" si="95"/>
        <v>0.1373726066358828</v>
      </c>
      <c r="EA35" s="12">
        <f t="shared" si="44"/>
        <v>1</v>
      </c>
      <c r="EB35" s="26"/>
      <c r="EC35" s="30">
        <f t="shared" si="45"/>
        <v>1323</v>
      </c>
      <c r="ED35" s="14">
        <f t="shared" si="96"/>
        <v>100000</v>
      </c>
      <c r="EE35" s="29"/>
      <c r="EF35" s="128">
        <f t="shared" si="124"/>
        <v>-8.7342365835222964</v>
      </c>
      <c r="EG35" s="13">
        <f t="shared" si="97"/>
        <v>1.5</v>
      </c>
      <c r="EH35" s="13">
        <f t="shared" si="98"/>
        <v>0.74926606198035017</v>
      </c>
      <c r="EI35" s="12">
        <f t="shared" si="46"/>
        <v>5.3414996220710531</v>
      </c>
      <c r="EJ35" s="29"/>
      <c r="EK35" s="28">
        <f t="shared" si="99"/>
        <v>-1.6050064432707332</v>
      </c>
      <c r="EL35" s="24">
        <f t="shared" si="100"/>
        <v>-0.69691986247100879</v>
      </c>
      <c r="EM35" s="24">
        <f t="shared" si="101"/>
        <v>0.20088826052861236</v>
      </c>
      <c r="EN35" s="24">
        <f t="shared" si="102"/>
        <v>5.1774966399789492E-2</v>
      </c>
      <c r="EO35" s="24">
        <f t="shared" si="103"/>
        <v>1.0400982938981063E-2</v>
      </c>
      <c r="EP35" s="24">
        <f t="shared" si="104"/>
        <v>0.28661952531078455</v>
      </c>
      <c r="EQ35" s="24">
        <f t="shared" si="105"/>
        <v>-1.6046888245439694</v>
      </c>
      <c r="ER35" s="24">
        <f t="shared" si="47"/>
        <v>-20.109295756269134</v>
      </c>
      <c r="ES35" s="25">
        <f t="shared" si="48"/>
        <v>-8.7317827860482566</v>
      </c>
      <c r="ET35" s="26">
        <v>2.6</v>
      </c>
      <c r="EU35" s="26">
        <v>0.29083888041780526</v>
      </c>
      <c r="EV35" s="26">
        <v>0.34862022494019529</v>
      </c>
      <c r="EW35" s="26">
        <v>0.28661952531078455</v>
      </c>
      <c r="EX35" s="26">
        <v>0.3473997347652894</v>
      </c>
      <c r="EY35" s="26">
        <f t="shared" si="106"/>
        <v>0.9964990838523059</v>
      </c>
      <c r="EZ35" s="26">
        <f t="shared" si="107"/>
        <v>1.0147211014408233</v>
      </c>
      <c r="FA35" s="23">
        <f t="shared" si="125"/>
        <v>-1.2463876602296224</v>
      </c>
      <c r="FB35" s="190">
        <f t="shared" si="108"/>
        <v>5.3661036999167688E-2</v>
      </c>
      <c r="FC35" s="124">
        <v>6.2646889236044334E-2</v>
      </c>
      <c r="FD35" s="26"/>
      <c r="FE35" s="27">
        <f t="shared" si="109"/>
        <v>0.88818423022188309</v>
      </c>
      <c r="FF35" s="26"/>
      <c r="FG35" s="23">
        <f t="shared" si="49"/>
        <v>-4.2392609917200765</v>
      </c>
      <c r="FH35" s="13">
        <f t="shared" si="50"/>
        <v>14.431639989854478</v>
      </c>
      <c r="FI35" s="13">
        <f t="shared" si="51"/>
        <v>-21.845149910644157</v>
      </c>
      <c r="FJ35" s="13">
        <f t="shared" si="52"/>
        <v>0.29340498041534602</v>
      </c>
      <c r="FK35" s="12">
        <f t="shared" si="53"/>
        <v>0.57282952340587467</v>
      </c>
      <c r="FL35" s="13"/>
      <c r="FM35" s="23">
        <f t="shared" si="54"/>
        <v>-6.0562076642746137</v>
      </c>
      <c r="FN35" s="13">
        <f t="shared" si="55"/>
        <v>11.374818618219432</v>
      </c>
      <c r="FO35" s="13">
        <f t="shared" si="56"/>
        <v>11.894956589719243</v>
      </c>
      <c r="FP35" s="24">
        <f t="shared" si="110"/>
        <v>0.47845718581906249</v>
      </c>
      <c r="FQ35" s="25">
        <f t="shared" si="57"/>
        <v>0.75239697172143005</v>
      </c>
      <c r="FR35" s="13"/>
      <c r="FS35" s="23">
        <f t="shared" si="111"/>
        <v>10.990100760768655</v>
      </c>
      <c r="FT35" s="13">
        <f t="shared" si="126"/>
        <v>-6.2045546428484188</v>
      </c>
      <c r="FU35" s="13">
        <f t="shared" si="112"/>
        <v>-0.27381776342751962</v>
      </c>
      <c r="FV35" s="13">
        <f t="shared" si="58"/>
        <v>0.3473997347652894</v>
      </c>
      <c r="FW35" s="23">
        <f t="shared" si="113"/>
        <v>-0.27390030311006086</v>
      </c>
      <c r="FX35" s="13">
        <f t="shared" si="114"/>
        <v>0.34735664812661848</v>
      </c>
      <c r="FY35" s="13">
        <f t="shared" si="115"/>
        <v>-0.27386795239199557</v>
      </c>
      <c r="FZ35" s="13">
        <f t="shared" si="116"/>
        <v>0.34737353526589609</v>
      </c>
      <c r="GA35" s="13">
        <f t="shared" si="117"/>
        <v>-0.27390861754694384</v>
      </c>
      <c r="GB35" s="12">
        <f t="shared" si="118"/>
        <v>0.34735230803603268</v>
      </c>
      <c r="GC35" s="22"/>
      <c r="GD35" s="11">
        <f t="shared" si="59"/>
        <v>1.5</v>
      </c>
      <c r="GE35" s="10">
        <f t="shared" si="60"/>
        <v>0.74926606198035017</v>
      </c>
      <c r="GF35" s="10">
        <f t="shared" si="61"/>
        <v>5.3414996220710531</v>
      </c>
      <c r="GG35" s="5">
        <f t="shared" si="62"/>
        <v>-8.7342365835222964</v>
      </c>
      <c r="GH35" s="10">
        <f t="shared" si="63"/>
        <v>0.28661952531078455</v>
      </c>
      <c r="GI35" s="9">
        <f t="shared" si="119"/>
        <v>10.990100760768655</v>
      </c>
      <c r="GJ35" s="8">
        <f t="shared" si="120"/>
        <v>-6.2045546428484188</v>
      </c>
      <c r="GK35" s="8">
        <f t="shared" si="121"/>
        <v>0.3473997347652894</v>
      </c>
      <c r="GL35" s="7">
        <f t="shared" si="122"/>
        <v>0.34735664812661848</v>
      </c>
      <c r="GM35" s="6">
        <f t="shared" si="64"/>
        <v>0.47845718581906249</v>
      </c>
      <c r="GN35" s="5">
        <f t="shared" si="65"/>
        <v>0.75239697172143005</v>
      </c>
      <c r="GO35" s="4">
        <f t="shared" si="66"/>
        <v>0.57282952340587467</v>
      </c>
      <c r="GP35" s="4">
        <f t="shared" si="67"/>
        <v>0.88818423022188309</v>
      </c>
      <c r="GQ35" s="4">
        <f t="shared" si="68"/>
        <v>5.3661036999167688E-2</v>
      </c>
      <c r="GR35" s="1"/>
    </row>
    <row r="36" spans="1:200" x14ac:dyDescent="0.4">
      <c r="A36" s="34"/>
      <c r="B36" s="21"/>
      <c r="C36" s="21"/>
      <c r="D36" s="34"/>
      <c r="E36" s="34"/>
      <c r="F36" s="20" t="s">
        <v>83</v>
      </c>
      <c r="G36" s="19">
        <v>1050</v>
      </c>
      <c r="H36" s="18">
        <v>1E-4</v>
      </c>
      <c r="I36" s="17">
        <v>1.5</v>
      </c>
      <c r="J36" s="16">
        <v>49.6</v>
      </c>
      <c r="K36" s="16">
        <v>0.92</v>
      </c>
      <c r="L36" s="16">
        <v>14.6</v>
      </c>
      <c r="M36" s="16">
        <v>0</v>
      </c>
      <c r="N36" s="16">
        <v>9</v>
      </c>
      <c r="O36" s="16">
        <v>0</v>
      </c>
      <c r="P36" s="16">
        <v>8.6999999999999993</v>
      </c>
      <c r="Q36" s="16">
        <v>12.4</v>
      </c>
      <c r="R36" s="16">
        <v>2.2999999999999998</v>
      </c>
      <c r="S36" s="16">
        <v>0.21</v>
      </c>
      <c r="T36" s="16">
        <v>0</v>
      </c>
      <c r="U36" s="15">
        <v>2.7</v>
      </c>
      <c r="V36" s="16"/>
      <c r="W36" s="28">
        <f t="shared" si="69"/>
        <v>49.387633177337449</v>
      </c>
      <c r="X36" s="24">
        <f t="shared" si="127"/>
        <v>0.91606093796674293</v>
      </c>
      <c r="Y36" s="24">
        <f t="shared" si="127"/>
        <v>14.537488798167878</v>
      </c>
      <c r="Z36" s="24">
        <f t="shared" si="127"/>
        <v>0</v>
      </c>
      <c r="AA36" s="24">
        <f t="shared" si="127"/>
        <v>8.9614656975007456</v>
      </c>
      <c r="AB36" s="24">
        <f t="shared" si="127"/>
        <v>0</v>
      </c>
      <c r="AC36" s="24">
        <f t="shared" si="127"/>
        <v>8.6627501742507196</v>
      </c>
      <c r="AD36" s="24">
        <f t="shared" si="127"/>
        <v>12.346908294334362</v>
      </c>
      <c r="AE36" s="24">
        <f t="shared" si="127"/>
        <v>2.2901523449168568</v>
      </c>
      <c r="AF36" s="24">
        <f t="shared" si="127"/>
        <v>0.20910086627501739</v>
      </c>
      <c r="AG36" s="24">
        <f t="shared" si="127"/>
        <v>0</v>
      </c>
      <c r="AH36" s="24">
        <f t="shared" si="127"/>
        <v>2.6884397092502241</v>
      </c>
      <c r="AI36" s="14">
        <f t="shared" si="123"/>
        <v>99.999999999999986</v>
      </c>
      <c r="AJ36" s="26"/>
      <c r="AK36" s="50">
        <f t="shared" si="70"/>
        <v>0.82189437805520793</v>
      </c>
      <c r="AL36" s="47">
        <f t="shared" si="71"/>
        <v>1.146509309094797E-2</v>
      </c>
      <c r="AM36" s="47">
        <f t="shared" si="72"/>
        <v>0.14258031383059905</v>
      </c>
      <c r="AN36" s="49">
        <f t="shared" si="73"/>
        <v>0</v>
      </c>
      <c r="AO36" s="49">
        <f t="shared" si="74"/>
        <v>0.12472464436326718</v>
      </c>
      <c r="AP36" s="47">
        <f t="shared" si="75"/>
        <v>0</v>
      </c>
      <c r="AQ36" s="47">
        <f t="shared" si="76"/>
        <v>0.21484995471851984</v>
      </c>
      <c r="AR36" s="47">
        <f t="shared" si="77"/>
        <v>0.22016598242393656</v>
      </c>
      <c r="AS36" s="47">
        <f t="shared" si="78"/>
        <v>3.6949860356838608E-2</v>
      </c>
      <c r="AT36" s="47">
        <f t="shared" si="79"/>
        <v>2.2197544190553863E-3</v>
      </c>
      <c r="AU36" s="47">
        <f t="shared" si="80"/>
        <v>0</v>
      </c>
      <c r="AV36" s="47">
        <f t="shared" si="81"/>
        <v>0.14919199274418557</v>
      </c>
      <c r="AW36" s="47">
        <f t="shared" si="82"/>
        <v>1.7240419740025583</v>
      </c>
      <c r="AX36" s="47">
        <f t="shared" si="83"/>
        <v>8.8994531882639755E-2</v>
      </c>
      <c r="AY36" s="46">
        <f t="shared" si="84"/>
        <v>1.7870731417953957E-2</v>
      </c>
      <c r="AZ36" s="26"/>
      <c r="BA36" s="23">
        <f t="shared" si="85"/>
        <v>0.47672527145443405</v>
      </c>
      <c r="BB36" s="13">
        <f t="shared" si="6"/>
        <v>6.6501241059290809E-3</v>
      </c>
      <c r="BC36" s="13">
        <f t="shared" si="7"/>
        <v>8.2701184762678792E-2</v>
      </c>
      <c r="BD36" s="13">
        <f t="shared" si="8"/>
        <v>0</v>
      </c>
      <c r="BE36" s="13">
        <f t="shared" si="9"/>
        <v>7.2344320059508069E-2</v>
      </c>
      <c r="BF36" s="13">
        <f t="shared" si="10"/>
        <v>5.1619701390464928E-2</v>
      </c>
      <c r="BG36" s="13">
        <f t="shared" si="11"/>
        <v>1.0365601120757538E-2</v>
      </c>
      <c r="BH36" s="13">
        <f t="shared" si="12"/>
        <v>0</v>
      </c>
      <c r="BI36" s="13">
        <f t="shared" si="13"/>
        <v>0.12461990946758761</v>
      </c>
      <c r="BJ36" s="13">
        <f t="shared" si="14"/>
        <v>0.12770337714736513</v>
      </c>
      <c r="BK36" s="13">
        <f t="shared" si="15"/>
        <v>2.1432111812832104E-2</v>
      </c>
      <c r="BL36" s="13">
        <f t="shared" si="16"/>
        <v>1.287529220591988E-3</v>
      </c>
      <c r="BM36" s="13">
        <f t="shared" si="17"/>
        <v>0</v>
      </c>
      <c r="BN36" s="13">
        <f t="shared" si="86"/>
        <v>8.6536171969073053E-2</v>
      </c>
      <c r="BO36" s="12">
        <f t="shared" si="87"/>
        <v>0.91346382803092674</v>
      </c>
      <c r="BP36" s="13"/>
      <c r="BQ36" s="23">
        <f t="shared" si="88"/>
        <v>1.6437887561104159</v>
      </c>
      <c r="BR36" s="13">
        <f t="shared" si="18"/>
        <v>2.2930186181895941E-2</v>
      </c>
      <c r="BS36" s="13">
        <f t="shared" si="19"/>
        <v>0.42757319994611409</v>
      </c>
      <c r="BT36" s="13">
        <f t="shared" si="20"/>
        <v>0</v>
      </c>
      <c r="BU36" s="13">
        <f t="shared" si="21"/>
        <v>0.12472464436326718</v>
      </c>
      <c r="BV36" s="13">
        <f t="shared" si="89"/>
        <v>8.8994531882639755E-2</v>
      </c>
      <c r="BW36" s="24">
        <f t="shared" si="90"/>
        <v>5.3612194253861871E-2</v>
      </c>
      <c r="BX36" s="13">
        <f t="shared" si="22"/>
        <v>0</v>
      </c>
      <c r="BY36" s="13">
        <f t="shared" si="23"/>
        <v>0.21495658000622134</v>
      </c>
      <c r="BZ36" s="13">
        <f t="shared" si="24"/>
        <v>0.22008749187761786</v>
      </c>
      <c r="CA36" s="13">
        <f t="shared" si="25"/>
        <v>3.6937941047046077E-2</v>
      </c>
      <c r="CB36" s="13">
        <f t="shared" si="26"/>
        <v>2.2197544190553863E-3</v>
      </c>
      <c r="CC36" s="13">
        <f t="shared" si="27"/>
        <v>0</v>
      </c>
      <c r="CD36" s="13">
        <f t="shared" si="91"/>
        <v>0.14919199274418557</v>
      </c>
      <c r="CE36" s="12">
        <f t="shared" si="92"/>
        <v>2.8424105466958189</v>
      </c>
      <c r="CF36" s="13"/>
      <c r="CG36" s="23">
        <f t="shared" si="129"/>
        <v>0.57830799918092413</v>
      </c>
      <c r="CH36" s="13">
        <f t="shared" si="129"/>
        <v>8.0671619406110437E-3</v>
      </c>
      <c r="CI36" s="13">
        <f t="shared" si="129"/>
        <v>0.15042626422954619</v>
      </c>
      <c r="CJ36" s="13">
        <f t="shared" si="129"/>
        <v>0</v>
      </c>
      <c r="CK36" s="13">
        <f t="shared" si="128"/>
        <v>4.3879883751576372E-2</v>
      </c>
      <c r="CL36" s="13">
        <f t="shared" si="128"/>
        <v>3.1309527747880088E-2</v>
      </c>
      <c r="CM36" s="13">
        <f t="shared" si="128"/>
        <v>1.8861523827437159E-2</v>
      </c>
      <c r="CN36" s="13">
        <f t="shared" si="128"/>
        <v>0</v>
      </c>
      <c r="CO36" s="13">
        <f t="shared" si="128"/>
        <v>7.5624747542574103E-2</v>
      </c>
      <c r="CP36" s="13">
        <f t="shared" si="128"/>
        <v>7.7429874489264111E-2</v>
      </c>
      <c r="CQ36" s="13">
        <f t="shared" si="128"/>
        <v>1.2995287077718192E-2</v>
      </c>
      <c r="CR36" s="13">
        <f t="shared" si="128"/>
        <v>7.8094081857237551E-4</v>
      </c>
      <c r="CS36" s="13">
        <f t="shared" si="128"/>
        <v>0</v>
      </c>
      <c r="CT36" s="13">
        <f t="shared" si="128"/>
        <v>5.2487840969213578E-2</v>
      </c>
      <c r="CU36" s="12">
        <f t="shared" si="29"/>
        <v>1.0000000000000002</v>
      </c>
      <c r="CV36" s="26"/>
      <c r="CW36" s="23">
        <f t="shared" si="30"/>
        <v>0.82189437805520793</v>
      </c>
      <c r="CX36" s="13">
        <f t="shared" si="31"/>
        <v>1.146509309094797E-2</v>
      </c>
      <c r="CY36" s="13">
        <f t="shared" si="32"/>
        <v>0.28504879996407606</v>
      </c>
      <c r="CZ36" s="13">
        <f t="shared" si="33"/>
        <v>0</v>
      </c>
      <c r="DA36" s="13">
        <f t="shared" si="34"/>
        <v>0.17270194986072424</v>
      </c>
      <c r="DB36" s="13">
        <f t="shared" si="35"/>
        <v>8.8994531882639755E-2</v>
      </c>
      <c r="DC36" s="24">
        <f t="shared" si="36"/>
        <v>3.5741462835907914E-2</v>
      </c>
      <c r="DD36" s="13">
        <f t="shared" si="37"/>
        <v>0</v>
      </c>
      <c r="DE36" s="13">
        <f t="shared" si="38"/>
        <v>0.21495658000622134</v>
      </c>
      <c r="DF36" s="13">
        <f t="shared" si="39"/>
        <v>0.22008749187761786</v>
      </c>
      <c r="DG36" s="13">
        <f t="shared" si="40"/>
        <v>7.3875882094092155E-2</v>
      </c>
      <c r="DH36" s="13">
        <f t="shared" si="41"/>
        <v>4.4395088381107726E-3</v>
      </c>
      <c r="DI36" s="13">
        <f t="shared" si="42"/>
        <v>0</v>
      </c>
      <c r="DJ36" s="13">
        <f t="shared" si="93"/>
        <v>0.29838398548837114</v>
      </c>
      <c r="DK36" s="12">
        <f t="shared" si="94"/>
        <v>2.1028536692753699</v>
      </c>
      <c r="DL36" s="26"/>
      <c r="DM36" s="23">
        <f t="shared" si="95"/>
        <v>0.39084715692006644</v>
      </c>
      <c r="DN36" s="13">
        <f t="shared" si="95"/>
        <v>5.4521592531442137E-3</v>
      </c>
      <c r="DO36" s="13">
        <f t="shared" si="95"/>
        <v>0.13555332172128842</v>
      </c>
      <c r="DP36" s="13">
        <f t="shared" si="95"/>
        <v>0</v>
      </c>
      <c r="DQ36" s="13">
        <f t="shared" si="95"/>
        <v>8.2127421600494077E-2</v>
      </c>
      <c r="DR36" s="13">
        <f t="shared" si="95"/>
        <v>4.2320839144887677E-2</v>
      </c>
      <c r="DS36" s="13">
        <f t="shared" si="95"/>
        <v>1.6996647630847371E-2</v>
      </c>
      <c r="DT36" s="13">
        <f t="shared" si="95"/>
        <v>0</v>
      </c>
      <c r="DU36" s="13">
        <f t="shared" si="95"/>
        <v>0.10222136858447883</v>
      </c>
      <c r="DV36" s="13">
        <f t="shared" si="95"/>
        <v>0.10466134429290015</v>
      </c>
      <c r="DW36" s="13">
        <f t="shared" si="95"/>
        <v>3.5131251961792148E-2</v>
      </c>
      <c r="DX36" s="13">
        <f t="shared" si="95"/>
        <v>2.1111829619797555E-3</v>
      </c>
      <c r="DY36" s="13">
        <f t="shared" si="95"/>
        <v>0</v>
      </c>
      <c r="DZ36" s="13">
        <f t="shared" si="95"/>
        <v>0.1418947927038558</v>
      </c>
      <c r="EA36" s="12">
        <f t="shared" si="44"/>
        <v>1</v>
      </c>
      <c r="EB36" s="26"/>
      <c r="EC36" s="30">
        <f t="shared" si="45"/>
        <v>1323</v>
      </c>
      <c r="ED36" s="14">
        <f t="shared" si="96"/>
        <v>100000</v>
      </c>
      <c r="EE36" s="29"/>
      <c r="EF36" s="128">
        <f t="shared" si="124"/>
        <v>-8.7342365835222964</v>
      </c>
      <c r="EG36" s="13">
        <f t="shared" si="97"/>
        <v>1.5</v>
      </c>
      <c r="EH36" s="13">
        <f t="shared" si="98"/>
        <v>0.74926606198035017</v>
      </c>
      <c r="EI36" s="12">
        <f t="shared" si="46"/>
        <v>5.3414996220710531</v>
      </c>
      <c r="EJ36" s="29"/>
      <c r="EK36" s="28">
        <f t="shared" si="99"/>
        <v>-1.6057282887809199</v>
      </c>
      <c r="EL36" s="24">
        <f t="shared" si="100"/>
        <v>-0.69723329951407731</v>
      </c>
      <c r="EM36" s="24">
        <f t="shared" si="101"/>
        <v>0.20074330256462261</v>
      </c>
      <c r="EN36" s="24">
        <f t="shared" si="102"/>
        <v>5.1619701390464928E-2</v>
      </c>
      <c r="EO36" s="24">
        <f t="shared" si="103"/>
        <v>1.0362309334521572E-2</v>
      </c>
      <c r="EP36" s="24">
        <f t="shared" si="104"/>
        <v>0.28647195318161467</v>
      </c>
      <c r="EQ36" s="24">
        <f t="shared" si="105"/>
        <v>-1.6054106700541559</v>
      </c>
      <c r="ER36" s="24">
        <f t="shared" si="47"/>
        <v>-20.10929575626913</v>
      </c>
      <c r="ES36" s="25">
        <f t="shared" si="48"/>
        <v>-8.7317827860482549</v>
      </c>
      <c r="ET36" s="26">
        <v>2.7</v>
      </c>
      <c r="EU36" s="26">
        <v>0.29083888041780526</v>
      </c>
      <c r="EV36" s="26">
        <v>0.35113294368878045</v>
      </c>
      <c r="EW36" s="26">
        <v>0.28647195318161467</v>
      </c>
      <c r="EX36" s="26">
        <v>0.34986965671426851</v>
      </c>
      <c r="EY36" s="26">
        <f t="shared" si="106"/>
        <v>0.99640225448161979</v>
      </c>
      <c r="EZ36" s="26">
        <f t="shared" si="107"/>
        <v>1.0152438212107351</v>
      </c>
      <c r="FA36" s="23">
        <f t="shared" si="125"/>
        <v>-1.2488956084045064</v>
      </c>
      <c r="FB36" s="190">
        <f t="shared" si="108"/>
        <v>5.3368540366662942E-2</v>
      </c>
      <c r="FC36" s="124">
        <v>6.2646889236044334E-2</v>
      </c>
      <c r="FD36" s="26"/>
      <c r="FE36" s="27">
        <f t="shared" si="109"/>
        <v>0.88818423022188309</v>
      </c>
      <c r="FF36" s="26"/>
      <c r="FG36" s="23">
        <f t="shared" si="49"/>
        <v>-4.2629305391658185</v>
      </c>
      <c r="FH36" s="13">
        <f t="shared" si="50"/>
        <v>14.39704153581825</v>
      </c>
      <c r="FI36" s="13">
        <f t="shared" si="51"/>
        <v>-21.845149910644157</v>
      </c>
      <c r="FJ36" s="13">
        <f t="shared" si="52"/>
        <v>0.28247607382485285</v>
      </c>
      <c r="FK36" s="12">
        <f t="shared" si="53"/>
        <v>0.5701531615997506</v>
      </c>
      <c r="FL36" s="13"/>
      <c r="FM36" s="23">
        <f t="shared" si="54"/>
        <v>-6.0569201649583517</v>
      </c>
      <c r="FN36" s="13">
        <f t="shared" si="55"/>
        <v>11.37050584740291</v>
      </c>
      <c r="FO36" s="13">
        <f t="shared" si="56"/>
        <v>11.890728026668171</v>
      </c>
      <c r="FP36" s="24">
        <f t="shared" si="110"/>
        <v>0.47638893224160272</v>
      </c>
      <c r="FQ36" s="25">
        <f t="shared" si="57"/>
        <v>0.75088563503745531</v>
      </c>
      <c r="FR36" s="13"/>
      <c r="FS36" s="23">
        <f t="shared" si="111"/>
        <v>10.996578366938309</v>
      </c>
      <c r="FT36" s="13">
        <f t="shared" si="126"/>
        <v>-6.2028006428177207</v>
      </c>
      <c r="FU36" s="13">
        <f t="shared" si="112"/>
        <v>-0.26909415728856345</v>
      </c>
      <c r="FV36" s="13">
        <f t="shared" si="58"/>
        <v>0.34986965671426851</v>
      </c>
      <c r="FW36" s="23">
        <f t="shared" si="113"/>
        <v>-0.26917669697110469</v>
      </c>
      <c r="FX36" s="13">
        <f t="shared" si="114"/>
        <v>0.34982642795158492</v>
      </c>
      <c r="FY36" s="13">
        <f t="shared" si="115"/>
        <v>-0.2691443462530394</v>
      </c>
      <c r="FZ36" s="13">
        <f t="shared" si="116"/>
        <v>0.3498433707989993</v>
      </c>
      <c r="GA36" s="13">
        <f t="shared" si="117"/>
        <v>-0.26918501140798767</v>
      </c>
      <c r="GB36" s="12">
        <f t="shared" si="118"/>
        <v>0.34982207354268491</v>
      </c>
      <c r="GC36" s="22"/>
      <c r="GD36" s="11">
        <f t="shared" si="59"/>
        <v>1.5</v>
      </c>
      <c r="GE36" s="10">
        <f t="shared" si="60"/>
        <v>0.74926606198035017</v>
      </c>
      <c r="GF36" s="10">
        <f t="shared" si="61"/>
        <v>5.3414996220710531</v>
      </c>
      <c r="GG36" s="5">
        <f t="shared" si="62"/>
        <v>-8.7342365835222964</v>
      </c>
      <c r="GH36" s="10">
        <f t="shared" si="63"/>
        <v>0.28647195318161467</v>
      </c>
      <c r="GI36" s="9">
        <f t="shared" si="119"/>
        <v>10.996578366938309</v>
      </c>
      <c r="GJ36" s="8">
        <f t="shared" si="120"/>
        <v>-6.2028006428177207</v>
      </c>
      <c r="GK36" s="8">
        <f t="shared" si="121"/>
        <v>0.34986965671426851</v>
      </c>
      <c r="GL36" s="7">
        <f t="shared" si="122"/>
        <v>0.34982642795158492</v>
      </c>
      <c r="GM36" s="6">
        <f t="shared" si="64"/>
        <v>0.47638893224160272</v>
      </c>
      <c r="GN36" s="5">
        <f t="shared" si="65"/>
        <v>0.75088563503745531</v>
      </c>
      <c r="GO36" s="4">
        <f t="shared" si="66"/>
        <v>0.5701531615997506</v>
      </c>
      <c r="GP36" s="4">
        <f t="shared" si="67"/>
        <v>0.88818423022188309</v>
      </c>
      <c r="GQ36" s="4">
        <f t="shared" si="68"/>
        <v>5.3368540366662942E-2</v>
      </c>
      <c r="GR36" s="1"/>
    </row>
    <row r="37" spans="1:200" x14ac:dyDescent="0.4">
      <c r="A37" s="34"/>
      <c r="B37" s="21"/>
      <c r="C37" s="21"/>
      <c r="D37" s="34"/>
      <c r="E37" s="34"/>
      <c r="F37" s="20" t="s">
        <v>83</v>
      </c>
      <c r="G37" s="19">
        <v>1050</v>
      </c>
      <c r="H37" s="18">
        <v>1E-4</v>
      </c>
      <c r="I37" s="17">
        <v>1.5</v>
      </c>
      <c r="J37" s="16">
        <v>49.6</v>
      </c>
      <c r="K37" s="16">
        <v>0.92</v>
      </c>
      <c r="L37" s="16">
        <v>14.6</v>
      </c>
      <c r="M37" s="16">
        <v>0</v>
      </c>
      <c r="N37" s="16">
        <v>9</v>
      </c>
      <c r="O37" s="16">
        <v>0</v>
      </c>
      <c r="P37" s="16">
        <v>8.6999999999999993</v>
      </c>
      <c r="Q37" s="16">
        <v>12.4</v>
      </c>
      <c r="R37" s="16">
        <v>2.2999999999999998</v>
      </c>
      <c r="S37" s="16">
        <v>0.21</v>
      </c>
      <c r="T37" s="16">
        <v>0</v>
      </c>
      <c r="U37" s="15">
        <v>2.8</v>
      </c>
      <c r="V37" s="16"/>
      <c r="W37" s="28">
        <f t="shared" si="69"/>
        <v>49.338505918631256</v>
      </c>
      <c r="X37" s="24">
        <f t="shared" si="127"/>
        <v>0.91514970655525718</v>
      </c>
      <c r="Y37" s="24">
        <f t="shared" si="127"/>
        <v>14.523027951855166</v>
      </c>
      <c r="Z37" s="24">
        <f t="shared" si="127"/>
        <v>0</v>
      </c>
      <c r="AA37" s="24">
        <f t="shared" si="127"/>
        <v>8.952551477170994</v>
      </c>
      <c r="AB37" s="24">
        <f t="shared" si="127"/>
        <v>0</v>
      </c>
      <c r="AC37" s="24">
        <f t="shared" si="127"/>
        <v>8.6541330945986257</v>
      </c>
      <c r="AD37" s="24">
        <f t="shared" si="127"/>
        <v>12.334626479657814</v>
      </c>
      <c r="AE37" s="24">
        <f t="shared" si="127"/>
        <v>2.2878742663881426</v>
      </c>
      <c r="AF37" s="24">
        <f t="shared" si="127"/>
        <v>0.20889286780065652</v>
      </c>
      <c r="AG37" s="24">
        <f t="shared" si="127"/>
        <v>0</v>
      </c>
      <c r="AH37" s="24">
        <f t="shared" si="127"/>
        <v>2.7852382373420865</v>
      </c>
      <c r="AI37" s="14">
        <f t="shared" si="123"/>
        <v>100</v>
      </c>
      <c r="AJ37" s="26"/>
      <c r="AK37" s="50">
        <f t="shared" si="70"/>
        <v>0.82107681675205946</v>
      </c>
      <c r="AL37" s="47">
        <f t="shared" si="71"/>
        <v>1.1453688442493832E-2</v>
      </c>
      <c r="AM37" s="47">
        <f t="shared" si="72"/>
        <v>0.14243848520846575</v>
      </c>
      <c r="AN37" s="49">
        <f t="shared" si="73"/>
        <v>0</v>
      </c>
      <c r="AO37" s="49">
        <f t="shared" si="74"/>
        <v>0.12460057727447453</v>
      </c>
      <c r="AP37" s="47">
        <f t="shared" si="75"/>
        <v>0</v>
      </c>
      <c r="AQ37" s="47">
        <f t="shared" si="76"/>
        <v>0.21463623746524368</v>
      </c>
      <c r="AR37" s="47">
        <f t="shared" si="77"/>
        <v>0.21994697716936187</v>
      </c>
      <c r="AS37" s="47">
        <f t="shared" si="78"/>
        <v>3.6913105298292073E-2</v>
      </c>
      <c r="AT37" s="47">
        <f t="shared" si="79"/>
        <v>2.2175463673105786E-3</v>
      </c>
      <c r="AU37" s="47">
        <f t="shared" si="80"/>
        <v>0</v>
      </c>
      <c r="AV37" s="47">
        <f t="shared" si="81"/>
        <v>0.15456372016326786</v>
      </c>
      <c r="AW37" s="47">
        <f t="shared" si="82"/>
        <v>1.7278471541409697</v>
      </c>
      <c r="AX37" s="47">
        <f t="shared" si="83"/>
        <v>8.8924271004977823E-2</v>
      </c>
      <c r="AY37" s="46">
        <f t="shared" si="84"/>
        <v>1.7843819766101308E-2</v>
      </c>
      <c r="AZ37" s="26"/>
      <c r="BA37" s="23">
        <f t="shared" si="85"/>
        <v>0.47520222768794185</v>
      </c>
      <c r="BB37" s="13">
        <f t="shared" si="6"/>
        <v>6.6288782633601865E-3</v>
      </c>
      <c r="BC37" s="13">
        <f t="shared" si="7"/>
        <v>8.2436970693325937E-2</v>
      </c>
      <c r="BD37" s="13">
        <f t="shared" si="8"/>
        <v>0</v>
      </c>
      <c r="BE37" s="13">
        <f t="shared" si="9"/>
        <v>7.2113194142118406E-2</v>
      </c>
      <c r="BF37" s="13">
        <f t="shared" si="10"/>
        <v>5.1465357217425942E-2</v>
      </c>
      <c r="BG37" s="13">
        <f t="shared" si="11"/>
        <v>1.0327198052985586E-2</v>
      </c>
      <c r="BH37" s="13">
        <f t="shared" si="12"/>
        <v>0</v>
      </c>
      <c r="BI37" s="13">
        <f t="shared" si="13"/>
        <v>0.12422177329218333</v>
      </c>
      <c r="BJ37" s="13">
        <f t="shared" si="14"/>
        <v>0.12729538989732717</v>
      </c>
      <c r="BK37" s="13">
        <f t="shared" si="15"/>
        <v>2.1363640417976722E-2</v>
      </c>
      <c r="BL37" s="13">
        <f t="shared" si="16"/>
        <v>1.2834158171896122E-3</v>
      </c>
      <c r="BM37" s="13">
        <f t="shared" si="17"/>
        <v>0</v>
      </c>
      <c r="BN37" s="13">
        <f t="shared" si="86"/>
        <v>8.9454509788576747E-2</v>
      </c>
      <c r="BO37" s="12">
        <f t="shared" si="87"/>
        <v>0.91054549021142306</v>
      </c>
      <c r="BP37" s="13"/>
      <c r="BQ37" s="23">
        <f t="shared" si="88"/>
        <v>1.6421536335041189</v>
      </c>
      <c r="BR37" s="13">
        <f t="shared" si="18"/>
        <v>2.2907376884987663E-2</v>
      </c>
      <c r="BS37" s="13">
        <f t="shared" si="19"/>
        <v>0.42714788093691664</v>
      </c>
      <c r="BT37" s="13">
        <f t="shared" si="20"/>
        <v>0</v>
      </c>
      <c r="BU37" s="13">
        <f t="shared" si="21"/>
        <v>0.12460057727447453</v>
      </c>
      <c r="BV37" s="13">
        <f t="shared" si="89"/>
        <v>8.8924271004977823E-2</v>
      </c>
      <c r="BW37" s="24">
        <f t="shared" si="90"/>
        <v>5.3531459298303927E-2</v>
      </c>
      <c r="BX37" s="13">
        <f t="shared" si="22"/>
        <v>0</v>
      </c>
      <c r="BY37" s="13">
        <f t="shared" si="23"/>
        <v>0.2147427566897922</v>
      </c>
      <c r="BZ37" s="13">
        <f t="shared" si="24"/>
        <v>0.21986856469978278</v>
      </c>
      <c r="CA37" s="13">
        <f t="shared" si="25"/>
        <v>3.6901197844970042E-2</v>
      </c>
      <c r="CB37" s="13">
        <f t="shared" si="26"/>
        <v>2.2175463673105786E-3</v>
      </c>
      <c r="CC37" s="13">
        <f t="shared" si="27"/>
        <v>0</v>
      </c>
      <c r="CD37" s="13">
        <f t="shared" si="91"/>
        <v>0.15456372016326786</v>
      </c>
      <c r="CE37" s="12">
        <f t="shared" si="92"/>
        <v>2.8451032543656209</v>
      </c>
      <c r="CF37" s="13"/>
      <c r="CG37" s="23">
        <f t="shared" si="129"/>
        <v>0.57718595308776366</v>
      </c>
      <c r="CH37" s="13">
        <f t="shared" si="129"/>
        <v>8.0515098528806724E-3</v>
      </c>
      <c r="CI37" s="13">
        <f t="shared" si="129"/>
        <v>0.15013440383279122</v>
      </c>
      <c r="CJ37" s="13">
        <f t="shared" si="129"/>
        <v>0</v>
      </c>
      <c r="CK37" s="13">
        <f t="shared" si="128"/>
        <v>4.3794747021319268E-2</v>
      </c>
      <c r="CL37" s="13">
        <f t="shared" si="128"/>
        <v>3.1255199918853373E-2</v>
      </c>
      <c r="CM37" s="13">
        <f t="shared" si="128"/>
        <v>1.8815295795034319E-2</v>
      </c>
      <c r="CN37" s="13">
        <f t="shared" si="128"/>
        <v>0</v>
      </c>
      <c r="CO37" s="13">
        <f t="shared" si="128"/>
        <v>7.5478018718752579E-2</v>
      </c>
      <c r="CP37" s="13">
        <f t="shared" si="128"/>
        <v>7.7279643317833602E-2</v>
      </c>
      <c r="CQ37" s="13">
        <f t="shared" si="128"/>
        <v>1.2970073331555759E-2</v>
      </c>
      <c r="CR37" s="13">
        <f t="shared" si="128"/>
        <v>7.7942561975840479E-4</v>
      </c>
      <c r="CS37" s="13">
        <f t="shared" si="128"/>
        <v>0</v>
      </c>
      <c r="CT37" s="13">
        <f t="shared" si="128"/>
        <v>5.4326225217344981E-2</v>
      </c>
      <c r="CU37" s="12">
        <f t="shared" si="29"/>
        <v>1.0000000000000002</v>
      </c>
      <c r="CV37" s="26"/>
      <c r="CW37" s="23">
        <f t="shared" si="30"/>
        <v>0.82107681675205946</v>
      </c>
      <c r="CX37" s="13">
        <f t="shared" si="31"/>
        <v>1.1453688442493832E-2</v>
      </c>
      <c r="CY37" s="13">
        <f t="shared" si="32"/>
        <v>0.28476525395794444</v>
      </c>
      <c r="CZ37" s="13">
        <f t="shared" si="33"/>
        <v>0</v>
      </c>
      <c r="DA37" s="13">
        <f t="shared" si="34"/>
        <v>0.17270194986072424</v>
      </c>
      <c r="DB37" s="13">
        <f t="shared" si="35"/>
        <v>8.8924271004977823E-2</v>
      </c>
      <c r="DC37" s="24">
        <f t="shared" si="36"/>
        <v>3.5687639532202615E-2</v>
      </c>
      <c r="DD37" s="13">
        <f t="shared" si="37"/>
        <v>0</v>
      </c>
      <c r="DE37" s="13">
        <f t="shared" si="38"/>
        <v>0.2147427566897922</v>
      </c>
      <c r="DF37" s="13">
        <f t="shared" si="39"/>
        <v>0.21986856469978278</v>
      </c>
      <c r="DG37" s="13">
        <f t="shared" si="40"/>
        <v>7.3802395689940084E-2</v>
      </c>
      <c r="DH37" s="13">
        <f t="shared" si="41"/>
        <v>4.4350927346211572E-3</v>
      </c>
      <c r="DI37" s="13">
        <f t="shared" si="42"/>
        <v>0</v>
      </c>
      <c r="DJ37" s="13">
        <f t="shared" si="93"/>
        <v>0.30912744032653572</v>
      </c>
      <c r="DK37" s="12">
        <f t="shared" si="94"/>
        <v>2.1119739591538935</v>
      </c>
      <c r="DL37" s="26"/>
      <c r="DM37" s="23">
        <f t="shared" si="95"/>
        <v>0.38877222571484837</v>
      </c>
      <c r="DN37" s="13">
        <f t="shared" si="95"/>
        <v>5.4232148047329374E-3</v>
      </c>
      <c r="DO37" s="13">
        <f t="shared" si="95"/>
        <v>0.13483369561622252</v>
      </c>
      <c r="DP37" s="13">
        <f t="shared" si="95"/>
        <v>0</v>
      </c>
      <c r="DQ37" s="13">
        <f t="shared" si="95"/>
        <v>8.177276481662335E-2</v>
      </c>
      <c r="DR37" s="13">
        <f t="shared" si="95"/>
        <v>4.2104814133505218E-2</v>
      </c>
      <c r="DS37" s="13">
        <f t="shared" si="95"/>
        <v>1.6897764945217376E-2</v>
      </c>
      <c r="DT37" s="13">
        <f t="shared" si="95"/>
        <v>0</v>
      </c>
      <c r="DU37" s="13">
        <f t="shared" si="95"/>
        <v>0.10167869530731487</v>
      </c>
      <c r="DV37" s="13">
        <f t="shared" si="95"/>
        <v>0.10410571766134243</v>
      </c>
      <c r="DW37" s="13">
        <f t="shared" si="95"/>
        <v>3.4944747007916263E-2</v>
      </c>
      <c r="DX37" s="13">
        <f t="shared" si="95"/>
        <v>2.0999751040481386E-3</v>
      </c>
      <c r="DY37" s="13">
        <f t="shared" si="95"/>
        <v>0</v>
      </c>
      <c r="DZ37" s="13">
        <f t="shared" si="95"/>
        <v>0.14636896396695129</v>
      </c>
      <c r="EA37" s="12">
        <f t="shared" si="44"/>
        <v>1</v>
      </c>
      <c r="EB37" s="26"/>
      <c r="EC37" s="30">
        <f t="shared" si="45"/>
        <v>1323</v>
      </c>
      <c r="ED37" s="14">
        <f t="shared" si="96"/>
        <v>100000</v>
      </c>
      <c r="EE37" s="29"/>
      <c r="EF37" s="128">
        <f t="shared" si="124"/>
        <v>-8.7342365835222964</v>
      </c>
      <c r="EG37" s="13">
        <f t="shared" si="97"/>
        <v>1.5</v>
      </c>
      <c r="EH37" s="13">
        <f t="shared" si="98"/>
        <v>0.74926606198035017</v>
      </c>
      <c r="EI37" s="12">
        <f t="shared" si="46"/>
        <v>5.3414996220710531</v>
      </c>
      <c r="EJ37" s="29"/>
      <c r="EK37" s="28">
        <f t="shared" si="99"/>
        <v>-1.6064455219813736</v>
      </c>
      <c r="EL37" s="24">
        <f t="shared" si="100"/>
        <v>-0.69754473381735715</v>
      </c>
      <c r="EM37" s="24">
        <f t="shared" si="101"/>
        <v>0.20059937442444487</v>
      </c>
      <c r="EN37" s="24">
        <f t="shared" si="102"/>
        <v>5.1465357217425942E-2</v>
      </c>
      <c r="EO37" s="24">
        <f t="shared" si="103"/>
        <v>1.0323918462346232E-2</v>
      </c>
      <c r="EP37" s="24">
        <f t="shared" si="104"/>
        <v>0.28632536903025485</v>
      </c>
      <c r="EQ37" s="24">
        <f t="shared" si="105"/>
        <v>-1.6061279032546099</v>
      </c>
      <c r="ER37" s="24">
        <f t="shared" si="47"/>
        <v>-20.10929575626913</v>
      </c>
      <c r="ES37" s="25">
        <f t="shared" si="48"/>
        <v>-8.7317827860482549</v>
      </c>
      <c r="ET37" s="26">
        <v>2.8</v>
      </c>
      <c r="EU37" s="26">
        <v>0.2908388804178052</v>
      </c>
      <c r="EV37" s="26">
        <v>0.35364312616006044</v>
      </c>
      <c r="EW37" s="26">
        <v>0.28632536903025485</v>
      </c>
      <c r="EX37" s="26">
        <v>0.35233740063887597</v>
      </c>
      <c r="EY37" s="26">
        <f t="shared" si="106"/>
        <v>0.9963077876407147</v>
      </c>
      <c r="EZ37" s="26">
        <f t="shared" si="107"/>
        <v>1.0157635748548479</v>
      </c>
      <c r="FA37" s="23">
        <f t="shared" si="125"/>
        <v>-1.2513875317740677</v>
      </c>
      <c r="FB37" s="190">
        <f t="shared" si="108"/>
        <v>5.3079403218014964E-2</v>
      </c>
      <c r="FC37" s="124">
        <v>6.2646889236044334E-2</v>
      </c>
      <c r="FD37" s="26"/>
      <c r="FE37" s="27">
        <f t="shared" si="109"/>
        <v>0.88818423022188309</v>
      </c>
      <c r="FF37" s="26"/>
      <c r="FG37" s="23">
        <f t="shared" si="49"/>
        <v>-4.2863485835428436</v>
      </c>
      <c r="FH37" s="13">
        <f t="shared" si="50"/>
        <v>14.362809707702507</v>
      </c>
      <c r="FI37" s="13">
        <f t="shared" si="51"/>
        <v>-21.845149910644157</v>
      </c>
      <c r="FJ37" s="13">
        <f t="shared" si="52"/>
        <v>0.27166229008614096</v>
      </c>
      <c r="FK37" s="12">
        <f t="shared" si="53"/>
        <v>0.56750094915589566</v>
      </c>
      <c r="FL37" s="13"/>
      <c r="FM37" s="23">
        <f t="shared" si="54"/>
        <v>-6.0576307261896103</v>
      </c>
      <c r="FN37" s="13">
        <f t="shared" si="55"/>
        <v>11.366209812054862</v>
      </c>
      <c r="FO37" s="13">
        <f t="shared" si="56"/>
        <v>11.886515872321979</v>
      </c>
      <c r="FP37" s="24">
        <f t="shared" si="110"/>
        <v>0.47432998297061912</v>
      </c>
      <c r="FQ37" s="25">
        <f t="shared" si="57"/>
        <v>0.74937440364129371</v>
      </c>
      <c r="FR37" s="13"/>
      <c r="FS37" s="23">
        <f t="shared" si="111"/>
        <v>11.003030837115716</v>
      </c>
      <c r="FT37" s="13">
        <f t="shared" si="126"/>
        <v>-6.2010522574158742</v>
      </c>
      <c r="FU37" s="13">
        <f t="shared" si="112"/>
        <v>-0.26439007251300239</v>
      </c>
      <c r="FV37" s="13">
        <f t="shared" si="58"/>
        <v>0.35233740063887597</v>
      </c>
      <c r="FW37" s="23">
        <f t="shared" si="113"/>
        <v>-0.26447261219554363</v>
      </c>
      <c r="FX37" s="13">
        <f t="shared" si="114"/>
        <v>0.35229403219310507</v>
      </c>
      <c r="FY37" s="13">
        <f t="shared" si="115"/>
        <v>-0.26444026147747834</v>
      </c>
      <c r="FZ37" s="13">
        <f t="shared" si="116"/>
        <v>0.35231102979200057</v>
      </c>
      <c r="GA37" s="13">
        <f t="shared" si="117"/>
        <v>-0.26448092663242662</v>
      </c>
      <c r="GB37" s="12">
        <f t="shared" si="118"/>
        <v>0.3522896637117513</v>
      </c>
      <c r="GC37" s="22"/>
      <c r="GD37" s="11">
        <f t="shared" si="59"/>
        <v>1.5</v>
      </c>
      <c r="GE37" s="10">
        <f t="shared" si="60"/>
        <v>0.74926606198035017</v>
      </c>
      <c r="GF37" s="10">
        <f t="shared" si="61"/>
        <v>5.3414996220710531</v>
      </c>
      <c r="GG37" s="5">
        <f t="shared" si="62"/>
        <v>-8.7342365835222964</v>
      </c>
      <c r="GH37" s="10">
        <f t="shared" si="63"/>
        <v>0.28632536903025485</v>
      </c>
      <c r="GI37" s="9">
        <f t="shared" si="119"/>
        <v>11.003030837115716</v>
      </c>
      <c r="GJ37" s="8">
        <f t="shared" si="120"/>
        <v>-6.2010522574158742</v>
      </c>
      <c r="GK37" s="8">
        <f t="shared" si="121"/>
        <v>0.35233740063887597</v>
      </c>
      <c r="GL37" s="7">
        <f t="shared" si="122"/>
        <v>0.35229403219310507</v>
      </c>
      <c r="GM37" s="6">
        <f t="shared" si="64"/>
        <v>0.47432998297061912</v>
      </c>
      <c r="GN37" s="5">
        <f t="shared" si="65"/>
        <v>0.74937440364129371</v>
      </c>
      <c r="GO37" s="4">
        <f t="shared" si="66"/>
        <v>0.56750094915589566</v>
      </c>
      <c r="GP37" s="4">
        <f t="shared" si="67"/>
        <v>0.88818423022188309</v>
      </c>
      <c r="GQ37" s="4">
        <f t="shared" si="68"/>
        <v>5.3079403218014964E-2</v>
      </c>
      <c r="GR37" s="1"/>
    </row>
    <row r="38" spans="1:200" x14ac:dyDescent="0.4">
      <c r="A38" s="34"/>
      <c r="B38" s="21"/>
      <c r="C38" s="21"/>
      <c r="D38" s="34"/>
      <c r="E38" s="34"/>
      <c r="F38" s="20" t="s">
        <v>83</v>
      </c>
      <c r="G38" s="19">
        <v>1050</v>
      </c>
      <c r="H38" s="18">
        <v>1E-4</v>
      </c>
      <c r="I38" s="17">
        <v>1.5</v>
      </c>
      <c r="J38" s="16">
        <v>49.6</v>
      </c>
      <c r="K38" s="16">
        <v>0.92</v>
      </c>
      <c r="L38" s="16">
        <v>14.6</v>
      </c>
      <c r="M38" s="16">
        <v>0</v>
      </c>
      <c r="N38" s="16">
        <v>9</v>
      </c>
      <c r="O38" s="16">
        <v>0</v>
      </c>
      <c r="P38" s="16">
        <v>8.6999999999999993</v>
      </c>
      <c r="Q38" s="16">
        <v>12.4</v>
      </c>
      <c r="R38" s="16">
        <v>2.2999999999999998</v>
      </c>
      <c r="S38" s="16">
        <v>0.21</v>
      </c>
      <c r="T38" s="16">
        <v>0</v>
      </c>
      <c r="U38" s="15">
        <v>2.9</v>
      </c>
      <c r="V38" s="16"/>
      <c r="W38" s="28">
        <f t="shared" si="69"/>
        <v>49.289476299314316</v>
      </c>
      <c r="X38" s="24">
        <f t="shared" si="127"/>
        <v>0.91424028619695907</v>
      </c>
      <c r="Y38" s="24">
        <f t="shared" si="127"/>
        <v>14.508595846169134</v>
      </c>
      <c r="Z38" s="24">
        <f t="shared" si="127"/>
        <v>0</v>
      </c>
      <c r="AA38" s="24">
        <f t="shared" si="127"/>
        <v>8.9436549736659039</v>
      </c>
      <c r="AB38" s="24">
        <f t="shared" si="127"/>
        <v>0</v>
      </c>
      <c r="AC38" s="24">
        <f t="shared" si="127"/>
        <v>8.6455331412103735</v>
      </c>
      <c r="AD38" s="24">
        <f t="shared" si="127"/>
        <v>12.322369074828579</v>
      </c>
      <c r="AE38" s="24">
        <f t="shared" si="127"/>
        <v>2.2856007154923974</v>
      </c>
      <c r="AF38" s="24">
        <f t="shared" si="127"/>
        <v>0.2086852827188711</v>
      </c>
      <c r="AG38" s="24">
        <f t="shared" si="127"/>
        <v>0</v>
      </c>
      <c r="AH38" s="24">
        <f t="shared" si="127"/>
        <v>2.8818443804034577</v>
      </c>
      <c r="AI38" s="14">
        <f t="shared" si="123"/>
        <v>100</v>
      </c>
      <c r="AJ38" s="26"/>
      <c r="AK38" s="50">
        <f t="shared" si="70"/>
        <v>0.82026088033473643</v>
      </c>
      <c r="AL38" s="47">
        <f t="shared" si="71"/>
        <v>1.1442306460537659E-2</v>
      </c>
      <c r="AM38" s="47">
        <f t="shared" si="72"/>
        <v>0.14229693846772395</v>
      </c>
      <c r="AN38" s="49">
        <f t="shared" si="73"/>
        <v>0</v>
      </c>
      <c r="AO38" s="49">
        <f t="shared" si="74"/>
        <v>0.1244767567664009</v>
      </c>
      <c r="AP38" s="47">
        <f t="shared" si="75"/>
        <v>0</v>
      </c>
      <c r="AQ38" s="47">
        <f t="shared" si="76"/>
        <v>0.21442294497049538</v>
      </c>
      <c r="AR38" s="47">
        <f t="shared" si="77"/>
        <v>0.21972840718310591</v>
      </c>
      <c r="AS38" s="47">
        <f t="shared" si="78"/>
        <v>3.6876423289648234E-2</v>
      </c>
      <c r="AT38" s="47">
        <f t="shared" si="79"/>
        <v>2.215342704021986E-3</v>
      </c>
      <c r="AU38" s="47">
        <f t="shared" si="80"/>
        <v>0</v>
      </c>
      <c r="AV38" s="47">
        <f t="shared" si="81"/>
        <v>0.15992477138753927</v>
      </c>
      <c r="AW38" s="47">
        <f t="shared" si="82"/>
        <v>1.7316447715642094</v>
      </c>
      <c r="AX38" s="47">
        <f t="shared" si="83"/>
        <v>8.8854028015293685E-2</v>
      </c>
      <c r="AY38" s="46">
        <f t="shared" si="84"/>
        <v>1.7817022496943589E-2</v>
      </c>
      <c r="AZ38" s="26"/>
      <c r="BA38" s="23">
        <f t="shared" si="85"/>
        <v>0.47368888458213509</v>
      </c>
      <c r="BB38" s="13">
        <f t="shared" si="6"/>
        <v>6.6077677410718173E-3</v>
      </c>
      <c r="BC38" s="13">
        <f t="shared" si="7"/>
        <v>8.2174439471893485E-2</v>
      </c>
      <c r="BD38" s="13">
        <f t="shared" si="8"/>
        <v>0</v>
      </c>
      <c r="BE38" s="13">
        <f t="shared" si="9"/>
        <v>7.1883540325629255E-2</v>
      </c>
      <c r="BF38" s="13">
        <f t="shared" si="10"/>
        <v>5.1311925791241289E-2</v>
      </c>
      <c r="BG38" s="13">
        <f t="shared" si="11"/>
        <v>1.0289074751081494E-2</v>
      </c>
      <c r="BH38" s="13">
        <f t="shared" si="12"/>
        <v>0</v>
      </c>
      <c r="BI38" s="13">
        <f t="shared" si="13"/>
        <v>0.12382617294931993</v>
      </c>
      <c r="BJ38" s="13">
        <f t="shared" si="14"/>
        <v>0.12689000122387883</v>
      </c>
      <c r="BK38" s="13">
        <f t="shared" si="15"/>
        <v>2.1295605135190313E-2</v>
      </c>
      <c r="BL38" s="13">
        <f t="shared" si="16"/>
        <v>1.2793286131201425E-3</v>
      </c>
      <c r="BM38" s="13">
        <f t="shared" si="17"/>
        <v>0</v>
      </c>
      <c r="BN38" s="13">
        <f t="shared" si="86"/>
        <v>9.235425995776135E-2</v>
      </c>
      <c r="BO38" s="12">
        <f t="shared" si="87"/>
        <v>0.90764574004223897</v>
      </c>
      <c r="BP38" s="13"/>
      <c r="BQ38" s="23">
        <f t="shared" si="88"/>
        <v>1.6405217606694729</v>
      </c>
      <c r="BR38" s="13">
        <f t="shared" si="18"/>
        <v>2.2884612921075319E-2</v>
      </c>
      <c r="BS38" s="13">
        <f t="shared" si="19"/>
        <v>0.42672340724026864</v>
      </c>
      <c r="BT38" s="13">
        <f t="shared" si="20"/>
        <v>0</v>
      </c>
      <c r="BU38" s="13">
        <f t="shared" si="21"/>
        <v>0.1244767567664009</v>
      </c>
      <c r="BV38" s="13">
        <f t="shared" si="89"/>
        <v>8.8854028015293685E-2</v>
      </c>
      <c r="BW38" s="24">
        <f t="shared" si="90"/>
        <v>5.345106749083077E-2</v>
      </c>
      <c r="BX38" s="13">
        <f t="shared" si="22"/>
        <v>0</v>
      </c>
      <c r="BY38" s="13">
        <f t="shared" si="23"/>
        <v>0.21452935834268919</v>
      </c>
      <c r="BZ38" s="13">
        <f t="shared" si="24"/>
        <v>0.21965007263509054</v>
      </c>
      <c r="CA38" s="13">
        <f t="shared" si="25"/>
        <v>3.6864527669232219E-2</v>
      </c>
      <c r="CB38" s="13">
        <f t="shared" si="26"/>
        <v>2.215342704021986E-3</v>
      </c>
      <c r="CC38" s="13">
        <f t="shared" si="27"/>
        <v>0</v>
      </c>
      <c r="CD38" s="13">
        <f t="shared" si="91"/>
        <v>0.15992477138753927</v>
      </c>
      <c r="CE38" s="12">
        <f t="shared" si="92"/>
        <v>2.8477906103357911</v>
      </c>
      <c r="CF38" s="13"/>
      <c r="CG38" s="23">
        <f t="shared" si="129"/>
        <v>0.5760682526009292</v>
      </c>
      <c r="CH38" s="13">
        <f t="shared" si="129"/>
        <v>8.0359183845953221E-3</v>
      </c>
      <c r="CI38" s="13">
        <f t="shared" si="129"/>
        <v>0.1498436737910139</v>
      </c>
      <c r="CJ38" s="13">
        <f t="shared" si="129"/>
        <v>0</v>
      </c>
      <c r="CK38" s="13">
        <f t="shared" si="128"/>
        <v>4.3709940019685464E-2</v>
      </c>
      <c r="CL38" s="13">
        <f t="shared" si="128"/>
        <v>3.1201039743865386E-2</v>
      </c>
      <c r="CM38" s="13">
        <f t="shared" si="128"/>
        <v>1.8769310951737495E-2</v>
      </c>
      <c r="CN38" s="13">
        <f t="shared" si="128"/>
        <v>0</v>
      </c>
      <c r="CO38" s="13">
        <f t="shared" si="128"/>
        <v>7.5331858165440552E-2</v>
      </c>
      <c r="CP38" s="13">
        <f t="shared" si="128"/>
        <v>7.7129993981260789E-2</v>
      </c>
      <c r="CQ38" s="13">
        <f t="shared" si="128"/>
        <v>1.2944957236475128E-2</v>
      </c>
      <c r="CR38" s="13">
        <f t="shared" si="128"/>
        <v>7.7791628920385013E-4</v>
      </c>
      <c r="CS38" s="13">
        <f t="shared" si="128"/>
        <v>0</v>
      </c>
      <c r="CT38" s="13">
        <f t="shared" si="128"/>
        <v>5.6157489531395738E-2</v>
      </c>
      <c r="CU38" s="12">
        <f t="shared" si="29"/>
        <v>0.99999999999999989</v>
      </c>
      <c r="CV38" s="26"/>
      <c r="CW38" s="23">
        <f t="shared" si="30"/>
        <v>0.82026088033473643</v>
      </c>
      <c r="CX38" s="13">
        <f t="shared" si="31"/>
        <v>1.1442306460537659E-2</v>
      </c>
      <c r="CY38" s="13">
        <f t="shared" si="32"/>
        <v>0.28448227149351246</v>
      </c>
      <c r="CZ38" s="13">
        <f t="shared" si="33"/>
        <v>0</v>
      </c>
      <c r="DA38" s="13">
        <f t="shared" si="34"/>
        <v>0.17270194986072424</v>
      </c>
      <c r="DB38" s="13">
        <f t="shared" si="35"/>
        <v>8.8854028015293685E-2</v>
      </c>
      <c r="DC38" s="24">
        <f t="shared" si="36"/>
        <v>3.5634044993887178E-2</v>
      </c>
      <c r="DD38" s="13">
        <f t="shared" si="37"/>
        <v>0</v>
      </c>
      <c r="DE38" s="13">
        <f t="shared" si="38"/>
        <v>0.21452935834268919</v>
      </c>
      <c r="DF38" s="13">
        <f t="shared" si="39"/>
        <v>0.21965007263509054</v>
      </c>
      <c r="DG38" s="13">
        <f t="shared" si="40"/>
        <v>7.3729055338464439E-2</v>
      </c>
      <c r="DH38" s="13">
        <f t="shared" si="41"/>
        <v>4.4306854080439721E-3</v>
      </c>
      <c r="DI38" s="13">
        <f t="shared" si="42"/>
        <v>0</v>
      </c>
      <c r="DJ38" s="13">
        <f t="shared" si="93"/>
        <v>0.31984954277507854</v>
      </c>
      <c r="DK38" s="12">
        <f t="shared" si="94"/>
        <v>2.1210761226488777</v>
      </c>
      <c r="DL38" s="26"/>
      <c r="DM38" s="23">
        <f t="shared" si="95"/>
        <v>0.38671920897886708</v>
      </c>
      <c r="DN38" s="13">
        <f t="shared" si="95"/>
        <v>5.3945760542757357E-3</v>
      </c>
      <c r="DO38" s="13">
        <f t="shared" si="95"/>
        <v>0.13412166987115981</v>
      </c>
      <c r="DP38" s="13">
        <f t="shared" si="95"/>
        <v>0</v>
      </c>
      <c r="DQ38" s="13">
        <f t="shared" si="95"/>
        <v>8.1421853754615706E-2</v>
      </c>
      <c r="DR38" s="13">
        <f t="shared" si="95"/>
        <v>4.1891013276944306E-2</v>
      </c>
      <c r="DS38" s="13">
        <f t="shared" si="95"/>
        <v>1.6799984033286874E-2</v>
      </c>
      <c r="DT38" s="13">
        <f t="shared" si="95"/>
        <v>0</v>
      </c>
      <c r="DU38" s="13">
        <f t="shared" si="95"/>
        <v>0.10114175349575717</v>
      </c>
      <c r="DV38" s="13">
        <f t="shared" si="95"/>
        <v>0.10355595930276348</v>
      </c>
      <c r="DW38" s="13">
        <f t="shared" si="95"/>
        <v>3.47602118335993E-2</v>
      </c>
      <c r="DX38" s="13">
        <f t="shared" si="95"/>
        <v>2.088885618358086E-3</v>
      </c>
      <c r="DY38" s="13">
        <f t="shared" si="95"/>
        <v>0</v>
      </c>
      <c r="DZ38" s="13">
        <f t="shared" si="95"/>
        <v>0.15079588109060352</v>
      </c>
      <c r="EA38" s="12">
        <f t="shared" si="44"/>
        <v>1</v>
      </c>
      <c r="EB38" s="26"/>
      <c r="EC38" s="30">
        <f t="shared" si="45"/>
        <v>1323</v>
      </c>
      <c r="ED38" s="14">
        <f t="shared" si="96"/>
        <v>100000</v>
      </c>
      <c r="EE38" s="29"/>
      <c r="EF38" s="128">
        <f t="shared" si="124"/>
        <v>-8.7342365835222964</v>
      </c>
      <c r="EG38" s="13">
        <f t="shared" si="97"/>
        <v>1.5</v>
      </c>
      <c r="EH38" s="13">
        <f t="shared" si="98"/>
        <v>0.74926606198035017</v>
      </c>
      <c r="EI38" s="12">
        <f t="shared" si="46"/>
        <v>5.3414996220710531</v>
      </c>
      <c r="EJ38" s="29"/>
      <c r="EK38" s="28">
        <f t="shared" si="99"/>
        <v>-1.6071581869375899</v>
      </c>
      <c r="EL38" s="24">
        <f t="shared" si="100"/>
        <v>-0.69785418451480241</v>
      </c>
      <c r="EM38" s="24">
        <f t="shared" si="101"/>
        <v>0.20045646520929694</v>
      </c>
      <c r="EN38" s="24">
        <f t="shared" si="102"/>
        <v>5.1311925791241282E-2</v>
      </c>
      <c r="EO38" s="24">
        <f t="shared" si="103"/>
        <v>1.0285807267193985E-2</v>
      </c>
      <c r="EP38" s="24">
        <f t="shared" si="104"/>
        <v>0.28617976300554293</v>
      </c>
      <c r="EQ38" s="24">
        <f t="shared" si="105"/>
        <v>-1.6068405682108262</v>
      </c>
      <c r="ER38" s="24">
        <f t="shared" si="47"/>
        <v>-20.10929575626913</v>
      </c>
      <c r="ES38" s="25">
        <f t="shared" si="48"/>
        <v>-8.7317827860482549</v>
      </c>
      <c r="ET38" s="26">
        <v>2.9</v>
      </c>
      <c r="EU38" s="26">
        <v>0.29083888041780531</v>
      </c>
      <c r="EV38" s="26">
        <v>0.35615062396542019</v>
      </c>
      <c r="EW38" s="26">
        <v>0.28617976300554293</v>
      </c>
      <c r="EX38" s="26">
        <v>0.3548028223470181</v>
      </c>
      <c r="EY38" s="26">
        <f t="shared" si="106"/>
        <v>0.99621564156368581</v>
      </c>
      <c r="EZ38" s="26">
        <f t="shared" si="107"/>
        <v>1.0162803874156963</v>
      </c>
      <c r="FA38" s="23">
        <f t="shared" si="125"/>
        <v>-1.2538635834375107</v>
      </c>
      <c r="FB38" s="190">
        <f t="shared" si="108"/>
        <v>5.2793572683898282E-2</v>
      </c>
      <c r="FC38" s="124">
        <v>6.2646889236044334E-2</v>
      </c>
      <c r="FD38" s="26"/>
      <c r="FE38" s="27">
        <f t="shared" si="109"/>
        <v>0.88818423022188309</v>
      </c>
      <c r="FF38" s="26"/>
      <c r="FG38" s="23">
        <f t="shared" si="49"/>
        <v>-4.3095190958862784</v>
      </c>
      <c r="FH38" s="13">
        <f t="shared" si="50"/>
        <v>14.328938704515803</v>
      </c>
      <c r="FI38" s="13">
        <f t="shared" si="51"/>
        <v>-21.845149910644157</v>
      </c>
      <c r="FJ38" s="13">
        <f t="shared" si="52"/>
        <v>0.260961799242871</v>
      </c>
      <c r="FK38" s="12">
        <f t="shared" si="53"/>
        <v>0.5648727086449874</v>
      </c>
      <c r="FL38" s="13"/>
      <c r="FM38" s="23">
        <f t="shared" si="54"/>
        <v>-6.0583393510216057</v>
      </c>
      <c r="FN38" s="13">
        <f t="shared" si="55"/>
        <v>11.361930414952337</v>
      </c>
      <c r="FO38" s="13">
        <f t="shared" si="56"/>
        <v>11.882320031356045</v>
      </c>
      <c r="FP38" s="24">
        <f t="shared" si="110"/>
        <v>0.47228034325168722</v>
      </c>
      <c r="FQ38" s="25">
        <f t="shared" si="57"/>
        <v>0.74786332527346966</v>
      </c>
      <c r="FR38" s="13"/>
      <c r="FS38" s="23">
        <f t="shared" si="111"/>
        <v>11.009458317325794</v>
      </c>
      <c r="FT38" s="13">
        <f t="shared" si="126"/>
        <v>-6.1993094566252163</v>
      </c>
      <c r="FU38" s="13">
        <f t="shared" si="112"/>
        <v>-0.25970539309358287</v>
      </c>
      <c r="FV38" s="13">
        <f t="shared" si="58"/>
        <v>0.3548028223470181</v>
      </c>
      <c r="FW38" s="23">
        <f t="shared" si="113"/>
        <v>-0.25978793277612411</v>
      </c>
      <c r="FX38" s="13">
        <f t="shared" si="114"/>
        <v>0.35475931666091876</v>
      </c>
      <c r="FY38" s="13">
        <f t="shared" si="115"/>
        <v>-0.25975558205805882</v>
      </c>
      <c r="FZ38" s="13">
        <f t="shared" si="116"/>
        <v>0.35477636805391966</v>
      </c>
      <c r="GA38" s="13">
        <f t="shared" si="117"/>
        <v>-0.25979624721300709</v>
      </c>
      <c r="GB38" s="12">
        <f t="shared" si="118"/>
        <v>0.35475493435315675</v>
      </c>
      <c r="GC38" s="22"/>
      <c r="GD38" s="11">
        <f t="shared" si="59"/>
        <v>1.5</v>
      </c>
      <c r="GE38" s="10">
        <f t="shared" si="60"/>
        <v>0.74926606198035017</v>
      </c>
      <c r="GF38" s="10">
        <f t="shared" si="61"/>
        <v>5.3414996220710531</v>
      </c>
      <c r="GG38" s="5">
        <f t="shared" si="62"/>
        <v>-8.7342365835222964</v>
      </c>
      <c r="GH38" s="10">
        <f t="shared" si="63"/>
        <v>0.28617976300554293</v>
      </c>
      <c r="GI38" s="9">
        <f t="shared" si="119"/>
        <v>11.009458317325794</v>
      </c>
      <c r="GJ38" s="8">
        <f t="shared" si="120"/>
        <v>-6.1993094566252163</v>
      </c>
      <c r="GK38" s="8">
        <f t="shared" si="121"/>
        <v>0.3548028223470181</v>
      </c>
      <c r="GL38" s="7">
        <f t="shared" si="122"/>
        <v>0.35475931666091876</v>
      </c>
      <c r="GM38" s="6">
        <f t="shared" si="64"/>
        <v>0.47228034325168722</v>
      </c>
      <c r="GN38" s="5">
        <f t="shared" si="65"/>
        <v>0.74786332527346966</v>
      </c>
      <c r="GO38" s="4">
        <f t="shared" si="66"/>
        <v>0.5648727086449874</v>
      </c>
      <c r="GP38" s="4">
        <f t="shared" si="67"/>
        <v>0.88818423022188309</v>
      </c>
      <c r="GQ38" s="4">
        <f t="shared" si="68"/>
        <v>5.2793572683898282E-2</v>
      </c>
      <c r="GR38" s="1"/>
    </row>
    <row r="39" spans="1:200" x14ac:dyDescent="0.4">
      <c r="A39" s="34"/>
      <c r="B39" s="21"/>
      <c r="C39" s="21"/>
      <c r="D39" s="34"/>
      <c r="E39" s="34"/>
      <c r="F39" s="20" t="s">
        <v>83</v>
      </c>
      <c r="G39" s="19">
        <v>1050</v>
      </c>
      <c r="H39" s="18">
        <v>1E-4</v>
      </c>
      <c r="I39" s="17">
        <v>1.5</v>
      </c>
      <c r="J39" s="16">
        <v>49.6</v>
      </c>
      <c r="K39" s="16">
        <v>0.92</v>
      </c>
      <c r="L39" s="16">
        <v>14.6</v>
      </c>
      <c r="M39" s="16">
        <v>0</v>
      </c>
      <c r="N39" s="16">
        <v>9</v>
      </c>
      <c r="O39" s="16">
        <v>0</v>
      </c>
      <c r="P39" s="16">
        <v>8.6999999999999993</v>
      </c>
      <c r="Q39" s="16">
        <v>12.4</v>
      </c>
      <c r="R39" s="16">
        <v>2.2999999999999998</v>
      </c>
      <c r="S39" s="16">
        <v>0.21</v>
      </c>
      <c r="T39" s="16">
        <v>0</v>
      </c>
      <c r="U39" s="15">
        <v>3</v>
      </c>
      <c r="V39" s="16"/>
      <c r="W39" s="28">
        <f t="shared" si="69"/>
        <v>49.24054402859128</v>
      </c>
      <c r="X39" s="24">
        <f t="shared" si="127"/>
        <v>0.91333267149806407</v>
      </c>
      <c r="Y39" s="24">
        <f t="shared" si="127"/>
        <v>14.494192395512757</v>
      </c>
      <c r="Z39" s="24">
        <f t="shared" si="127"/>
        <v>0</v>
      </c>
      <c r="AA39" s="24">
        <f t="shared" si="127"/>
        <v>8.9347761342201917</v>
      </c>
      <c r="AB39" s="24">
        <f t="shared" si="127"/>
        <v>0</v>
      </c>
      <c r="AC39" s="24">
        <f t="shared" si="127"/>
        <v>8.6369502630795179</v>
      </c>
      <c r="AD39" s="24">
        <f t="shared" si="127"/>
        <v>12.31013600714782</v>
      </c>
      <c r="AE39" s="24">
        <f t="shared" si="127"/>
        <v>2.2833316787451601</v>
      </c>
      <c r="AF39" s="24">
        <f t="shared" si="127"/>
        <v>0.20847810979847115</v>
      </c>
      <c r="AG39" s="24">
        <f t="shared" si="127"/>
        <v>0</v>
      </c>
      <c r="AH39" s="24">
        <f t="shared" si="127"/>
        <v>2.9782587114067307</v>
      </c>
      <c r="AI39" s="14">
        <f t="shared" si="123"/>
        <v>99.999999999999972</v>
      </c>
      <c r="AJ39" s="26"/>
      <c r="AK39" s="50">
        <f t="shared" si="70"/>
        <v>0.8194465639639088</v>
      </c>
      <c r="AL39" s="47">
        <f t="shared" si="71"/>
        <v>1.1430947077572766E-2</v>
      </c>
      <c r="AM39" s="47">
        <f t="shared" si="72"/>
        <v>0.14215567276885796</v>
      </c>
      <c r="AN39" s="49">
        <f t="shared" si="73"/>
        <v>0</v>
      </c>
      <c r="AO39" s="49">
        <f t="shared" si="74"/>
        <v>0.12435318210466517</v>
      </c>
      <c r="AP39" s="47">
        <f t="shared" si="75"/>
        <v>0</v>
      </c>
      <c r="AQ39" s="47">
        <f t="shared" si="76"/>
        <v>0.21421007596923408</v>
      </c>
      <c r="AR39" s="47">
        <f t="shared" si="77"/>
        <v>0.21951027116882704</v>
      </c>
      <c r="AS39" s="47">
        <f t="shared" si="78"/>
        <v>3.6839814113345595E-2</v>
      </c>
      <c r="AT39" s="47">
        <f t="shared" si="79"/>
        <v>2.2131434161196512E-3</v>
      </c>
      <c r="AU39" s="47">
        <f t="shared" si="80"/>
        <v>0</v>
      </c>
      <c r="AV39" s="47">
        <f t="shared" si="81"/>
        <v>0.16527517821347007</v>
      </c>
      <c r="AW39" s="47">
        <f t="shared" si="82"/>
        <v>1.7354348487960012</v>
      </c>
      <c r="AX39" s="47">
        <f t="shared" si="83"/>
        <v>8.8783804069162059E-2</v>
      </c>
      <c r="AY39" s="46">
        <f t="shared" si="84"/>
        <v>1.7790338665202684E-2</v>
      </c>
      <c r="AZ39" s="26"/>
      <c r="BA39" s="23">
        <f t="shared" si="85"/>
        <v>0.47218514975218989</v>
      </c>
      <c r="BB39" s="13">
        <f t="shared" si="6"/>
        <v>6.586791250333169E-3</v>
      </c>
      <c r="BC39" s="13">
        <f t="shared" si="7"/>
        <v>8.1913575071678318E-2</v>
      </c>
      <c r="BD39" s="13">
        <f t="shared" si="8"/>
        <v>0</v>
      </c>
      <c r="BE39" s="13">
        <f t="shared" si="9"/>
        <v>7.165534459039942E-2</v>
      </c>
      <c r="BF39" s="13">
        <f t="shared" si="10"/>
        <v>5.1159399115880334E-2</v>
      </c>
      <c r="BG39" s="13">
        <f t="shared" si="11"/>
        <v>1.0251228202283221E-2</v>
      </c>
      <c r="BH39" s="13">
        <f t="shared" si="12"/>
        <v>0</v>
      </c>
      <c r="BI39" s="13">
        <f t="shared" si="13"/>
        <v>0.12343308428884402</v>
      </c>
      <c r="BJ39" s="13">
        <f t="shared" si="14"/>
        <v>0.12648718637932013</v>
      </c>
      <c r="BK39" s="13">
        <f t="shared" si="15"/>
        <v>2.1228001811133438E-2</v>
      </c>
      <c r="BL39" s="13">
        <f t="shared" si="16"/>
        <v>1.2752673588726604E-3</v>
      </c>
      <c r="BM39" s="13">
        <f t="shared" si="17"/>
        <v>0</v>
      </c>
      <c r="BN39" s="13">
        <f t="shared" si="86"/>
        <v>9.5235599497228957E-2</v>
      </c>
      <c r="BO39" s="12">
        <f t="shared" si="87"/>
        <v>0.90476440050277107</v>
      </c>
      <c r="BP39" s="13"/>
      <c r="BQ39" s="23">
        <f t="shared" si="88"/>
        <v>1.6388931279278176</v>
      </c>
      <c r="BR39" s="13">
        <f t="shared" si="18"/>
        <v>2.2861894155145532E-2</v>
      </c>
      <c r="BS39" s="13">
        <f t="shared" si="19"/>
        <v>0.42629977633861049</v>
      </c>
      <c r="BT39" s="13">
        <f t="shared" si="20"/>
        <v>0</v>
      </c>
      <c r="BU39" s="13">
        <f t="shared" si="21"/>
        <v>0.12435318210466517</v>
      </c>
      <c r="BV39" s="13">
        <f t="shared" si="89"/>
        <v>8.8783804069162059E-2</v>
      </c>
      <c r="BW39" s="24">
        <f t="shared" si="90"/>
        <v>5.3371015995608055E-2</v>
      </c>
      <c r="BX39" s="13">
        <f t="shared" si="22"/>
        <v>0</v>
      </c>
      <c r="BY39" s="13">
        <f t="shared" si="23"/>
        <v>0.21431638369924363</v>
      </c>
      <c r="BZ39" s="13">
        <f t="shared" si="24"/>
        <v>0.21943201438766166</v>
      </c>
      <c r="CA39" s="13">
        <f t="shared" si="25"/>
        <v>3.6827930302341293E-2</v>
      </c>
      <c r="CB39" s="13">
        <f t="shared" si="26"/>
        <v>2.2131434161196512E-3</v>
      </c>
      <c r="CC39" s="13">
        <f t="shared" si="27"/>
        <v>0</v>
      </c>
      <c r="CD39" s="13">
        <f t="shared" si="91"/>
        <v>0.16527517821347007</v>
      </c>
      <c r="CE39" s="12">
        <f t="shared" si="92"/>
        <v>2.8504726305450752</v>
      </c>
      <c r="CF39" s="13"/>
      <c r="CG39" s="23">
        <f t="shared" si="129"/>
        <v>0.57495487252386768</v>
      </c>
      <c r="CH39" s="13">
        <f t="shared" si="129"/>
        <v>8.0203871842733036E-3</v>
      </c>
      <c r="CI39" s="13">
        <f t="shared" si="129"/>
        <v>0.14955406755022668</v>
      </c>
      <c r="CJ39" s="13">
        <f t="shared" si="129"/>
        <v>0</v>
      </c>
      <c r="CK39" s="13">
        <f t="shared" si="128"/>
        <v>4.3625460834853205E-2</v>
      </c>
      <c r="CL39" s="13">
        <f t="shared" si="128"/>
        <v>3.1147046674917408E-2</v>
      </c>
      <c r="CM39" s="13">
        <f t="shared" si="128"/>
        <v>1.872356725116224E-2</v>
      </c>
      <c r="CN39" s="13">
        <f t="shared" si="128"/>
        <v>0</v>
      </c>
      <c r="CO39" s="13">
        <f t="shared" si="128"/>
        <v>7.5186262587710398E-2</v>
      </c>
      <c r="CP39" s="13">
        <f t="shared" si="128"/>
        <v>7.6980923105969712E-2</v>
      </c>
      <c r="CQ39" s="13">
        <f t="shared" si="128"/>
        <v>1.2919938226278972E-2</v>
      </c>
      <c r="CR39" s="13">
        <f t="shared" si="128"/>
        <v>7.7641279288356044E-4</v>
      </c>
      <c r="CS39" s="13">
        <f t="shared" si="128"/>
        <v>0</v>
      </c>
      <c r="CT39" s="13">
        <f t="shared" si="128"/>
        <v>5.7981675193936419E-2</v>
      </c>
      <c r="CU39" s="12">
        <f t="shared" si="29"/>
        <v>1</v>
      </c>
      <c r="CV39" s="26"/>
      <c r="CW39" s="23">
        <f t="shared" si="30"/>
        <v>0.8194465639639088</v>
      </c>
      <c r="CX39" s="13">
        <f t="shared" si="31"/>
        <v>1.1430947077572766E-2</v>
      </c>
      <c r="CY39" s="13">
        <f t="shared" si="32"/>
        <v>0.28419985089240701</v>
      </c>
      <c r="CZ39" s="13">
        <f t="shared" si="33"/>
        <v>0</v>
      </c>
      <c r="DA39" s="13">
        <f t="shared" si="34"/>
        <v>0.17270194986072424</v>
      </c>
      <c r="DB39" s="13">
        <f t="shared" si="35"/>
        <v>8.8783804069162059E-2</v>
      </c>
      <c r="DC39" s="24">
        <f t="shared" si="36"/>
        <v>3.5580677330405368E-2</v>
      </c>
      <c r="DD39" s="13">
        <f t="shared" si="37"/>
        <v>0</v>
      </c>
      <c r="DE39" s="13">
        <f t="shared" si="38"/>
        <v>0.21431638369924363</v>
      </c>
      <c r="DF39" s="13">
        <f t="shared" si="39"/>
        <v>0.21943201438766166</v>
      </c>
      <c r="DG39" s="13">
        <f t="shared" si="40"/>
        <v>7.3655860604682585E-2</v>
      </c>
      <c r="DH39" s="13">
        <f t="shared" si="41"/>
        <v>4.4262868322393024E-3</v>
      </c>
      <c r="DI39" s="13">
        <f t="shared" si="42"/>
        <v>0</v>
      </c>
      <c r="DJ39" s="13">
        <f t="shared" si="93"/>
        <v>0.33055035642694014</v>
      </c>
      <c r="DK39" s="12">
        <f t="shared" si="94"/>
        <v>2.1301602137453801</v>
      </c>
      <c r="DL39" s="26"/>
      <c r="DM39" s="23">
        <f t="shared" si="95"/>
        <v>0.38468776136002791</v>
      </c>
      <c r="DN39" s="13">
        <f t="shared" si="95"/>
        <v>5.366238184251017E-3</v>
      </c>
      <c r="DO39" s="13">
        <f t="shared" si="95"/>
        <v>0.13341712471134232</v>
      </c>
      <c r="DP39" s="13">
        <f t="shared" si="95"/>
        <v>0</v>
      </c>
      <c r="DQ39" s="13">
        <f t="shared" si="95"/>
        <v>8.1074629385302868E-2</v>
      </c>
      <c r="DR39" s="13">
        <f t="shared" si="95"/>
        <v>4.1679402092041171E-2</v>
      </c>
      <c r="DS39" s="13">
        <f t="shared" si="95"/>
        <v>1.6703286964432223E-2</v>
      </c>
      <c r="DT39" s="13">
        <f t="shared" si="95"/>
        <v>0</v>
      </c>
      <c r="DU39" s="13">
        <f t="shared" si="95"/>
        <v>0.10061045282712291</v>
      </c>
      <c r="DV39" s="13">
        <f t="shared" si="95"/>
        <v>0.10301197673852083</v>
      </c>
      <c r="DW39" s="13">
        <f t="shared" si="95"/>
        <v>3.4577615396907763E-2</v>
      </c>
      <c r="DX39" s="13">
        <f t="shared" si="95"/>
        <v>2.0779126394707792E-3</v>
      </c>
      <c r="DY39" s="13">
        <f t="shared" si="95"/>
        <v>0</v>
      </c>
      <c r="DZ39" s="13">
        <f t="shared" si="95"/>
        <v>0.15517628875705361</v>
      </c>
      <c r="EA39" s="12">
        <f t="shared" si="44"/>
        <v>1</v>
      </c>
      <c r="EB39" s="26"/>
      <c r="EC39" s="30">
        <f t="shared" si="45"/>
        <v>1323</v>
      </c>
      <c r="ED39" s="14">
        <f t="shared" si="96"/>
        <v>100000</v>
      </c>
      <c r="EE39" s="29"/>
      <c r="EF39" s="128">
        <f t="shared" si="124"/>
        <v>-8.7342365835222964</v>
      </c>
      <c r="EG39" s="13">
        <f t="shared" si="97"/>
        <v>1.5</v>
      </c>
      <c r="EH39" s="13">
        <f t="shared" si="98"/>
        <v>0.74926606198035017</v>
      </c>
      <c r="EI39" s="12">
        <f t="shared" si="46"/>
        <v>5.3414996220710531</v>
      </c>
      <c r="EJ39" s="29"/>
      <c r="EK39" s="28">
        <f t="shared" si="99"/>
        <v>-1.6078663271555167</v>
      </c>
      <c r="EL39" s="24">
        <f t="shared" si="100"/>
        <v>-0.69816167049740196</v>
      </c>
      <c r="EM39" s="24">
        <f t="shared" si="101"/>
        <v>0.20031456417318397</v>
      </c>
      <c r="EN39" s="24">
        <f t="shared" si="102"/>
        <v>5.1159399115880334E-2</v>
      </c>
      <c r="EO39" s="24">
        <f t="shared" si="103"/>
        <v>1.0247972737259543E-2</v>
      </c>
      <c r="EP39" s="24">
        <f t="shared" si="104"/>
        <v>0.28603512538637893</v>
      </c>
      <c r="EQ39" s="24">
        <f t="shared" si="105"/>
        <v>-1.6075487084287527</v>
      </c>
      <c r="ER39" s="24">
        <f t="shared" si="47"/>
        <v>-20.10929575626913</v>
      </c>
      <c r="ES39" s="25">
        <f t="shared" si="48"/>
        <v>-8.7317827860482549</v>
      </c>
      <c r="ET39" s="26">
        <v>3</v>
      </c>
      <c r="EU39" s="26">
        <v>0.29083888041780526</v>
      </c>
      <c r="EV39" s="26">
        <v>0.35865529065507329</v>
      </c>
      <c r="EW39" s="26">
        <v>0.28603512538637893</v>
      </c>
      <c r="EX39" s="26">
        <v>0.35726577941306847</v>
      </c>
      <c r="EY39" s="26">
        <f t="shared" si="106"/>
        <v>0.99612577514340606</v>
      </c>
      <c r="EZ39" s="26">
        <f t="shared" si="107"/>
        <v>1.0167942836563775</v>
      </c>
      <c r="FA39" s="23">
        <f t="shared" si="125"/>
        <v>-1.2563239145499843</v>
      </c>
      <c r="FB39" s="190">
        <f t="shared" si="108"/>
        <v>5.2510996930986265E-2</v>
      </c>
      <c r="FC39" s="124">
        <v>6.2646889236044334E-2</v>
      </c>
      <c r="FD39" s="26"/>
      <c r="FE39" s="27">
        <f t="shared" si="109"/>
        <v>0.88818423022188309</v>
      </c>
      <c r="FF39" s="26"/>
      <c r="FG39" s="23">
        <f t="shared" si="49"/>
        <v>-4.3324459640500566</v>
      </c>
      <c r="FH39" s="13">
        <f t="shared" si="50"/>
        <v>14.295422847063147</v>
      </c>
      <c r="FI39" s="13">
        <f t="shared" si="51"/>
        <v>-21.845149910644157</v>
      </c>
      <c r="FJ39" s="13">
        <f t="shared" si="52"/>
        <v>0.25037280995399414</v>
      </c>
      <c r="FK39" s="12">
        <f t="shared" si="53"/>
        <v>0.56226825999381924</v>
      </c>
      <c r="FL39" s="13"/>
      <c r="FM39" s="23">
        <f t="shared" si="54"/>
        <v>-6.0590460425921879</v>
      </c>
      <c r="FN39" s="13">
        <f t="shared" si="55"/>
        <v>11.357667559624002</v>
      </c>
      <c r="FO39" s="13">
        <f t="shared" si="56"/>
        <v>11.878140409182663</v>
      </c>
      <c r="FP39" s="24">
        <f t="shared" si="110"/>
        <v>0.47024001712277297</v>
      </c>
      <c r="FQ39" s="25">
        <f t="shared" si="57"/>
        <v>0.74635244727000138</v>
      </c>
      <c r="FR39" s="13"/>
      <c r="FS39" s="23">
        <f t="shared" si="111"/>
        <v>11.01586095246455</v>
      </c>
      <c r="FT39" s="13">
        <f t="shared" si="126"/>
        <v>-6.1975722106966975</v>
      </c>
      <c r="FU39" s="13">
        <f t="shared" si="112"/>
        <v>-0.25504000388334447</v>
      </c>
      <c r="FV39" s="13">
        <f t="shared" si="58"/>
        <v>0.35726577941306847</v>
      </c>
      <c r="FW39" s="23">
        <f t="shared" si="113"/>
        <v>-0.25512254356588571</v>
      </c>
      <c r="FX39" s="13">
        <f t="shared" si="114"/>
        <v>0.35722213893060339</v>
      </c>
      <c r="FY39" s="13">
        <f t="shared" si="115"/>
        <v>-0.25509019284782042</v>
      </c>
      <c r="FZ39" s="13">
        <f t="shared" si="116"/>
        <v>0.35723924315986122</v>
      </c>
      <c r="GA39" s="13">
        <f t="shared" si="117"/>
        <v>-0.25513085800276869</v>
      </c>
      <c r="GB39" s="12">
        <f t="shared" si="118"/>
        <v>0.35721774304260046</v>
      </c>
      <c r="GC39" s="22"/>
      <c r="GD39" s="11">
        <f t="shared" si="59"/>
        <v>1.5</v>
      </c>
      <c r="GE39" s="10">
        <f t="shared" si="60"/>
        <v>0.74926606198035017</v>
      </c>
      <c r="GF39" s="10">
        <f t="shared" si="61"/>
        <v>5.3414996220710531</v>
      </c>
      <c r="GG39" s="5">
        <f t="shared" si="62"/>
        <v>-8.7342365835222964</v>
      </c>
      <c r="GH39" s="10">
        <f t="shared" si="63"/>
        <v>0.28603512538637893</v>
      </c>
      <c r="GI39" s="9">
        <f t="shared" si="119"/>
        <v>11.01586095246455</v>
      </c>
      <c r="GJ39" s="8">
        <f t="shared" si="120"/>
        <v>-6.1975722106966975</v>
      </c>
      <c r="GK39" s="8">
        <f t="shared" si="121"/>
        <v>0.35726577941306847</v>
      </c>
      <c r="GL39" s="7">
        <f t="shared" si="122"/>
        <v>0.35722213893060339</v>
      </c>
      <c r="GM39" s="6">
        <f t="shared" si="64"/>
        <v>0.47024001712277297</v>
      </c>
      <c r="GN39" s="5">
        <f t="shared" si="65"/>
        <v>0.74635244727000138</v>
      </c>
      <c r="GO39" s="4">
        <f t="shared" si="66"/>
        <v>0.56226825999381924</v>
      </c>
      <c r="GP39" s="4">
        <f t="shared" si="67"/>
        <v>0.88818423022188309</v>
      </c>
      <c r="GQ39" s="4">
        <f t="shared" si="68"/>
        <v>5.2510996930986265E-2</v>
      </c>
      <c r="GR39" s="1"/>
    </row>
    <row r="40" spans="1:200" x14ac:dyDescent="0.4">
      <c r="A40" s="34"/>
      <c r="B40" s="21"/>
      <c r="C40" s="21"/>
      <c r="D40" s="34"/>
      <c r="E40" s="34"/>
      <c r="F40" s="20" t="s">
        <v>83</v>
      </c>
      <c r="G40" s="19">
        <v>1050</v>
      </c>
      <c r="H40" s="18">
        <v>1E-4</v>
      </c>
      <c r="I40" s="17">
        <v>1.5</v>
      </c>
      <c r="J40" s="16">
        <v>49.6</v>
      </c>
      <c r="K40" s="16">
        <v>0.92</v>
      </c>
      <c r="L40" s="16">
        <v>14.6</v>
      </c>
      <c r="M40" s="16">
        <v>0</v>
      </c>
      <c r="N40" s="16">
        <v>9</v>
      </c>
      <c r="O40" s="16">
        <v>0</v>
      </c>
      <c r="P40" s="16">
        <v>8.6999999999999993</v>
      </c>
      <c r="Q40" s="16">
        <v>12.4</v>
      </c>
      <c r="R40" s="16">
        <v>2.2999999999999998</v>
      </c>
      <c r="S40" s="16">
        <v>0.21</v>
      </c>
      <c r="T40" s="16">
        <v>0</v>
      </c>
      <c r="U40" s="15">
        <v>3.1</v>
      </c>
      <c r="V40" s="16"/>
      <c r="W40" s="28">
        <f t="shared" si="69"/>
        <v>49.191708816820395</v>
      </c>
      <c r="X40" s="24">
        <f t="shared" si="127"/>
        <v>0.91242685708618465</v>
      </c>
      <c r="Y40" s="24">
        <f t="shared" si="127"/>
        <v>14.479817514628582</v>
      </c>
      <c r="Z40" s="24">
        <f t="shared" si="127"/>
        <v>0</v>
      </c>
      <c r="AA40" s="24">
        <f t="shared" si="127"/>
        <v>8.9259149062778924</v>
      </c>
      <c r="AB40" s="24">
        <f t="shared" si="127"/>
        <v>0</v>
      </c>
      <c r="AC40" s="24">
        <f t="shared" si="127"/>
        <v>8.6283844094019635</v>
      </c>
      <c r="AD40" s="24">
        <f t="shared" si="127"/>
        <v>12.297927204205099</v>
      </c>
      <c r="AE40" s="24">
        <f t="shared" si="127"/>
        <v>2.2810671427154614</v>
      </c>
      <c r="AF40" s="24">
        <f t="shared" si="127"/>
        <v>0.20827134781315082</v>
      </c>
      <c r="AG40" s="24">
        <f t="shared" si="127"/>
        <v>0</v>
      </c>
      <c r="AH40" s="24">
        <f t="shared" si="127"/>
        <v>3.0744818010512747</v>
      </c>
      <c r="AI40" s="14">
        <f t="shared" si="123"/>
        <v>100</v>
      </c>
      <c r="AJ40" s="26"/>
      <c r="AK40" s="50">
        <f t="shared" si="70"/>
        <v>0.81863386281944406</v>
      </c>
      <c r="AL40" s="47">
        <f t="shared" si="71"/>
        <v>1.1419610226360257E-2</v>
      </c>
      <c r="AM40" s="47">
        <f t="shared" si="72"/>
        <v>0.14201468727568245</v>
      </c>
      <c r="AN40" s="49">
        <f t="shared" si="73"/>
        <v>0</v>
      </c>
      <c r="AO40" s="49">
        <f t="shared" si="74"/>
        <v>0.12422985255779949</v>
      </c>
      <c r="AP40" s="47">
        <f t="shared" si="75"/>
        <v>0</v>
      </c>
      <c r="AQ40" s="47">
        <f t="shared" si="76"/>
        <v>0.21399762920143758</v>
      </c>
      <c r="AR40" s="47">
        <f t="shared" si="77"/>
        <v>0.2192925678353263</v>
      </c>
      <c r="AS40" s="47">
        <f t="shared" si="78"/>
        <v>3.6803277552685733E-2</v>
      </c>
      <c r="AT40" s="47">
        <f t="shared" si="79"/>
        <v>2.210948490585465E-3</v>
      </c>
      <c r="AU40" s="47">
        <f t="shared" si="80"/>
        <v>0</v>
      </c>
      <c r="AV40" s="47">
        <f t="shared" si="81"/>
        <v>0.1706149723113915</v>
      </c>
      <c r="AW40" s="47">
        <f t="shared" si="82"/>
        <v>1.7392174082707128</v>
      </c>
      <c r="AX40" s="47">
        <f t="shared" si="83"/>
        <v>8.8713600301680712E-2</v>
      </c>
      <c r="AY40" s="46">
        <f t="shared" si="84"/>
        <v>1.7763767337299313E-2</v>
      </c>
      <c r="AZ40" s="26"/>
      <c r="BA40" s="23">
        <f t="shared" si="85"/>
        <v>0.47069093198268058</v>
      </c>
      <c r="BB40" s="13">
        <f t="shared" si="6"/>
        <v>6.5659475187260612E-3</v>
      </c>
      <c r="BC40" s="13">
        <f t="shared" si="7"/>
        <v>8.1654361668841782E-2</v>
      </c>
      <c r="BD40" s="13">
        <f t="shared" si="8"/>
        <v>0</v>
      </c>
      <c r="BE40" s="13">
        <f t="shared" si="9"/>
        <v>7.1428593094246928E-2</v>
      </c>
      <c r="BF40" s="13">
        <f t="shared" si="10"/>
        <v>5.1007769287387594E-2</v>
      </c>
      <c r="BG40" s="13">
        <f t="shared" si="11"/>
        <v>1.021365543653433E-2</v>
      </c>
      <c r="BH40" s="13">
        <f t="shared" si="12"/>
        <v>0</v>
      </c>
      <c r="BI40" s="13">
        <f t="shared" si="13"/>
        <v>0.12304248346629268</v>
      </c>
      <c r="BJ40" s="13">
        <f t="shared" si="14"/>
        <v>0.12608692092920504</v>
      </c>
      <c r="BK40" s="13">
        <f t="shared" si="15"/>
        <v>2.116082634503922E-2</v>
      </c>
      <c r="BL40" s="13">
        <f t="shared" si="16"/>
        <v>1.2712318080945325E-3</v>
      </c>
      <c r="BM40" s="13">
        <f t="shared" si="17"/>
        <v>0</v>
      </c>
      <c r="BN40" s="13">
        <f t="shared" si="86"/>
        <v>9.8098703186873193E-2</v>
      </c>
      <c r="BO40" s="12">
        <f t="shared" si="87"/>
        <v>0.90190129681312692</v>
      </c>
      <c r="BP40" s="13"/>
      <c r="BQ40" s="23">
        <f t="shared" si="88"/>
        <v>1.6372677256388881</v>
      </c>
      <c r="BR40" s="13">
        <f t="shared" si="18"/>
        <v>2.2839220452720514E-2</v>
      </c>
      <c r="BS40" s="13">
        <f t="shared" si="19"/>
        <v>0.42587698572437005</v>
      </c>
      <c r="BT40" s="13">
        <f t="shared" si="20"/>
        <v>0</v>
      </c>
      <c r="BU40" s="13">
        <f t="shared" si="21"/>
        <v>0.12422985255779949</v>
      </c>
      <c r="BV40" s="13">
        <f t="shared" si="89"/>
        <v>8.8713600301680712E-2</v>
      </c>
      <c r="BW40" s="24">
        <f t="shared" si="90"/>
        <v>5.329130201189794E-2</v>
      </c>
      <c r="BX40" s="13">
        <f t="shared" si="22"/>
        <v>0</v>
      </c>
      <c r="BY40" s="13">
        <f t="shared" si="23"/>
        <v>0.21410383149880804</v>
      </c>
      <c r="BZ40" s="13">
        <f t="shared" si="24"/>
        <v>0.21921438866675755</v>
      </c>
      <c r="CA40" s="13">
        <f t="shared" si="25"/>
        <v>3.6791405527668734E-2</v>
      </c>
      <c r="CB40" s="13">
        <f t="shared" si="26"/>
        <v>2.210948490585465E-3</v>
      </c>
      <c r="CC40" s="13">
        <f t="shared" si="27"/>
        <v>0</v>
      </c>
      <c r="CD40" s="13">
        <f t="shared" si="91"/>
        <v>0.1706149723113915</v>
      </c>
      <c r="CE40" s="12">
        <f t="shared" si="92"/>
        <v>2.8531493308689897</v>
      </c>
      <c r="CF40" s="13"/>
      <c r="CG40" s="23">
        <f t="shared" si="129"/>
        <v>0.57384578785444151</v>
      </c>
      <c r="CH40" s="13">
        <f t="shared" si="129"/>
        <v>8.0049159031449386E-3</v>
      </c>
      <c r="CI40" s="13">
        <f t="shared" si="129"/>
        <v>0.14926557860701242</v>
      </c>
      <c r="CJ40" s="13">
        <f t="shared" si="129"/>
        <v>0</v>
      </c>
      <c r="CK40" s="13">
        <f t="shared" si="128"/>
        <v>4.3541307569752247E-2</v>
      </c>
      <c r="CL40" s="13">
        <f t="shared" si="128"/>
        <v>3.1093220162668817E-2</v>
      </c>
      <c r="CM40" s="13">
        <f t="shared" si="128"/>
        <v>1.8678062671071933E-2</v>
      </c>
      <c r="CN40" s="13">
        <f t="shared" si="128"/>
        <v>0</v>
      </c>
      <c r="CO40" s="13">
        <f t="shared" si="128"/>
        <v>7.5041228716058117E-2</v>
      </c>
      <c r="CP40" s="13">
        <f t="shared" si="128"/>
        <v>7.6832427344414866E-2</v>
      </c>
      <c r="CQ40" s="13">
        <f t="shared" si="128"/>
        <v>1.2895015739138722E-2</v>
      </c>
      <c r="CR40" s="13">
        <f t="shared" si="128"/>
        <v>7.749150970349217E-4</v>
      </c>
      <c r="CS40" s="13">
        <f t="shared" si="128"/>
        <v>0</v>
      </c>
      <c r="CT40" s="13">
        <f t="shared" si="128"/>
        <v>5.979882316900214E-2</v>
      </c>
      <c r="CU40" s="12">
        <f t="shared" si="29"/>
        <v>0.99999999999999978</v>
      </c>
      <c r="CV40" s="26"/>
      <c r="CW40" s="23">
        <f t="shared" si="30"/>
        <v>0.81863386281944406</v>
      </c>
      <c r="CX40" s="13">
        <f t="shared" si="31"/>
        <v>1.1419610226360257E-2</v>
      </c>
      <c r="CY40" s="13">
        <f t="shared" si="32"/>
        <v>0.28391799048291338</v>
      </c>
      <c r="CZ40" s="13">
        <f t="shared" si="33"/>
        <v>0</v>
      </c>
      <c r="DA40" s="13">
        <f t="shared" si="34"/>
        <v>0.17270194986072424</v>
      </c>
      <c r="DB40" s="13">
        <f t="shared" si="35"/>
        <v>8.8713600301680712E-2</v>
      </c>
      <c r="DC40" s="24">
        <f t="shared" si="36"/>
        <v>3.5527534674598626E-2</v>
      </c>
      <c r="DD40" s="13">
        <f t="shared" si="37"/>
        <v>0</v>
      </c>
      <c r="DE40" s="13">
        <f t="shared" si="38"/>
        <v>0.21410383149880804</v>
      </c>
      <c r="DF40" s="13">
        <f t="shared" si="39"/>
        <v>0.21921438866675755</v>
      </c>
      <c r="DG40" s="13">
        <f t="shared" si="40"/>
        <v>7.3582811055337469E-2</v>
      </c>
      <c r="DH40" s="13">
        <f t="shared" si="41"/>
        <v>4.4218969811709299E-3</v>
      </c>
      <c r="DI40" s="13">
        <f t="shared" si="42"/>
        <v>0</v>
      </c>
      <c r="DJ40" s="13">
        <f t="shared" si="93"/>
        <v>0.341229944622783</v>
      </c>
      <c r="DK40" s="12">
        <f t="shared" si="94"/>
        <v>2.1392262862142988</v>
      </c>
      <c r="DL40" s="26"/>
      <c r="DM40" s="23">
        <f t="shared" si="95"/>
        <v>0.38267754472489535</v>
      </c>
      <c r="DN40" s="13">
        <f t="shared" si="95"/>
        <v>5.3381964778345514E-3</v>
      </c>
      <c r="DO40" s="13">
        <f t="shared" si="95"/>
        <v>0.13271994286558222</v>
      </c>
      <c r="DP40" s="13">
        <f t="shared" si="95"/>
        <v>0</v>
      </c>
      <c r="DQ40" s="13">
        <f t="shared" si="95"/>
        <v>8.0731033913363046E-2</v>
      </c>
      <c r="DR40" s="13">
        <f t="shared" si="95"/>
        <v>4.1469946808980897E-2</v>
      </c>
      <c r="DS40" s="13">
        <f t="shared" si="95"/>
        <v>1.6607656190252902E-2</v>
      </c>
      <c r="DT40" s="13">
        <f t="shared" si="95"/>
        <v>0</v>
      </c>
      <c r="DU40" s="13">
        <f t="shared" si="95"/>
        <v>0.10008470486668282</v>
      </c>
      <c r="DV40" s="13">
        <f t="shared" si="95"/>
        <v>0.10247367942299002</v>
      </c>
      <c r="DW40" s="13">
        <f t="shared" si="95"/>
        <v>3.4396927304756506E-2</v>
      </c>
      <c r="DX40" s="13">
        <f t="shared" si="95"/>
        <v>2.0670543409393965E-3</v>
      </c>
      <c r="DY40" s="13">
        <f t="shared" si="95"/>
        <v>0</v>
      </c>
      <c r="DZ40" s="13">
        <f t="shared" si="95"/>
        <v>0.15951091608295617</v>
      </c>
      <c r="EA40" s="12">
        <f t="shared" si="44"/>
        <v>1</v>
      </c>
      <c r="EB40" s="26"/>
      <c r="EC40" s="30">
        <f t="shared" si="45"/>
        <v>1323</v>
      </c>
      <c r="ED40" s="14">
        <f t="shared" si="96"/>
        <v>100000</v>
      </c>
      <c r="EE40" s="29"/>
      <c r="EF40" s="128">
        <f t="shared" si="124"/>
        <v>-8.7342365835222964</v>
      </c>
      <c r="EG40" s="13">
        <f t="shared" si="97"/>
        <v>1.5</v>
      </c>
      <c r="EH40" s="13">
        <f t="shared" si="98"/>
        <v>0.74926606198035017</v>
      </c>
      <c r="EI40" s="12">
        <f t="shared" si="46"/>
        <v>5.3414996220710531</v>
      </c>
      <c r="EJ40" s="29"/>
      <c r="EK40" s="28">
        <f t="shared" si="99"/>
        <v>-1.6085699855904076</v>
      </c>
      <c r="EL40" s="24">
        <f t="shared" si="100"/>
        <v>-0.69846721041702464</v>
      </c>
      <c r="EM40" s="24">
        <f t="shared" si="101"/>
        <v>0.20017366072023743</v>
      </c>
      <c r="EN40" s="24">
        <f t="shared" si="102"/>
        <v>5.1007769287387587E-2</v>
      </c>
      <c r="EO40" s="24">
        <f t="shared" si="103"/>
        <v>1.021041190342967E-2</v>
      </c>
      <c r="EP40" s="24">
        <f t="shared" si="104"/>
        <v>0.28589144657959242</v>
      </c>
      <c r="EQ40" s="24">
        <f t="shared" si="105"/>
        <v>-1.6082523668636439</v>
      </c>
      <c r="ER40" s="24">
        <f t="shared" si="47"/>
        <v>-20.109295756269134</v>
      </c>
      <c r="ES40" s="25">
        <f t="shared" si="48"/>
        <v>-8.7317827860482566</v>
      </c>
      <c r="ET40" s="26">
        <v>3.1</v>
      </c>
      <c r="EU40" s="26">
        <v>0.29083888041780526</v>
      </c>
      <c r="EV40" s="26">
        <v>0.36115698173088928</v>
      </c>
      <c r="EW40" s="26">
        <v>0.28589144657959242</v>
      </c>
      <c r="EX40" s="26">
        <v>0.35972613119206664</v>
      </c>
      <c r="EY40" s="26">
        <f t="shared" si="106"/>
        <v>0.99603814792125822</v>
      </c>
      <c r="EZ40" s="26">
        <f t="shared" si="107"/>
        <v>1.0173052880644173</v>
      </c>
      <c r="FA40" s="23">
        <f t="shared" si="125"/>
        <v>-1.2587686743533304</v>
      </c>
      <c r="FB40" s="190">
        <f t="shared" si="108"/>
        <v>5.2231625137974524E-2</v>
      </c>
      <c r="FC40" s="124">
        <v>6.2646889236044334E-2</v>
      </c>
      <c r="FD40" s="26"/>
      <c r="FE40" s="27">
        <f t="shared" si="109"/>
        <v>0.88818423022188309</v>
      </c>
      <c r="FF40" s="26"/>
      <c r="FG40" s="23">
        <f t="shared" si="49"/>
        <v>-4.355132994882922</v>
      </c>
      <c r="FH40" s="13">
        <f t="shared" si="50"/>
        <v>14.262256574765239</v>
      </c>
      <c r="FI40" s="13">
        <f t="shared" si="51"/>
        <v>-21.845149910644157</v>
      </c>
      <c r="FJ40" s="13">
        <f t="shared" si="52"/>
        <v>0.23989356848895227</v>
      </c>
      <c r="FK40" s="12">
        <f t="shared" si="53"/>
        <v>0.55968742072772037</v>
      </c>
      <c r="FL40" s="13"/>
      <c r="FM40" s="23">
        <f t="shared" si="54"/>
        <v>-6.0597508041212533</v>
      </c>
      <c r="FN40" s="13">
        <f t="shared" si="55"/>
        <v>11.353421150342889</v>
      </c>
      <c r="FO40" s="13">
        <f t="shared" si="56"/>
        <v>11.873976911943913</v>
      </c>
      <c r="FP40" s="24">
        <f t="shared" si="110"/>
        <v>0.46820900743767058</v>
      </c>
      <c r="FQ40" s="25">
        <f t="shared" si="57"/>
        <v>0.74484181656061188</v>
      </c>
      <c r="FR40" s="13"/>
      <c r="FS40" s="23">
        <f t="shared" si="111"/>
        <v>11.022238886309964</v>
      </c>
      <c r="FT40" s="13">
        <f t="shared" si="126"/>
        <v>-6.1958404901460176</v>
      </c>
      <c r="FU40" s="13">
        <f t="shared" si="112"/>
        <v>-0.25039379058861044</v>
      </c>
      <c r="FV40" s="13">
        <f t="shared" si="58"/>
        <v>0.35972613119206664</v>
      </c>
      <c r="FW40" s="23">
        <f t="shared" si="113"/>
        <v>-0.25047633027115168</v>
      </c>
      <c r="FX40" s="13">
        <f t="shared" si="114"/>
        <v>0.35968235835777962</v>
      </c>
      <c r="FY40" s="13">
        <f t="shared" si="115"/>
        <v>-0.25044397955308639</v>
      </c>
      <c r="FZ40" s="13">
        <f t="shared" si="116"/>
        <v>0.35969951446521675</v>
      </c>
      <c r="GA40" s="13">
        <f t="shared" si="117"/>
        <v>-0.25048464470803466</v>
      </c>
      <c r="GB40" s="12">
        <f t="shared" si="118"/>
        <v>0.35967794913576234</v>
      </c>
      <c r="GC40" s="22"/>
      <c r="GD40" s="11">
        <f t="shared" si="59"/>
        <v>1.5</v>
      </c>
      <c r="GE40" s="10">
        <f t="shared" si="60"/>
        <v>0.74926606198035017</v>
      </c>
      <c r="GF40" s="10">
        <f t="shared" si="61"/>
        <v>5.3414996220710531</v>
      </c>
      <c r="GG40" s="5">
        <f t="shared" si="62"/>
        <v>-8.7342365835222964</v>
      </c>
      <c r="GH40" s="10">
        <f t="shared" si="63"/>
        <v>0.28589144657959242</v>
      </c>
      <c r="GI40" s="9">
        <f t="shared" si="119"/>
        <v>11.022238886309964</v>
      </c>
      <c r="GJ40" s="8">
        <f t="shared" si="120"/>
        <v>-6.1958404901460176</v>
      </c>
      <c r="GK40" s="8">
        <f t="shared" si="121"/>
        <v>0.35972613119206664</v>
      </c>
      <c r="GL40" s="7">
        <f t="shared" si="122"/>
        <v>0.35968235835777962</v>
      </c>
      <c r="GM40" s="6">
        <f t="shared" si="64"/>
        <v>0.46820900743767058</v>
      </c>
      <c r="GN40" s="5">
        <f t="shared" si="65"/>
        <v>0.74484181656061188</v>
      </c>
      <c r="GO40" s="4">
        <f t="shared" si="66"/>
        <v>0.55968742072772037</v>
      </c>
      <c r="GP40" s="4">
        <f t="shared" si="67"/>
        <v>0.88818423022188309</v>
      </c>
      <c r="GQ40" s="4">
        <f t="shared" si="68"/>
        <v>5.2231625137974524E-2</v>
      </c>
      <c r="GR40" s="1"/>
    </row>
    <row r="41" spans="1:200" x14ac:dyDescent="0.4">
      <c r="A41" s="34"/>
      <c r="B41" s="21"/>
      <c r="C41" s="21"/>
      <c r="D41" s="34"/>
      <c r="E41" s="34"/>
      <c r="F41" s="20" t="s">
        <v>83</v>
      </c>
      <c r="G41" s="19">
        <v>1050</v>
      </c>
      <c r="H41" s="18">
        <v>1E-4</v>
      </c>
      <c r="I41" s="17">
        <v>1.5</v>
      </c>
      <c r="J41" s="16">
        <v>49.6</v>
      </c>
      <c r="K41" s="16">
        <v>0.92</v>
      </c>
      <c r="L41" s="16">
        <v>14.6</v>
      </c>
      <c r="M41" s="16">
        <v>0</v>
      </c>
      <c r="N41" s="16">
        <v>9</v>
      </c>
      <c r="O41" s="16">
        <v>0</v>
      </c>
      <c r="P41" s="16">
        <v>8.6999999999999993</v>
      </c>
      <c r="Q41" s="16">
        <v>12.4</v>
      </c>
      <c r="R41" s="16">
        <v>2.2999999999999998</v>
      </c>
      <c r="S41" s="16">
        <v>0.21</v>
      </c>
      <c r="T41" s="16">
        <v>0</v>
      </c>
      <c r="U41" s="15">
        <v>3.2</v>
      </c>
      <c r="V41" s="16"/>
      <c r="W41" s="28">
        <f t="shared" si="69"/>
        <v>49.14297037550778</v>
      </c>
      <c r="X41" s="24">
        <f t="shared" si="127"/>
        <v>0.9115228376102249</v>
      </c>
      <c r="Y41" s="24">
        <f t="shared" si="127"/>
        <v>14.465471118597046</v>
      </c>
      <c r="Z41" s="24">
        <f t="shared" si="127"/>
        <v>0</v>
      </c>
      <c r="AA41" s="24">
        <f t="shared" si="127"/>
        <v>8.9170712374913297</v>
      </c>
      <c r="AB41" s="24">
        <f t="shared" si="127"/>
        <v>0</v>
      </c>
      <c r="AC41" s="24">
        <f t="shared" si="127"/>
        <v>8.6198355295749511</v>
      </c>
      <c r="AD41" s="24">
        <f t="shared" si="127"/>
        <v>12.285742593876945</v>
      </c>
      <c r="AE41" s="24">
        <f t="shared" si="127"/>
        <v>2.278807094025562</v>
      </c>
      <c r="AF41" s="24">
        <f t="shared" si="127"/>
        <v>0.20806499554146435</v>
      </c>
      <c r="AG41" s="24">
        <f t="shared" si="127"/>
        <v>0</v>
      </c>
      <c r="AH41" s="24">
        <f t="shared" si="127"/>
        <v>3.1705142177746954</v>
      </c>
      <c r="AI41" s="14">
        <f t="shared" si="123"/>
        <v>100.00000000000001</v>
      </c>
      <c r="AJ41" s="26"/>
      <c r="AK41" s="50">
        <f t="shared" si="70"/>
        <v>0.81782277210031251</v>
      </c>
      <c r="AL41" s="47">
        <f t="shared" si="71"/>
        <v>1.140829583992772E-2</v>
      </c>
      <c r="AM41" s="47">
        <f t="shared" si="72"/>
        <v>0.14187398115532607</v>
      </c>
      <c r="AN41" s="49">
        <f t="shared" si="73"/>
        <v>0</v>
      </c>
      <c r="AO41" s="49">
        <f t="shared" si="74"/>
        <v>0.12410676739723495</v>
      </c>
      <c r="AP41" s="47">
        <f t="shared" si="75"/>
        <v>0</v>
      </c>
      <c r="AQ41" s="47">
        <f t="shared" si="76"/>
        <v>0.21378560341207717</v>
      </c>
      <c r="AR41" s="47">
        <f t="shared" si="77"/>
        <v>0.21907529589652186</v>
      </c>
      <c r="AS41" s="47">
        <f t="shared" si="78"/>
        <v>3.6766813391829009E-2</v>
      </c>
      <c r="AT41" s="47">
        <f t="shared" si="79"/>
        <v>2.2087579144529123E-3</v>
      </c>
      <c r="AU41" s="47">
        <f t="shared" si="80"/>
        <v>0</v>
      </c>
      <c r="AV41" s="47">
        <f t="shared" si="81"/>
        <v>0.17594418522612074</v>
      </c>
      <c r="AW41" s="47">
        <f t="shared" si="82"/>
        <v>1.7429924723338031</v>
      </c>
      <c r="AX41" s="47">
        <f t="shared" si="83"/>
        <v>8.8643417827831292E-2</v>
      </c>
      <c r="AY41" s="46">
        <f t="shared" si="84"/>
        <v>1.7737307591165381E-2</v>
      </c>
      <c r="AZ41" s="26"/>
      <c r="BA41" s="23">
        <f t="shared" si="85"/>
        <v>0.46920614120913429</v>
      </c>
      <c r="BB41" s="13">
        <f t="shared" si="6"/>
        <v>6.5452352898876433E-3</v>
      </c>
      <c r="BC41" s="13">
        <f t="shared" si="7"/>
        <v>8.139678363920988E-2</v>
      </c>
      <c r="BD41" s="13">
        <f t="shared" si="8"/>
        <v>0</v>
      </c>
      <c r="BE41" s="13">
        <f t="shared" si="9"/>
        <v>7.1203272169650014E-2</v>
      </c>
      <c r="BF41" s="13">
        <f t="shared" si="10"/>
        <v>5.0857028492579205E-2</v>
      </c>
      <c r="BG41" s="13">
        <f t="shared" si="11"/>
        <v>1.0176353525735987E-2</v>
      </c>
      <c r="BH41" s="13">
        <f t="shared" si="12"/>
        <v>0</v>
      </c>
      <c r="BI41" s="13">
        <f t="shared" si="13"/>
        <v>0.12265434693807144</v>
      </c>
      <c r="BJ41" s="13">
        <f t="shared" si="14"/>
        <v>0.12568918074740051</v>
      </c>
      <c r="BK41" s="13">
        <f t="shared" si="15"/>
        <v>2.1094074687884105E-2</v>
      </c>
      <c r="BL41" s="13">
        <f t="shared" si="16"/>
        <v>1.2672217175415945E-3</v>
      </c>
      <c r="BM41" s="13">
        <f t="shared" si="17"/>
        <v>0</v>
      </c>
      <c r="BN41" s="13">
        <f t="shared" si="86"/>
        <v>0.10094374360122045</v>
      </c>
      <c r="BO41" s="12">
        <f t="shared" si="87"/>
        <v>0.89905625639877951</v>
      </c>
      <c r="BP41" s="13"/>
      <c r="BQ41" s="23">
        <f t="shared" si="88"/>
        <v>1.635645544200625</v>
      </c>
      <c r="BR41" s="13">
        <f t="shared" si="18"/>
        <v>2.281659167985544E-2</v>
      </c>
      <c r="BS41" s="13">
        <f t="shared" si="19"/>
        <v>0.4254550328999131</v>
      </c>
      <c r="BT41" s="13">
        <f t="shared" si="20"/>
        <v>0</v>
      </c>
      <c r="BU41" s="13">
        <f t="shared" si="21"/>
        <v>0.12410676739723495</v>
      </c>
      <c r="BV41" s="13">
        <f t="shared" si="89"/>
        <v>8.8643417827831292E-2</v>
      </c>
      <c r="BW41" s="24">
        <f t="shared" si="90"/>
        <v>5.3211922773496151E-2</v>
      </c>
      <c r="BX41" s="13">
        <f t="shared" si="22"/>
        <v>0</v>
      </c>
      <c r="BY41" s="13">
        <f t="shared" si="23"/>
        <v>0.21389170048573081</v>
      </c>
      <c r="BZ41" s="13">
        <f t="shared" si="24"/>
        <v>0.21899719418675481</v>
      </c>
      <c r="CA41" s="13">
        <f t="shared" si="25"/>
        <v>3.6754953129444552E-2</v>
      </c>
      <c r="CB41" s="13">
        <f t="shared" si="26"/>
        <v>2.2087579144529123E-3</v>
      </c>
      <c r="CC41" s="13">
        <f t="shared" si="27"/>
        <v>0</v>
      </c>
      <c r="CD41" s="13">
        <f t="shared" si="91"/>
        <v>0.17594418522612074</v>
      </c>
      <c r="CE41" s="12">
        <f t="shared" si="92"/>
        <v>2.8558207271201326</v>
      </c>
      <c r="CF41" s="13"/>
      <c r="CG41" s="23">
        <f t="shared" si="129"/>
        <v>0.57274097378305788</v>
      </c>
      <c r="CH41" s="13">
        <f t="shared" si="129"/>
        <v>7.9895041951264754E-3</v>
      </c>
      <c r="CI41" s="13">
        <f t="shared" si="129"/>
        <v>0.1489782005080377</v>
      </c>
      <c r="CJ41" s="13">
        <f t="shared" si="129"/>
        <v>0</v>
      </c>
      <c r="CK41" s="13">
        <f t="shared" si="128"/>
        <v>4.3457478341921943E-2</v>
      </c>
      <c r="CL41" s="13">
        <f t="shared" si="128"/>
        <v>3.1039559656540875E-2</v>
      </c>
      <c r="CM41" s="13">
        <f t="shared" si="128"/>
        <v>1.8632795213009094E-2</v>
      </c>
      <c r="CN41" s="13">
        <f t="shared" si="128"/>
        <v>0</v>
      </c>
      <c r="CO41" s="13">
        <f t="shared" si="128"/>
        <v>7.4896753306158512E-2</v>
      </c>
      <c r="CP41" s="13">
        <f t="shared" si="128"/>
        <v>7.6684503374830543E-2</v>
      </c>
      <c r="CQ41" s="13">
        <f t="shared" si="128"/>
        <v>1.2870189217552529E-2</v>
      </c>
      <c r="CR41" s="13">
        <f t="shared" si="128"/>
        <v>7.7342316815533045E-4</v>
      </c>
      <c r="CS41" s="13">
        <f t="shared" si="128"/>
        <v>0</v>
      </c>
      <c r="CT41" s="13">
        <f t="shared" si="128"/>
        <v>6.1608974105159052E-2</v>
      </c>
      <c r="CU41" s="12">
        <f t="shared" si="29"/>
        <v>1</v>
      </c>
      <c r="CV41" s="26"/>
      <c r="CW41" s="23">
        <f t="shared" si="30"/>
        <v>0.81782277210031251</v>
      </c>
      <c r="CX41" s="13">
        <f t="shared" si="31"/>
        <v>1.140829583992772E-2</v>
      </c>
      <c r="CY41" s="13">
        <f t="shared" si="32"/>
        <v>0.28363668859994207</v>
      </c>
      <c r="CZ41" s="13">
        <f t="shared" si="33"/>
        <v>0</v>
      </c>
      <c r="DA41" s="13">
        <f t="shared" si="34"/>
        <v>0.17270194986072424</v>
      </c>
      <c r="DB41" s="13">
        <f t="shared" si="35"/>
        <v>8.8643417827831292E-2</v>
      </c>
      <c r="DC41" s="24">
        <f t="shared" si="36"/>
        <v>3.5474615182330763E-2</v>
      </c>
      <c r="DD41" s="13">
        <f t="shared" si="37"/>
        <v>0</v>
      </c>
      <c r="DE41" s="13">
        <f t="shared" si="38"/>
        <v>0.21389170048573081</v>
      </c>
      <c r="DF41" s="13">
        <f t="shared" si="39"/>
        <v>0.21899719418675481</v>
      </c>
      <c r="DG41" s="13">
        <f t="shared" si="40"/>
        <v>7.3509906258889104E-2</v>
      </c>
      <c r="DH41" s="13">
        <f t="shared" si="41"/>
        <v>4.4175158289058245E-3</v>
      </c>
      <c r="DI41" s="13">
        <f t="shared" si="42"/>
        <v>0</v>
      </c>
      <c r="DJ41" s="13">
        <f t="shared" si="93"/>
        <v>0.35188837045224147</v>
      </c>
      <c r="DK41" s="12">
        <f t="shared" si="94"/>
        <v>2.1482743936134288</v>
      </c>
      <c r="DL41" s="26"/>
      <c r="DM41" s="23">
        <f t="shared" si="95"/>
        <v>0.380688227971066</v>
      </c>
      <c r="DN41" s="13">
        <f t="shared" si="95"/>
        <v>5.3104463162821584E-3</v>
      </c>
      <c r="DO41" s="13">
        <f t="shared" si="95"/>
        <v>0.13203000950118901</v>
      </c>
      <c r="DP41" s="13">
        <f t="shared" si="95"/>
        <v>0</v>
      </c>
      <c r="DQ41" s="13">
        <f t="shared" si="95"/>
        <v>8.0391010745250777E-2</v>
      </c>
      <c r="DR41" s="13">
        <f t="shared" si="95"/>
        <v>4.1262614352876856E-2</v>
      </c>
      <c r="DS41" s="13">
        <f t="shared" si="95"/>
        <v>1.6513074534516024E-2</v>
      </c>
      <c r="DT41" s="13">
        <f t="shared" si="95"/>
        <v>0</v>
      </c>
      <c r="DU41" s="13">
        <f t="shared" si="95"/>
        <v>9.9564423018589282E-2</v>
      </c>
      <c r="DV41" s="13">
        <f t="shared" si="95"/>
        <v>0.10194097869332155</v>
      </c>
      <c r="DW41" s="13">
        <f t="shared" si="95"/>
        <v>3.4218117796043911E-2</v>
      </c>
      <c r="DX41" s="13">
        <f t="shared" si="95"/>
        <v>2.0563089342956319E-3</v>
      </c>
      <c r="DY41" s="13">
        <f t="shared" si="95"/>
        <v>0</v>
      </c>
      <c r="DZ41" s="13">
        <f t="shared" si="95"/>
        <v>0.16380047702396161</v>
      </c>
      <c r="EA41" s="12">
        <f t="shared" si="44"/>
        <v>1</v>
      </c>
      <c r="EB41" s="26"/>
      <c r="EC41" s="30">
        <f t="shared" si="45"/>
        <v>1323</v>
      </c>
      <c r="ED41" s="14">
        <f t="shared" si="96"/>
        <v>100000</v>
      </c>
      <c r="EE41" s="29"/>
      <c r="EF41" s="128">
        <f t="shared" si="124"/>
        <v>-8.7342365835222964</v>
      </c>
      <c r="EG41" s="13">
        <f t="shared" si="97"/>
        <v>1.5</v>
      </c>
      <c r="EH41" s="13">
        <f t="shared" si="98"/>
        <v>0.74926606198035017</v>
      </c>
      <c r="EI41" s="12">
        <f t="shared" si="46"/>
        <v>5.3414996220710531</v>
      </c>
      <c r="EJ41" s="29"/>
      <c r="EK41" s="28">
        <f t="shared" si="99"/>
        <v>-1.609269204655509</v>
      </c>
      <c r="EL41" s="24">
        <f t="shared" si="100"/>
        <v>-0.69877082269019064</v>
      </c>
      <c r="EM41" s="24">
        <f t="shared" si="101"/>
        <v>0.20003374440210978</v>
      </c>
      <c r="EN41" s="24">
        <f t="shared" si="102"/>
        <v>5.0857028492579212E-2</v>
      </c>
      <c r="EO41" s="24">
        <f t="shared" si="103"/>
        <v>1.0173121838535405E-2</v>
      </c>
      <c r="EP41" s="24">
        <f t="shared" si="104"/>
        <v>0.28574871711785282</v>
      </c>
      <c r="EQ41" s="24">
        <f t="shared" si="105"/>
        <v>-1.6089515859287458</v>
      </c>
      <c r="ER41" s="24">
        <f t="shared" si="47"/>
        <v>-20.109295756269134</v>
      </c>
      <c r="ES41" s="25">
        <f t="shared" si="48"/>
        <v>-8.7317827860482566</v>
      </c>
      <c r="ET41" s="26">
        <v>3.2</v>
      </c>
      <c r="EU41" s="26">
        <v>0.29083888041780526</v>
      </c>
      <c r="EV41" s="26">
        <v>0.36365555465823618</v>
      </c>
      <c r="EW41" s="26">
        <v>0.28574871711785282</v>
      </c>
      <c r="EX41" s="26">
        <v>0.36218373883300548</v>
      </c>
      <c r="EY41" s="26">
        <f t="shared" si="106"/>
        <v>0.99595272007706881</v>
      </c>
      <c r="EZ41" s="26">
        <f t="shared" si="107"/>
        <v>1.017813424855563</v>
      </c>
      <c r="FA41" s="23">
        <f t="shared" si="125"/>
        <v>-1.2611980102062503</v>
      </c>
      <c r="FB41" s="190">
        <f t="shared" si="108"/>
        <v>5.195540747223848E-2</v>
      </c>
      <c r="FC41" s="124">
        <v>6.2646889236044334E-2</v>
      </c>
      <c r="FD41" s="26"/>
      <c r="FE41" s="27">
        <f t="shared" si="109"/>
        <v>0.88818423022188309</v>
      </c>
      <c r="FF41" s="26"/>
      <c r="FG41" s="23">
        <f t="shared" ref="FG41:FG59" si="130">IF(EA41="","",-23590/(EC41)+8.77+(1673/(EC41))*(6.7*(DW41+DX41)+1.8*DO41+4.9*DU41+8.1*DV41+5*DN41+8.9*(DQ41+DT41)-22.2*(DQ41+DT41)*DN41+7.2*(DQ41+DT41)*DM41)-2.06*ERF(-7.2*DQ41+DT41))</f>
        <v>-4.3775839163359223</v>
      </c>
      <c r="FH41" s="13">
        <f t="shared" si="50"/>
        <v>14.229434442576906</v>
      </c>
      <c r="FI41" s="13">
        <f t="shared" ref="FI41:FI59" si="131">IF(G41="","",-55921/(EC41)+25.07-0.6465*LN(EC41))</f>
        <v>-21.845149910644157</v>
      </c>
      <c r="FJ41" s="13">
        <f t="shared" ref="FJ41:FJ59" si="132">IF(FG41="","",(FH41-FI41-FG41)+2*LN(10)*EF41)</f>
        <v>0.22952235775361629</v>
      </c>
      <c r="FK41" s="12">
        <f t="shared" si="53"/>
        <v>0.55713000620173958</v>
      </c>
      <c r="FL41" s="13"/>
      <c r="FM41" s="23">
        <f t="shared" ref="FM41:FM59" si="133">IF(CU41="","",0.225+(25237*CL41+5214*CP41+12705*CN41+19829*CR41-1109*CG41-8879)/(EC41))</f>
        <v>-6.0604536389082178</v>
      </c>
      <c r="FN41" s="13">
        <f t="shared" ref="FN41:FN59" si="134">IF(CU41="","",-12.948+(28649*CQ41+15602*CP41+9496*CO41+16016*CN41+4194*CI41+29244)/(EC41))</f>
        <v>11.349191092119241</v>
      </c>
      <c r="FO41" s="13">
        <f t="shared" ref="FO41:FO59" si="135">IF(CU41="","",-213.65+(25696*CQ41+15076*CP41+9543*CO41+16158*CN41+4316*CI41+68254)/(EC41)+55.03*LOG(EC41))</f>
        <v>11.869829446504781</v>
      </c>
      <c r="FP41" s="24">
        <f t="shared" ref="FP41:FP59" si="136">IF(FM41="","",1-1/(1+10^(FN41-$FM41+2*$EF41)))</f>
        <v>0.46618731588928153</v>
      </c>
      <c r="FQ41" s="25">
        <f t="shared" ref="FQ41:FQ59" si="137">IF(FO41="","",1-1/(1+10^(FO41-$FM41+2*$EF41)))</f>
        <v>0.74333147966712065</v>
      </c>
      <c r="FR41" s="13"/>
      <c r="FS41" s="23">
        <f t="shared" si="111"/>
        <v>11.028592261532822</v>
      </c>
      <c r="FT41" s="13">
        <f t="shared" si="126"/>
        <v>-6.1941142657498389</v>
      </c>
      <c r="FU41" s="13">
        <f t="shared" ref="FU41:FU59" si="138">IF($FS41="","",$FS41-$FT41+2*$EF41)</f>
        <v>-0.24576663976193203</v>
      </c>
      <c r="FV41" s="13">
        <f t="shared" si="58"/>
        <v>0.36218373883300548</v>
      </c>
      <c r="FW41" s="23">
        <f t="shared" ref="FW41:FW59" si="139">IF($FS41="","",$FS41-$FT41+2*($EF41-(0.0546*($H41*10000)/($G41+273))))</f>
        <v>-0.24584917944447326</v>
      </c>
      <c r="FX41" s="13">
        <f t="shared" ref="FX41:FX61" si="140">IF($FW41="","",1-1/(1+10^FW41))</f>
        <v>0.36213983609140998</v>
      </c>
      <c r="FY41" s="13">
        <f t="shared" ref="FY41:FY59" si="141">IF($FS41="","",$FS41-$FT41+2*($EF41-(0.0332*($H41*10000)/($G41+273))))</f>
        <v>-0.24581682872640798</v>
      </c>
      <c r="FZ41" s="13">
        <f t="shared" si="116"/>
        <v>0.36215704311895991</v>
      </c>
      <c r="GA41" s="13">
        <f t="shared" ref="GA41:GA59" si="142">IF($FS41="","",$FS41-$FT41+2*($EF41-(0.0601*($H41*10000)/($G41+273))))</f>
        <v>-0.24585749388135625</v>
      </c>
      <c r="GB41" s="12">
        <f t="shared" si="118"/>
        <v>0.36213541378160208</v>
      </c>
      <c r="GC41" s="22"/>
      <c r="GD41" s="11">
        <f t="shared" ref="GD41:GD72" si="143">EG41</f>
        <v>1.5</v>
      </c>
      <c r="GE41" s="10">
        <f t="shared" ref="GE41:GE72" si="144">EH41</f>
        <v>0.74926606198035017</v>
      </c>
      <c r="GF41" s="10">
        <f t="shared" ref="GF41:GF72" si="145">EI41</f>
        <v>5.3414996220710531</v>
      </c>
      <c r="GG41" s="5">
        <f t="shared" ref="GG41:GG72" si="146">EF41</f>
        <v>-8.7342365835222964</v>
      </c>
      <c r="GH41" s="10">
        <f t="shared" ref="GH41:GH72" si="147">EP41</f>
        <v>0.28574871711785282</v>
      </c>
      <c r="GI41" s="9">
        <f t="shared" si="119"/>
        <v>11.028592261532822</v>
      </c>
      <c r="GJ41" s="8">
        <f t="shared" si="120"/>
        <v>-6.1941142657498389</v>
      </c>
      <c r="GK41" s="8">
        <f t="shared" si="121"/>
        <v>0.36218373883300548</v>
      </c>
      <c r="GL41" s="7">
        <f t="shared" si="122"/>
        <v>0.36213983609140998</v>
      </c>
      <c r="GM41" s="6">
        <f t="shared" ref="GM41:GM59" si="148">FP41</f>
        <v>0.46618731588928153</v>
      </c>
      <c r="GN41" s="5">
        <f t="shared" ref="GN41:GN59" si="149">FQ41</f>
        <v>0.74333147966712065</v>
      </c>
      <c r="GO41" s="4">
        <f t="shared" ref="GO41:GO59" si="150">FK41</f>
        <v>0.55713000620173958</v>
      </c>
      <c r="GP41" s="4">
        <f t="shared" ref="GP41:GP72" si="151">FE41</f>
        <v>0.88818423022188309</v>
      </c>
      <c r="GQ41" s="4">
        <f t="shared" ref="GQ41:GQ72" si="152">FB41</f>
        <v>5.195540747223848E-2</v>
      </c>
      <c r="GR41" s="1"/>
    </row>
    <row r="42" spans="1:200" x14ac:dyDescent="0.4">
      <c r="A42" s="34"/>
      <c r="B42" s="21"/>
      <c r="C42" s="21"/>
      <c r="D42" s="34"/>
      <c r="E42" s="34"/>
      <c r="F42" s="20" t="s">
        <v>83</v>
      </c>
      <c r="G42" s="19">
        <v>1050</v>
      </c>
      <c r="H42" s="18">
        <v>1E-4</v>
      </c>
      <c r="I42" s="17">
        <v>1.5</v>
      </c>
      <c r="J42" s="16">
        <v>49.6</v>
      </c>
      <c r="K42" s="16">
        <v>0.92</v>
      </c>
      <c r="L42" s="16">
        <v>14.6</v>
      </c>
      <c r="M42" s="16">
        <v>0</v>
      </c>
      <c r="N42" s="16">
        <v>9</v>
      </c>
      <c r="O42" s="16">
        <v>0</v>
      </c>
      <c r="P42" s="16">
        <v>8.6999999999999993</v>
      </c>
      <c r="Q42" s="16">
        <v>12.4</v>
      </c>
      <c r="R42" s="16">
        <v>2.2999999999999998</v>
      </c>
      <c r="S42" s="16">
        <v>0.21</v>
      </c>
      <c r="T42" s="16">
        <v>0</v>
      </c>
      <c r="U42" s="15">
        <v>3.3</v>
      </c>
      <c r="V42" s="16"/>
      <c r="W42" s="28">
        <f t="shared" si="69"/>
        <v>49.094328417301789</v>
      </c>
      <c r="X42" s="24">
        <f t="shared" si="127"/>
        <v>0.91062060774027509</v>
      </c>
      <c r="Y42" s="24">
        <f t="shared" si="127"/>
        <v>14.4511531228348</v>
      </c>
      <c r="Z42" s="24">
        <f t="shared" si="127"/>
        <v>0</v>
      </c>
      <c r="AA42" s="24">
        <f t="shared" si="127"/>
        <v>8.9082450757200835</v>
      </c>
      <c r="AB42" s="24">
        <f t="shared" si="127"/>
        <v>0</v>
      </c>
      <c r="AC42" s="24">
        <f t="shared" si="127"/>
        <v>8.6113035731960803</v>
      </c>
      <c r="AD42" s="24">
        <f t="shared" si="127"/>
        <v>12.273582104325447</v>
      </c>
      <c r="AE42" s="24">
        <f t="shared" si="127"/>
        <v>2.2765515193506878</v>
      </c>
      <c r="AF42" s="24">
        <f t="shared" si="127"/>
        <v>0.20785905176680194</v>
      </c>
      <c r="AG42" s="24">
        <f t="shared" si="127"/>
        <v>0</v>
      </c>
      <c r="AH42" s="24">
        <f t="shared" si="127"/>
        <v>3.2663565277640307</v>
      </c>
      <c r="AI42" s="14">
        <f t="shared" si="123"/>
        <v>100</v>
      </c>
      <c r="AJ42" s="26"/>
      <c r="AK42" s="50">
        <f t="shared" si="70"/>
        <v>0.81701328702449305</v>
      </c>
      <c r="AL42" s="47">
        <f t="shared" si="71"/>
        <v>1.1397003851567897E-2</v>
      </c>
      <c r="AM42" s="47">
        <f t="shared" si="72"/>
        <v>0.14173355357821499</v>
      </c>
      <c r="AN42" s="49">
        <f t="shared" si="73"/>
        <v>0</v>
      </c>
      <c r="AO42" s="49">
        <f t="shared" si="74"/>
        <v>0.12398392589728718</v>
      </c>
      <c r="AP42" s="47">
        <f t="shared" si="75"/>
        <v>0</v>
      </c>
      <c r="AQ42" s="47">
        <f t="shared" si="76"/>
        <v>0.21357399735109325</v>
      </c>
      <c r="AR42" s="47">
        <f t="shared" si="77"/>
        <v>0.21885845407142382</v>
      </c>
      <c r="AS42" s="47">
        <f t="shared" si="78"/>
        <v>3.6730421415790381E-2</v>
      </c>
      <c r="AT42" s="47">
        <f t="shared" si="79"/>
        <v>2.2065716748068146E-3</v>
      </c>
      <c r="AU42" s="47">
        <f t="shared" si="80"/>
        <v>0</v>
      </c>
      <c r="AV42" s="47">
        <f t="shared" si="81"/>
        <v>0.18126284837758216</v>
      </c>
      <c r="AW42" s="47">
        <f t="shared" si="82"/>
        <v>1.7467600632422597</v>
      </c>
      <c r="AX42" s="47">
        <f t="shared" si="83"/>
        <v>8.8573257742833006E-2</v>
      </c>
      <c r="AY42" s="46">
        <f t="shared" si="84"/>
        <v>1.7710958516059892E-2</v>
      </c>
      <c r="AZ42" s="26"/>
      <c r="BA42" s="23">
        <f t="shared" si="85"/>
        <v>0.46773068849993549</v>
      </c>
      <c r="BB42" s="13">
        <f t="shared" si="6"/>
        <v>6.5246533232579612E-3</v>
      </c>
      <c r="BC42" s="13">
        <f t="shared" si="7"/>
        <v>8.114082555513398E-2</v>
      </c>
      <c r="BD42" s="13">
        <f t="shared" si="8"/>
        <v>0</v>
      </c>
      <c r="BE42" s="13">
        <f t="shared" si="9"/>
        <v>7.0979368321000907E-2</v>
      </c>
      <c r="BF42" s="13">
        <f t="shared" si="10"/>
        <v>5.0707169007761253E-2</v>
      </c>
      <c r="BG42" s="13">
        <f t="shared" si="11"/>
        <v>1.01393195830145E-2</v>
      </c>
      <c r="BH42" s="13">
        <f t="shared" si="12"/>
        <v>0</v>
      </c>
      <c r="BI42" s="13">
        <f t="shared" si="13"/>
        <v>0.12226865145672412</v>
      </c>
      <c r="BJ42" s="13">
        <f t="shared" si="14"/>
        <v>0.12529394201123897</v>
      </c>
      <c r="BK42" s="13">
        <f t="shared" si="15"/>
        <v>2.1027742841574347E-2</v>
      </c>
      <c r="BL42" s="13">
        <f t="shared" si="16"/>
        <v>1.2632368470292781E-3</v>
      </c>
      <c r="BM42" s="13">
        <f t="shared" si="17"/>
        <v>0</v>
      </c>
      <c r="BN42" s="13">
        <f t="shared" si="86"/>
        <v>0.1037708911441048</v>
      </c>
      <c r="BO42" s="12">
        <f t="shared" si="87"/>
        <v>0.89622910885589513</v>
      </c>
      <c r="BP42" s="13"/>
      <c r="BQ42" s="23">
        <f t="shared" si="88"/>
        <v>1.6340265740489861</v>
      </c>
      <c r="BR42" s="13">
        <f t="shared" si="18"/>
        <v>2.2794007703135794E-2</v>
      </c>
      <c r="BS42" s="13">
        <f t="shared" si="19"/>
        <v>0.42503391537749413</v>
      </c>
      <c r="BT42" s="13">
        <f t="shared" si="20"/>
        <v>0</v>
      </c>
      <c r="BU42" s="13">
        <f t="shared" si="21"/>
        <v>0.12398392589728718</v>
      </c>
      <c r="BV42" s="13">
        <f t="shared" si="89"/>
        <v>8.8573257742833006E-2</v>
      </c>
      <c r="BW42" s="24">
        <f t="shared" si="90"/>
        <v>5.3132875548179678E-2</v>
      </c>
      <c r="BX42" s="13">
        <f t="shared" si="22"/>
        <v>0</v>
      </c>
      <c r="BY42" s="13">
        <f t="shared" si="23"/>
        <v>0.21367998940933203</v>
      </c>
      <c r="BZ42" s="13">
        <f t="shared" si="24"/>
        <v>0.21878042966712027</v>
      </c>
      <c r="CA42" s="13">
        <f t="shared" si="25"/>
        <v>3.6718572892753029E-2</v>
      </c>
      <c r="CB42" s="13">
        <f t="shared" si="26"/>
        <v>2.2065716748068146E-3</v>
      </c>
      <c r="CC42" s="13">
        <f t="shared" si="27"/>
        <v>0</v>
      </c>
      <c r="CD42" s="13">
        <f t="shared" si="91"/>
        <v>0.18126284837758216</v>
      </c>
      <c r="CE42" s="12">
        <f t="shared" si="92"/>
        <v>2.8584868350484975</v>
      </c>
      <c r="CF42" s="13"/>
      <c r="CG42" s="23">
        <f t="shared" si="129"/>
        <v>0.5716404056908182</v>
      </c>
      <c r="CH42" s="13">
        <f t="shared" si="129"/>
        <v>7.9741517167942685E-3</v>
      </c>
      <c r="CI42" s="13">
        <f t="shared" si="129"/>
        <v>0.14869192684957142</v>
      </c>
      <c r="CJ42" s="13">
        <f t="shared" si="129"/>
        <v>0</v>
      </c>
      <c r="CK42" s="13">
        <f t="shared" si="128"/>
        <v>4.3373971283370859E-2</v>
      </c>
      <c r="CL42" s="13">
        <f t="shared" si="128"/>
        <v>3.0986064604817485E-2</v>
      </c>
      <c r="CM42" s="13">
        <f t="shared" si="128"/>
        <v>1.858776290193347E-2</v>
      </c>
      <c r="CN42" s="13">
        <f t="shared" si="128"/>
        <v>0</v>
      </c>
      <c r="CO42" s="13">
        <f t="shared" si="128"/>
        <v>7.4752833138623395E-2</v>
      </c>
      <c r="CP42" s="13">
        <f t="shared" si="128"/>
        <v>7.6537147900983218E-2</v>
      </c>
      <c r="CQ42" s="13">
        <f t="shared" si="128"/>
        <v>1.2845458108303674E-2</v>
      </c>
      <c r="CR42" s="13">
        <f t="shared" si="128"/>
        <v>7.7193697299969468E-4</v>
      </c>
      <c r="CS42" s="13">
        <f t="shared" si="128"/>
        <v>0</v>
      </c>
      <c r="CT42" s="13">
        <f t="shared" si="128"/>
        <v>6.3412168338535246E-2</v>
      </c>
      <c r="CU42" s="12">
        <f t="shared" si="29"/>
        <v>0.99999999999999989</v>
      </c>
      <c r="CV42" s="26"/>
      <c r="CW42" s="23">
        <f t="shared" si="30"/>
        <v>0.81701328702449305</v>
      </c>
      <c r="CX42" s="13">
        <f t="shared" si="31"/>
        <v>1.1397003851567897E-2</v>
      </c>
      <c r="CY42" s="13">
        <f t="shared" si="32"/>
        <v>0.28335594358499605</v>
      </c>
      <c r="CZ42" s="13">
        <f t="shared" si="33"/>
        <v>0</v>
      </c>
      <c r="DA42" s="13">
        <f t="shared" si="34"/>
        <v>0.17270194986072424</v>
      </c>
      <c r="DB42" s="13">
        <f t="shared" si="35"/>
        <v>8.8573257742833006E-2</v>
      </c>
      <c r="DC42" s="24">
        <f t="shared" si="36"/>
        <v>3.5421917032119783E-2</v>
      </c>
      <c r="DD42" s="13">
        <f t="shared" si="37"/>
        <v>0</v>
      </c>
      <c r="DE42" s="13">
        <f t="shared" si="38"/>
        <v>0.21367998940933203</v>
      </c>
      <c r="DF42" s="13">
        <f t="shared" si="39"/>
        <v>0.21878042966712027</v>
      </c>
      <c r="DG42" s="13">
        <f t="shared" si="40"/>
        <v>7.3437145785506058E-2</v>
      </c>
      <c r="DH42" s="13">
        <f t="shared" si="41"/>
        <v>4.4131433496136293E-3</v>
      </c>
      <c r="DI42" s="13">
        <f t="shared" si="42"/>
        <v>0</v>
      </c>
      <c r="DJ42" s="13">
        <f t="shared" si="93"/>
        <v>0.36252569675516433</v>
      </c>
      <c r="DK42" s="12">
        <f t="shared" si="94"/>
        <v>2.1573045892885179</v>
      </c>
      <c r="DL42" s="26"/>
      <c r="DM42" s="23">
        <f t="shared" si="95"/>
        <v>0.37871948684536255</v>
      </c>
      <c r="DN42" s="13">
        <f t="shared" si="95"/>
        <v>5.2829831763935775E-3</v>
      </c>
      <c r="DO42" s="13">
        <f t="shared" ref="DO42:DZ63" si="153">IF(OR($DK42="",CY42=""),"",CY42/$DK42)</f>
        <v>0.13134721216091569</v>
      </c>
      <c r="DP42" s="13">
        <f t="shared" si="153"/>
        <v>0</v>
      </c>
      <c r="DQ42" s="13">
        <f t="shared" si="153"/>
        <v>8.0054504458121789E-2</v>
      </c>
      <c r="DR42" s="13">
        <f t="shared" si="153"/>
        <v>4.1057372325919259E-2</v>
      </c>
      <c r="DS42" s="13">
        <f t="shared" si="153"/>
        <v>1.6419525183415096E-2</v>
      </c>
      <c r="DT42" s="13">
        <f t="shared" si="153"/>
        <v>0</v>
      </c>
      <c r="DU42" s="13">
        <f t="shared" si="153"/>
        <v>9.9049522478327448E-2</v>
      </c>
      <c r="DV42" s="13">
        <f t="shared" si="153"/>
        <v>0.10141378772075683</v>
      </c>
      <c r="DW42" s="13">
        <f t="shared" si="153"/>
        <v>3.4041157725310238E-2</v>
      </c>
      <c r="DX42" s="13">
        <f t="shared" si="153"/>
        <v>2.0456746680676606E-3</v>
      </c>
      <c r="DY42" s="13">
        <f t="shared" si="153"/>
        <v>0</v>
      </c>
      <c r="DZ42" s="13">
        <f t="shared" si="153"/>
        <v>0.16804567076674407</v>
      </c>
      <c r="EA42" s="12">
        <f t="shared" si="44"/>
        <v>1</v>
      </c>
      <c r="EB42" s="26"/>
      <c r="EC42" s="30">
        <f t="shared" si="45"/>
        <v>1323</v>
      </c>
      <c r="ED42" s="14">
        <f t="shared" si="96"/>
        <v>100000</v>
      </c>
      <c r="EE42" s="29"/>
      <c r="EF42" s="128">
        <f t="shared" si="124"/>
        <v>-8.7342365835222964</v>
      </c>
      <c r="EG42" s="13">
        <f t="shared" si="97"/>
        <v>1.5</v>
      </c>
      <c r="EH42" s="13">
        <f t="shared" si="98"/>
        <v>0.74926606198035017</v>
      </c>
      <c r="EI42" s="12">
        <f t="shared" si="46"/>
        <v>5.3414996220710531</v>
      </c>
      <c r="EJ42" s="29"/>
      <c r="EK42" s="28">
        <f t="shared" si="99"/>
        <v>-1.6099640262305805</v>
      </c>
      <c r="EL42" s="24">
        <f t="shared" si="100"/>
        <v>-0.6990725255017719</v>
      </c>
      <c r="EM42" s="24">
        <f t="shared" si="101"/>
        <v>0.19989480491542308</v>
      </c>
      <c r="EN42" s="24">
        <f t="shared" si="102"/>
        <v>5.070716900776126E-2</v>
      </c>
      <c r="EO42" s="24">
        <f t="shared" si="103"/>
        <v>1.0136099656619824E-2</v>
      </c>
      <c r="EP42" s="24">
        <f t="shared" si="104"/>
        <v>0.28560692765761969</v>
      </c>
      <c r="EQ42" s="24">
        <f t="shared" si="105"/>
        <v>-1.6096464075038168</v>
      </c>
      <c r="ER42" s="24">
        <f t="shared" si="47"/>
        <v>-20.10929575626913</v>
      </c>
      <c r="ES42" s="25">
        <f t="shared" si="48"/>
        <v>-8.7317827860482549</v>
      </c>
      <c r="ET42" s="26">
        <v>3.3</v>
      </c>
      <c r="EU42" s="26">
        <v>0.29083888041780526</v>
      </c>
      <c r="EV42" s="26">
        <v>0.36615086887669801</v>
      </c>
      <c r="EW42" s="26">
        <v>0.28560692765761969</v>
      </c>
      <c r="EX42" s="26">
        <v>0.36463846529106136</v>
      </c>
      <c r="EY42" s="26">
        <f t="shared" si="106"/>
        <v>0.99586945241922686</v>
      </c>
      <c r="EZ42" s="26">
        <f t="shared" si="107"/>
        <v>1.0183187179775188</v>
      </c>
      <c r="FA42" s="23">
        <f t="shared" si="125"/>
        <v>-1.2636120676139377</v>
      </c>
      <c r="FB42" s="190">
        <f t="shared" si="108"/>
        <v>5.1682295067101536E-2</v>
      </c>
      <c r="FC42" s="124">
        <v>6.2646889236044334E-2</v>
      </c>
      <c r="FD42" s="26"/>
      <c r="FE42" s="27">
        <f t="shared" si="109"/>
        <v>0.88818423022188309</v>
      </c>
      <c r="FF42" s="26"/>
      <c r="FG42" s="23">
        <f t="shared" si="130"/>
        <v>-4.3998023795039582</v>
      </c>
      <c r="FH42" s="13">
        <f t="shared" si="50"/>
        <v>14.196951118001149</v>
      </c>
      <c r="FI42" s="13">
        <f t="shared" si="131"/>
        <v>-21.845149910644157</v>
      </c>
      <c r="FJ42" s="13">
        <f t="shared" si="132"/>
        <v>0.21925749634589664</v>
      </c>
      <c r="FK42" s="12">
        <f t="shared" si="53"/>
        <v>0.55459582982100819</v>
      </c>
      <c r="FL42" s="13"/>
      <c r="FM42" s="23">
        <f t="shared" si="133"/>
        <v>-6.0611545503295554</v>
      </c>
      <c r="FN42" s="13">
        <f t="shared" si="134"/>
        <v>11.344977290693425</v>
      </c>
      <c r="FO42" s="13">
        <f t="shared" si="135"/>
        <v>11.865697920446024</v>
      </c>
      <c r="FP42" s="24">
        <f t="shared" si="136"/>
        <v>0.46417494303266726</v>
      </c>
      <c r="FQ42" s="25">
        <f t="shared" si="137"/>
        <v>0.74182148270181103</v>
      </c>
      <c r="FR42" s="13"/>
      <c r="FS42" s="23">
        <f t="shared" si="111"/>
        <v>11.034921219707229</v>
      </c>
      <c r="FT42" s="13">
        <f t="shared" si="126"/>
        <v>-6.192393508542068</v>
      </c>
      <c r="FU42" s="13">
        <f t="shared" si="138"/>
        <v>-0.24115843879529564</v>
      </c>
      <c r="FV42" s="13">
        <f t="shared" si="58"/>
        <v>0.36463846529106136</v>
      </c>
      <c r="FW42" s="23">
        <f t="shared" si="139"/>
        <v>-0.24124097847783688</v>
      </c>
      <c r="FX42" s="13">
        <f t="shared" si="140"/>
        <v>0.36459443508603617</v>
      </c>
      <c r="FY42" s="13">
        <f t="shared" si="141"/>
        <v>-0.24120862775977159</v>
      </c>
      <c r="FZ42" s="13">
        <f t="shared" si="116"/>
        <v>0.36461169207587962</v>
      </c>
      <c r="GA42" s="13">
        <f t="shared" si="142"/>
        <v>-0.24124929291471986</v>
      </c>
      <c r="GB42" s="12">
        <f t="shared" si="118"/>
        <v>0.36458999993459829</v>
      </c>
      <c r="GC42" s="22"/>
      <c r="GD42" s="11">
        <f t="shared" si="143"/>
        <v>1.5</v>
      </c>
      <c r="GE42" s="10">
        <f t="shared" si="144"/>
        <v>0.74926606198035017</v>
      </c>
      <c r="GF42" s="10">
        <f t="shared" si="145"/>
        <v>5.3414996220710531</v>
      </c>
      <c r="GG42" s="5">
        <f t="shared" si="146"/>
        <v>-8.7342365835222964</v>
      </c>
      <c r="GH42" s="10">
        <f t="shared" si="147"/>
        <v>0.28560692765761969</v>
      </c>
      <c r="GI42" s="9">
        <f t="shared" si="119"/>
        <v>11.034921219707229</v>
      </c>
      <c r="GJ42" s="8">
        <f t="shared" si="120"/>
        <v>-6.192393508542068</v>
      </c>
      <c r="GK42" s="8">
        <f t="shared" si="121"/>
        <v>0.36463846529106136</v>
      </c>
      <c r="GL42" s="7">
        <f t="shared" si="122"/>
        <v>0.36459443508603617</v>
      </c>
      <c r="GM42" s="6">
        <f t="shared" si="148"/>
        <v>0.46417494303266726</v>
      </c>
      <c r="GN42" s="5">
        <f t="shared" si="149"/>
        <v>0.74182148270181103</v>
      </c>
      <c r="GO42" s="4">
        <f t="shared" si="150"/>
        <v>0.55459582982100819</v>
      </c>
      <c r="GP42" s="4">
        <f t="shared" si="151"/>
        <v>0.88818423022188309</v>
      </c>
      <c r="GQ42" s="4">
        <f t="shared" si="152"/>
        <v>5.1682295067101536E-2</v>
      </c>
      <c r="GR42" s="1"/>
    </row>
    <row r="43" spans="1:200" x14ac:dyDescent="0.4">
      <c r="A43" s="34"/>
      <c r="B43" s="21"/>
      <c r="C43" s="21"/>
      <c r="D43" s="34"/>
      <c r="E43" s="34"/>
      <c r="F43" s="20" t="s">
        <v>83</v>
      </c>
      <c r="G43" s="19">
        <v>1050</v>
      </c>
      <c r="H43" s="18">
        <v>1E-4</v>
      </c>
      <c r="I43" s="17">
        <v>1.5</v>
      </c>
      <c r="J43" s="16">
        <v>49.6</v>
      </c>
      <c r="K43" s="16">
        <v>0.92</v>
      </c>
      <c r="L43" s="16">
        <v>14.6</v>
      </c>
      <c r="M43" s="16">
        <v>0</v>
      </c>
      <c r="N43" s="16">
        <v>9</v>
      </c>
      <c r="O43" s="16">
        <v>0</v>
      </c>
      <c r="P43" s="16">
        <v>8.6999999999999993</v>
      </c>
      <c r="Q43" s="16">
        <v>12.4</v>
      </c>
      <c r="R43" s="16">
        <v>2.2999999999999998</v>
      </c>
      <c r="S43" s="16">
        <v>0.21</v>
      </c>
      <c r="T43" s="16">
        <v>0</v>
      </c>
      <c r="U43" s="15">
        <v>3.4</v>
      </c>
      <c r="V43" s="16"/>
      <c r="W43" s="28">
        <f t="shared" si="69"/>
        <v>49.045782655987338</v>
      </c>
      <c r="X43" s="24">
        <f t="shared" si="127"/>
        <v>0.90972016216750717</v>
      </c>
      <c r="Y43" s="24">
        <f t="shared" si="127"/>
        <v>14.436863443093047</v>
      </c>
      <c r="Z43" s="24">
        <f t="shared" si="127"/>
        <v>0</v>
      </c>
      <c r="AA43" s="24">
        <f t="shared" si="127"/>
        <v>8.89943636902996</v>
      </c>
      <c r="AB43" s="24">
        <f t="shared" si="127"/>
        <v>0</v>
      </c>
      <c r="AC43" s="24">
        <f t="shared" si="127"/>
        <v>8.6027884900622951</v>
      </c>
      <c r="AD43" s="24">
        <f t="shared" si="127"/>
        <v>12.261445663996835</v>
      </c>
      <c r="AE43" s="24">
        <f t="shared" si="127"/>
        <v>2.2743004054187677</v>
      </c>
      <c r="AF43" s="24">
        <f t="shared" si="127"/>
        <v>0.20765351527736575</v>
      </c>
      <c r="AG43" s="24">
        <f t="shared" si="127"/>
        <v>0</v>
      </c>
      <c r="AH43" s="24">
        <f t="shared" si="127"/>
        <v>3.3620092949668736</v>
      </c>
      <c r="AI43" s="14">
        <f t="shared" si="123"/>
        <v>100</v>
      </c>
      <c r="AJ43" s="26"/>
      <c r="AK43" s="50">
        <f t="shared" si="70"/>
        <v>0.81620540282887899</v>
      </c>
      <c r="AL43" s="47">
        <f t="shared" si="71"/>
        <v>1.1385734194837386E-2</v>
      </c>
      <c r="AM43" s="47">
        <f t="shared" si="72"/>
        <v>0.14159340371805657</v>
      </c>
      <c r="AN43" s="49">
        <f t="shared" si="73"/>
        <v>0</v>
      </c>
      <c r="AO43" s="49">
        <f t="shared" si="74"/>
        <v>0.12386132733514212</v>
      </c>
      <c r="AP43" s="47">
        <f t="shared" si="75"/>
        <v>0</v>
      </c>
      <c r="AQ43" s="47">
        <f t="shared" si="76"/>
        <v>0.21336280977337041</v>
      </c>
      <c r="AR43" s="47">
        <f t="shared" si="77"/>
        <v>0.21864204108410903</v>
      </c>
      <c r="AS43" s="47">
        <f t="shared" si="78"/>
        <v>3.6694101410435102E-2</v>
      </c>
      <c r="AT43" s="47">
        <f t="shared" si="79"/>
        <v>2.204389758783076E-3</v>
      </c>
      <c r="AU43" s="47">
        <f t="shared" si="80"/>
        <v>0</v>
      </c>
      <c r="AV43" s="47">
        <f t="shared" si="81"/>
        <v>0.18657099306142474</v>
      </c>
      <c r="AW43" s="47">
        <f t="shared" si="82"/>
        <v>1.7505202031650375</v>
      </c>
      <c r="AX43" s="47">
        <f t="shared" si="83"/>
        <v>8.8503121122489245E-2</v>
      </c>
      <c r="AY43" s="46">
        <f t="shared" si="84"/>
        <v>1.7684719212388407E-2</v>
      </c>
      <c r="AZ43" s="26"/>
      <c r="BA43" s="23">
        <f t="shared" si="85"/>
        <v>0.46626448603856979</v>
      </c>
      <c r="BB43" s="13">
        <f t="shared" si="6"/>
        <v>6.5042003938322714E-3</v>
      </c>
      <c r="BC43" s="13">
        <f t="shared" si="7"/>
        <v>8.0886472182410601E-2</v>
      </c>
      <c r="BD43" s="13">
        <f t="shared" si="8"/>
        <v>0</v>
      </c>
      <c r="BE43" s="13">
        <f t="shared" si="9"/>
        <v>7.0756868221911393E-2</v>
      </c>
      <c r="BF43" s="13">
        <f t="shared" si="10"/>
        <v>5.055818319746936E-2</v>
      </c>
      <c r="BG43" s="13">
        <f t="shared" si="11"/>
        <v>1.0102550762004035E-2</v>
      </c>
      <c r="BH43" s="13">
        <f t="shared" si="12"/>
        <v>0</v>
      </c>
      <c r="BI43" s="13">
        <f t="shared" si="13"/>
        <v>0.12188537406629105</v>
      </c>
      <c r="BJ43" s="13">
        <f t="shared" si="14"/>
        <v>0.12490118119676202</v>
      </c>
      <c r="BK43" s="13">
        <f t="shared" si="15"/>
        <v>2.0961826858147729E-2</v>
      </c>
      <c r="BL43" s="13">
        <f t="shared" si="16"/>
        <v>1.2592769593846545E-3</v>
      </c>
      <c r="BM43" s="13">
        <f t="shared" si="17"/>
        <v>0</v>
      </c>
      <c r="BN43" s="13">
        <f t="shared" si="86"/>
        <v>0.10658031408269042</v>
      </c>
      <c r="BO43" s="12">
        <f t="shared" si="87"/>
        <v>0.89341968591730958</v>
      </c>
      <c r="BP43" s="13"/>
      <c r="BQ43" s="23">
        <f t="shared" si="88"/>
        <v>1.632410805657758</v>
      </c>
      <c r="BR43" s="13">
        <f t="shared" si="18"/>
        <v>2.2771468389674771E-2</v>
      </c>
      <c r="BS43" s="13">
        <f t="shared" si="19"/>
        <v>0.42461363067920727</v>
      </c>
      <c r="BT43" s="13">
        <f t="shared" si="20"/>
        <v>0</v>
      </c>
      <c r="BU43" s="13">
        <f t="shared" si="21"/>
        <v>0.12386132733514212</v>
      </c>
      <c r="BV43" s="13">
        <f t="shared" si="89"/>
        <v>8.8503121122489245E-2</v>
      </c>
      <c r="BW43" s="24">
        <f t="shared" si="90"/>
        <v>5.3054157637165228E-2</v>
      </c>
      <c r="BX43" s="13">
        <f t="shared" si="22"/>
        <v>0</v>
      </c>
      <c r="BY43" s="13">
        <f t="shared" si="23"/>
        <v>0.2134686970238783</v>
      </c>
      <c r="BZ43" s="13">
        <f t="shared" si="24"/>
        <v>0.21856409383238565</v>
      </c>
      <c r="CA43" s="13">
        <f t="shared" si="25"/>
        <v>3.6682264603528511E-2</v>
      </c>
      <c r="CB43" s="13">
        <f t="shared" si="26"/>
        <v>2.204389758783076E-3</v>
      </c>
      <c r="CC43" s="13">
        <f t="shared" si="27"/>
        <v>0</v>
      </c>
      <c r="CD43" s="13">
        <f t="shared" si="91"/>
        <v>0.18657099306142474</v>
      </c>
      <c r="CE43" s="12">
        <f t="shared" si="92"/>
        <v>2.8611476703417824</v>
      </c>
      <c r="CF43" s="13"/>
      <c r="CG43" s="23">
        <f t="shared" si="129"/>
        <v>0.57054405914769024</v>
      </c>
      <c r="CH43" s="13">
        <f t="shared" si="129"/>
        <v>7.9588581273592821E-3</v>
      </c>
      <c r="CI43" s="13">
        <f t="shared" si="129"/>
        <v>0.14840675127700922</v>
      </c>
      <c r="CJ43" s="13">
        <f t="shared" si="129"/>
        <v>0</v>
      </c>
      <c r="CK43" s="13">
        <f t="shared" si="128"/>
        <v>4.3290784540437957E-2</v>
      </c>
      <c r="CL43" s="13">
        <f t="shared" si="128"/>
        <v>3.0932734454743115E-2</v>
      </c>
      <c r="CM43" s="13">
        <f t="shared" si="128"/>
        <v>1.8542963785866937E-2</v>
      </c>
      <c r="CN43" s="13">
        <f t="shared" si="128"/>
        <v>0</v>
      </c>
      <c r="CO43" s="13">
        <f t="shared" si="128"/>
        <v>7.4609465018762242E-2</v>
      </c>
      <c r="CP43" s="13">
        <f t="shared" si="128"/>
        <v>7.6390357651926713E-2</v>
      </c>
      <c r="CQ43" s="13">
        <f t="shared" si="128"/>
        <v>1.2820821862419488E-2</v>
      </c>
      <c r="CR43" s="13">
        <f t="shared" si="128"/>
        <v>7.7045647857796435E-4</v>
      </c>
      <c r="CS43" s="13">
        <f t="shared" si="128"/>
        <v>0</v>
      </c>
      <c r="CT43" s="13">
        <f t="shared" si="128"/>
        <v>6.5208445895816924E-2</v>
      </c>
      <c r="CU43" s="12">
        <f t="shared" si="29"/>
        <v>1</v>
      </c>
      <c r="CV43" s="26"/>
      <c r="CW43" s="23">
        <f t="shared" si="30"/>
        <v>0.81620540282887899</v>
      </c>
      <c r="CX43" s="13">
        <f t="shared" si="31"/>
        <v>1.1385734194837386E-2</v>
      </c>
      <c r="CY43" s="13">
        <f t="shared" si="32"/>
        <v>0.2830757537861382</v>
      </c>
      <c r="CZ43" s="13">
        <f t="shared" si="33"/>
        <v>0</v>
      </c>
      <c r="DA43" s="13">
        <f t="shared" si="34"/>
        <v>0.17270194986072424</v>
      </c>
      <c r="DB43" s="13">
        <f t="shared" si="35"/>
        <v>8.8503121122489245E-2</v>
      </c>
      <c r="DC43" s="24">
        <f t="shared" si="36"/>
        <v>3.5369438424776814E-2</v>
      </c>
      <c r="DD43" s="13">
        <f t="shared" si="37"/>
        <v>0</v>
      </c>
      <c r="DE43" s="13">
        <f t="shared" si="38"/>
        <v>0.2134686970238783</v>
      </c>
      <c r="DF43" s="13">
        <f t="shared" si="39"/>
        <v>0.21856409383238565</v>
      </c>
      <c r="DG43" s="13">
        <f t="shared" si="40"/>
        <v>7.3364529207057022E-2</v>
      </c>
      <c r="DH43" s="13">
        <f t="shared" si="41"/>
        <v>4.4087795175661521E-3</v>
      </c>
      <c r="DI43" s="13">
        <f t="shared" si="42"/>
        <v>0</v>
      </c>
      <c r="DJ43" s="13">
        <f t="shared" si="93"/>
        <v>0.37314198612284949</v>
      </c>
      <c r="DK43" s="12">
        <f t="shared" si="94"/>
        <v>2.1663169263743156</v>
      </c>
      <c r="DL43" s="26"/>
      <c r="DM43" s="23">
        <f t="shared" ref="DM43:DT95" si="154">IF(OR($DK43="",CW43=""),"",CW43/$DK43)</f>
        <v>0.37677100376763972</v>
      </c>
      <c r="DN43" s="13">
        <f t="shared" si="154"/>
        <v>5.2558026280546434E-3</v>
      </c>
      <c r="DO43" s="13">
        <f t="shared" si="153"/>
        <v>0.13067144070185133</v>
      </c>
      <c r="DP43" s="13">
        <f t="shared" si="153"/>
        <v>0</v>
      </c>
      <c r="DQ43" s="13">
        <f t="shared" si="153"/>
        <v>7.9721460769717145E-2</v>
      </c>
      <c r="DR43" s="13">
        <f t="shared" si="153"/>
        <v>4.0854188990072489E-2</v>
      </c>
      <c r="DS43" s="13">
        <f t="shared" si="153"/>
        <v>1.6326991676131771E-2</v>
      </c>
      <c r="DT43" s="13">
        <f t="shared" si="153"/>
        <v>0</v>
      </c>
      <c r="DU43" s="13">
        <f t="shared" si="153"/>
        <v>9.8539920186633517E-2</v>
      </c>
      <c r="DV43" s="13">
        <f t="shared" si="153"/>
        <v>0.10089202146344685</v>
      </c>
      <c r="DW43" s="13">
        <f t="shared" si="153"/>
        <v>3.3866018546900481E-2</v>
      </c>
      <c r="DX43" s="13">
        <f t="shared" si="153"/>
        <v>2.0351498268284147E-3</v>
      </c>
      <c r="DY43" s="13">
        <f t="shared" si="153"/>
        <v>0</v>
      </c>
      <c r="DZ43" s="13">
        <f t="shared" si="153"/>
        <v>0.17224718210892781</v>
      </c>
      <c r="EA43" s="12">
        <f t="shared" si="44"/>
        <v>1</v>
      </c>
      <c r="EB43" s="26"/>
      <c r="EC43" s="30">
        <f t="shared" si="45"/>
        <v>1323</v>
      </c>
      <c r="ED43" s="14">
        <f t="shared" si="96"/>
        <v>100000</v>
      </c>
      <c r="EE43" s="29"/>
      <c r="EF43" s="128">
        <f t="shared" si="124"/>
        <v>-8.7342365835222964</v>
      </c>
      <c r="EG43" s="13">
        <f t="shared" si="97"/>
        <v>1.5</v>
      </c>
      <c r="EH43" s="13">
        <f t="shared" si="98"/>
        <v>0.74926606198035017</v>
      </c>
      <c r="EI43" s="12">
        <f t="shared" si="46"/>
        <v>5.3414996220710531</v>
      </c>
      <c r="EJ43" s="29"/>
      <c r="EK43" s="28">
        <f t="shared" si="99"/>
        <v>-1.6106544916702579</v>
      </c>
      <c r="EL43" s="24">
        <f t="shared" si="100"/>
        <v>-0.69937233680862265</v>
      </c>
      <c r="EM43" s="24">
        <f t="shared" si="101"/>
        <v>0.19975683209926998</v>
      </c>
      <c r="EN43" s="24">
        <f t="shared" si="102"/>
        <v>5.0558183197469353E-2</v>
      </c>
      <c r="EO43" s="24">
        <f t="shared" si="103"/>
        <v>1.0099342512221018E-2</v>
      </c>
      <c r="EP43" s="24">
        <f t="shared" si="104"/>
        <v>0.28546606897713256</v>
      </c>
      <c r="EQ43" s="24">
        <f t="shared" si="105"/>
        <v>-1.6103368729434944</v>
      </c>
      <c r="ER43" s="24">
        <f t="shared" si="47"/>
        <v>-20.109295756269134</v>
      </c>
      <c r="ES43" s="25">
        <f t="shared" si="48"/>
        <v>-8.7317827860482566</v>
      </c>
      <c r="ET43" s="26">
        <v>3.4</v>
      </c>
      <c r="EU43" s="26">
        <v>0.29083888041780526</v>
      </c>
      <c r="EV43" s="26">
        <v>0.36864278580993426</v>
      </c>
      <c r="EW43" s="26">
        <v>0.28546606897713256</v>
      </c>
      <c r="EX43" s="26">
        <v>0.36709017533903432</v>
      </c>
      <c r="EY43" s="26">
        <f t="shared" si="106"/>
        <v>0.9957883063749946</v>
      </c>
      <c r="EZ43" s="26">
        <f t="shared" si="107"/>
        <v>1.0188211911136209</v>
      </c>
      <c r="FA43" s="23">
        <f t="shared" si="125"/>
        <v>-1.2660109902571115</v>
      </c>
      <c r="FB43" s="190">
        <f t="shared" si="108"/>
        <v>5.141223999970379E-2</v>
      </c>
      <c r="FC43" s="124">
        <v>6.2646889236044334E-2</v>
      </c>
      <c r="FD43" s="26"/>
      <c r="FE43" s="27">
        <f t="shared" si="109"/>
        <v>0.88818423022188309</v>
      </c>
      <c r="FF43" s="26"/>
      <c r="FG43" s="23">
        <f t="shared" si="130"/>
        <v>-4.4217919606037999</v>
      </c>
      <c r="FH43" s="13">
        <f t="shared" si="50"/>
        <v>14.164801378195275</v>
      </c>
      <c r="FI43" s="13">
        <f t="shared" si="131"/>
        <v>-21.845149910644157</v>
      </c>
      <c r="FJ43" s="13">
        <f t="shared" si="132"/>
        <v>0.20909733763986083</v>
      </c>
      <c r="FK43" s="12">
        <f t="shared" si="53"/>
        <v>0.55208470325064485</v>
      </c>
      <c r="FL43" s="13"/>
      <c r="FM43" s="23">
        <f t="shared" si="133"/>
        <v>-6.0618535418364079</v>
      </c>
      <c r="FN43" s="13">
        <f t="shared" si="134"/>
        <v>11.340779652528919</v>
      </c>
      <c r="FO43" s="13">
        <f t="shared" si="135"/>
        <v>11.861582242057494</v>
      </c>
      <c r="FP43" s="24">
        <f t="shared" si="136"/>
        <v>0.46217188830791267</v>
      </c>
      <c r="FQ43" s="25">
        <f t="shared" si="137"/>
        <v>0.74031187136605681</v>
      </c>
      <c r="FR43" s="13"/>
      <c r="FS43" s="23">
        <f t="shared" si="111"/>
        <v>11.041225901321269</v>
      </c>
      <c r="FT43" s="13">
        <f t="shared" si="126"/>
        <v>-6.190678189810221</v>
      </c>
      <c r="FU43" s="13">
        <f t="shared" si="138"/>
        <v>-0.23656907591310272</v>
      </c>
      <c r="FV43" s="13">
        <f t="shared" si="58"/>
        <v>0.36709017533903432</v>
      </c>
      <c r="FW43" s="23">
        <f t="shared" si="139"/>
        <v>-0.23665161559564396</v>
      </c>
      <c r="FX43" s="13">
        <f t="shared" si="140"/>
        <v>0.36704602011323006</v>
      </c>
      <c r="FY43" s="13">
        <f t="shared" si="141"/>
        <v>-0.23661926487757867</v>
      </c>
      <c r="FZ43" s="13">
        <f t="shared" si="116"/>
        <v>0.36706332610802828</v>
      </c>
      <c r="GA43" s="13">
        <f t="shared" si="142"/>
        <v>-0.23665993003252694</v>
      </c>
      <c r="GB43" s="12">
        <f t="shared" si="118"/>
        <v>0.3670415723661995</v>
      </c>
      <c r="GC43" s="22"/>
      <c r="GD43" s="11">
        <f t="shared" si="143"/>
        <v>1.5</v>
      </c>
      <c r="GE43" s="10">
        <f t="shared" si="144"/>
        <v>0.74926606198035017</v>
      </c>
      <c r="GF43" s="10">
        <f t="shared" si="145"/>
        <v>5.3414996220710531</v>
      </c>
      <c r="GG43" s="5">
        <f t="shared" si="146"/>
        <v>-8.7342365835222964</v>
      </c>
      <c r="GH43" s="10">
        <f t="shared" si="147"/>
        <v>0.28546606897713256</v>
      </c>
      <c r="GI43" s="9">
        <f t="shared" si="119"/>
        <v>11.041225901321269</v>
      </c>
      <c r="GJ43" s="8">
        <f t="shared" si="120"/>
        <v>-6.190678189810221</v>
      </c>
      <c r="GK43" s="8">
        <f t="shared" si="121"/>
        <v>0.36709017533903432</v>
      </c>
      <c r="GL43" s="7">
        <f t="shared" si="122"/>
        <v>0.36704602011323006</v>
      </c>
      <c r="GM43" s="6">
        <f t="shared" si="148"/>
        <v>0.46217188830791267</v>
      </c>
      <c r="GN43" s="5">
        <f t="shared" si="149"/>
        <v>0.74031187136605681</v>
      </c>
      <c r="GO43" s="4">
        <f t="shared" si="150"/>
        <v>0.55208470325064485</v>
      </c>
      <c r="GP43" s="4">
        <f t="shared" si="151"/>
        <v>0.88818423022188309</v>
      </c>
      <c r="GQ43" s="4">
        <f t="shared" si="152"/>
        <v>5.141223999970379E-2</v>
      </c>
      <c r="GR43" s="1"/>
    </row>
    <row r="44" spans="1:200" x14ac:dyDescent="0.4">
      <c r="A44" s="34"/>
      <c r="B44" s="21"/>
      <c r="C44" s="21"/>
      <c r="D44" s="34"/>
      <c r="E44" s="34"/>
      <c r="F44" s="20" t="s">
        <v>83</v>
      </c>
      <c r="G44" s="19">
        <v>1050</v>
      </c>
      <c r="H44" s="18">
        <v>1E-4</v>
      </c>
      <c r="I44" s="17">
        <v>1.5</v>
      </c>
      <c r="J44" s="16">
        <v>49.6</v>
      </c>
      <c r="K44" s="16">
        <v>0.92</v>
      </c>
      <c r="L44" s="16">
        <v>14.6</v>
      </c>
      <c r="M44" s="16">
        <v>0</v>
      </c>
      <c r="N44" s="16">
        <v>9</v>
      </c>
      <c r="O44" s="16">
        <v>0</v>
      </c>
      <c r="P44" s="16">
        <v>8.6999999999999993</v>
      </c>
      <c r="Q44" s="16">
        <v>12.4</v>
      </c>
      <c r="R44" s="16">
        <v>2.2999999999999998</v>
      </c>
      <c r="S44" s="16">
        <v>0.21</v>
      </c>
      <c r="T44" s="16">
        <v>0</v>
      </c>
      <c r="U44" s="15">
        <v>3.5</v>
      </c>
      <c r="V44" s="16"/>
      <c r="W44" s="28">
        <f t="shared" si="69"/>
        <v>48.997332806480294</v>
      </c>
      <c r="X44" s="24">
        <f t="shared" si="127"/>
        <v>0.90882149560406988</v>
      </c>
      <c r="Y44" s="24">
        <f t="shared" si="127"/>
        <v>14.422601995455892</v>
      </c>
      <c r="Z44" s="24">
        <f t="shared" si="127"/>
        <v>0</v>
      </c>
      <c r="AA44" s="24">
        <f t="shared" si="127"/>
        <v>8.890645065691988</v>
      </c>
      <c r="AB44" s="24">
        <f t="shared" si="127"/>
        <v>0</v>
      </c>
      <c r="AC44" s="24">
        <f t="shared" si="127"/>
        <v>8.5942902301689212</v>
      </c>
      <c r="AD44" s="24">
        <f t="shared" si="127"/>
        <v>12.249333201620074</v>
      </c>
      <c r="AE44" s="24">
        <f t="shared" si="127"/>
        <v>2.2720537390101745</v>
      </c>
      <c r="AF44" s="24">
        <f t="shared" si="127"/>
        <v>0.20744838486614639</v>
      </c>
      <c r="AG44" s="24">
        <f t="shared" si="127"/>
        <v>0</v>
      </c>
      <c r="AH44" s="24">
        <f t="shared" si="127"/>
        <v>3.4574730811024397</v>
      </c>
      <c r="AI44" s="14">
        <f t="shared" si="123"/>
        <v>99.999999999999986</v>
      </c>
      <c r="AJ44" s="26"/>
      <c r="AK44" s="50">
        <f t="shared" si="70"/>
        <v>0.81539911476918436</v>
      </c>
      <c r="AL44" s="47">
        <f t="shared" si="71"/>
        <v>1.1374486803555317E-2</v>
      </c>
      <c r="AM44" s="47">
        <f t="shared" si="72"/>
        <v>0.14145353075182321</v>
      </c>
      <c r="AN44" s="49">
        <f t="shared" si="73"/>
        <v>0</v>
      </c>
      <c r="AO44" s="49">
        <f t="shared" si="74"/>
        <v>0.12373897099084187</v>
      </c>
      <c r="AP44" s="47">
        <f t="shared" si="75"/>
        <v>0</v>
      </c>
      <c r="AQ44" s="47">
        <f t="shared" si="76"/>
        <v>0.21315203943871333</v>
      </c>
      <c r="AR44" s="47">
        <f t="shared" si="77"/>
        <v>0.21842605566369605</v>
      </c>
      <c r="AS44" s="47">
        <f t="shared" si="78"/>
        <v>3.665785316247458E-2</v>
      </c>
      <c r="AT44" s="47">
        <f t="shared" si="79"/>
        <v>2.202212153568433E-3</v>
      </c>
      <c r="AU44" s="47">
        <f t="shared" si="80"/>
        <v>0</v>
      </c>
      <c r="AV44" s="47">
        <f t="shared" si="81"/>
        <v>0.19186865044963594</v>
      </c>
      <c r="AW44" s="47">
        <f t="shared" si="82"/>
        <v>1.7542729141834934</v>
      </c>
      <c r="AX44" s="47">
        <f t="shared" si="83"/>
        <v>8.8433009023527409E-2</v>
      </c>
      <c r="AY44" s="46">
        <f t="shared" si="84"/>
        <v>1.7658588791526094E-2</v>
      </c>
      <c r="AZ44" s="26"/>
      <c r="BA44" s="23">
        <f t="shared" si="85"/>
        <v>0.46480744710620053</v>
      </c>
      <c r="BB44" s="13">
        <f t="shared" si="6"/>
        <v>6.4838752919179881E-3</v>
      </c>
      <c r="BC44" s="13">
        <f t="shared" si="7"/>
        <v>8.0633708477258884E-2</v>
      </c>
      <c r="BD44" s="13">
        <f t="shared" si="8"/>
        <v>0</v>
      </c>
      <c r="BE44" s="13">
        <f t="shared" si="9"/>
        <v>7.0535758712568841E-2</v>
      </c>
      <c r="BF44" s="13">
        <f t="shared" si="10"/>
        <v>5.0410063513229103E-2</v>
      </c>
      <c r="BG44" s="13">
        <f t="shared" si="11"/>
        <v>1.0066044256144196E-2</v>
      </c>
      <c r="BH44" s="13">
        <f t="shared" si="12"/>
        <v>0</v>
      </c>
      <c r="BI44" s="13">
        <f t="shared" si="13"/>
        <v>0.12150449209775467</v>
      </c>
      <c r="BJ44" s="13">
        <f t="shared" si="14"/>
        <v>0.12451087507405312</v>
      </c>
      <c r="BK44" s="13">
        <f t="shared" si="15"/>
        <v>2.0896322838990285E-2</v>
      </c>
      <c r="BL44" s="13">
        <f t="shared" si="16"/>
        <v>1.2553418203993807E-3</v>
      </c>
      <c r="BM44" s="13">
        <f t="shared" si="17"/>
        <v>0</v>
      </c>
      <c r="BN44" s="13">
        <f t="shared" si="86"/>
        <v>0.10937217858085613</v>
      </c>
      <c r="BO44" s="12">
        <f t="shared" si="87"/>
        <v>0.89062782141914365</v>
      </c>
      <c r="BP44" s="13"/>
      <c r="BQ44" s="23">
        <f t="shared" si="88"/>
        <v>1.6307982295383687</v>
      </c>
      <c r="BR44" s="13">
        <f t="shared" si="18"/>
        <v>2.2748973607110635E-2</v>
      </c>
      <c r="BS44" s="13">
        <f t="shared" si="19"/>
        <v>0.42419417633693801</v>
      </c>
      <c r="BT44" s="13">
        <f t="shared" si="20"/>
        <v>0</v>
      </c>
      <c r="BU44" s="13">
        <f t="shared" si="21"/>
        <v>0.12373897099084187</v>
      </c>
      <c r="BV44" s="13">
        <f t="shared" si="89"/>
        <v>8.8433009023527409E-2</v>
      </c>
      <c r="BW44" s="24">
        <f t="shared" si="90"/>
        <v>5.2975766374578293E-2</v>
      </c>
      <c r="BX44" s="13">
        <f t="shared" si="22"/>
        <v>0</v>
      </c>
      <c r="BY44" s="13">
        <f t="shared" si="23"/>
        <v>0.21325782208855887</v>
      </c>
      <c r="BZ44" s="13">
        <f t="shared" si="24"/>
        <v>0.21834818541212253</v>
      </c>
      <c r="CA44" s="13">
        <f t="shared" si="25"/>
        <v>3.6646028048551202E-2</v>
      </c>
      <c r="CB44" s="13">
        <f t="shared" si="26"/>
        <v>2.202212153568433E-3</v>
      </c>
      <c r="CC44" s="13">
        <f t="shared" si="27"/>
        <v>0</v>
      </c>
      <c r="CD44" s="13">
        <f t="shared" si="91"/>
        <v>0.19186865044963594</v>
      </c>
      <c r="CE44" s="12">
        <f t="shared" si="92"/>
        <v>2.8638032486256964</v>
      </c>
      <c r="CF44" s="13"/>
      <c r="CG44" s="23">
        <f t="shared" si="129"/>
        <v>0.56945190991069949</v>
      </c>
      <c r="CH44" s="13">
        <f t="shared" si="129"/>
        <v>7.9436230886418564E-3</v>
      </c>
      <c r="CI44" s="13">
        <f t="shared" si="129"/>
        <v>0.14812266748440331</v>
      </c>
      <c r="CJ44" s="13">
        <f t="shared" si="129"/>
        <v>0</v>
      </c>
      <c r="CK44" s="13">
        <f t="shared" si="128"/>
        <v>4.3207916273655556E-2</v>
      </c>
      <c r="CL44" s="13">
        <f t="shared" si="128"/>
        <v>3.0879568652617918E-2</v>
      </c>
      <c r="CM44" s="13">
        <f t="shared" si="128"/>
        <v>1.8498395935545052E-2</v>
      </c>
      <c r="CN44" s="13">
        <f t="shared" si="128"/>
        <v>0</v>
      </c>
      <c r="CO44" s="13">
        <f t="shared" si="128"/>
        <v>7.4466645776346069E-2</v>
      </c>
      <c r="CP44" s="13">
        <f t="shared" si="128"/>
        <v>7.6244129381760117E-2</v>
      </c>
      <c r="CQ44" s="13">
        <f t="shared" si="128"/>
        <v>1.279627993513073E-2</v>
      </c>
      <c r="CR44" s="13">
        <f t="shared" si="128"/>
        <v>7.689816521526914E-4</v>
      </c>
      <c r="CS44" s="13">
        <f t="shared" si="128"/>
        <v>0</v>
      </c>
      <c r="CT44" s="13">
        <f t="shared" si="128"/>
        <v>6.6997846497210078E-2</v>
      </c>
      <c r="CU44" s="12">
        <f t="shared" si="29"/>
        <v>1</v>
      </c>
      <c r="CV44" s="26"/>
      <c r="CW44" s="23">
        <f t="shared" si="30"/>
        <v>0.81539911476918436</v>
      </c>
      <c r="CX44" s="13">
        <f t="shared" si="31"/>
        <v>1.1374486803555317E-2</v>
      </c>
      <c r="CY44" s="13">
        <f t="shared" si="32"/>
        <v>0.28279611755795869</v>
      </c>
      <c r="CZ44" s="13">
        <f t="shared" si="33"/>
        <v>0</v>
      </c>
      <c r="DA44" s="13">
        <f t="shared" si="34"/>
        <v>0.17270194986072424</v>
      </c>
      <c r="DB44" s="13">
        <f t="shared" si="35"/>
        <v>8.8433009023527409E-2</v>
      </c>
      <c r="DC44" s="24">
        <f t="shared" si="36"/>
        <v>3.5317177583052188E-2</v>
      </c>
      <c r="DD44" s="13">
        <f t="shared" si="37"/>
        <v>0</v>
      </c>
      <c r="DE44" s="13">
        <f t="shared" si="38"/>
        <v>0.21325782208855887</v>
      </c>
      <c r="DF44" s="13">
        <f t="shared" si="39"/>
        <v>0.21834818541212253</v>
      </c>
      <c r="DG44" s="13">
        <f t="shared" si="40"/>
        <v>7.3292056097102404E-2</v>
      </c>
      <c r="DH44" s="13">
        <f t="shared" si="41"/>
        <v>4.404424307136866E-3</v>
      </c>
      <c r="DI44" s="13">
        <f t="shared" si="42"/>
        <v>0</v>
      </c>
      <c r="DJ44" s="13">
        <f t="shared" si="93"/>
        <v>0.38373730089927188</v>
      </c>
      <c r="DK44" s="12">
        <f t="shared" si="94"/>
        <v>2.175311457795615</v>
      </c>
      <c r="DL44" s="26"/>
      <c r="DM44" s="23">
        <f t="shared" si="154"/>
        <v>0.3748424676600019</v>
      </c>
      <c r="DN44" s="13">
        <f t="shared" si="154"/>
        <v>5.228900331854928E-3</v>
      </c>
      <c r="DO44" s="13">
        <f t="shared" si="153"/>
        <v>0.13000258723619029</v>
      </c>
      <c r="DP44" s="13">
        <f t="shared" si="153"/>
        <v>0</v>
      </c>
      <c r="DQ44" s="13">
        <f t="shared" si="153"/>
        <v>7.9391826509172342E-2</v>
      </c>
      <c r="DR44" s="13">
        <f t="shared" si="153"/>
        <v>4.0653033250301708E-2</v>
      </c>
      <c r="DS44" s="13">
        <f t="shared" si="153"/>
        <v>1.6235457895689746E-2</v>
      </c>
      <c r="DT44" s="13">
        <f t="shared" si="153"/>
        <v>0</v>
      </c>
      <c r="DU44" s="13">
        <f t="shared" si="153"/>
        <v>9.8035534784828904E-2</v>
      </c>
      <c r="DV44" s="13">
        <f t="shared" si="153"/>
        <v>0.10037559662071978</v>
      </c>
      <c r="DW44" s="13">
        <f t="shared" si="153"/>
        <v>3.3692672299613605E-2</v>
      </c>
      <c r="DX44" s="13">
        <f t="shared" si="153"/>
        <v>2.0247327302730968E-3</v>
      </c>
      <c r="DY44" s="13">
        <f t="shared" si="153"/>
        <v>0</v>
      </c>
      <c r="DZ44" s="13">
        <f t="shared" si="153"/>
        <v>0.17640568182734528</v>
      </c>
      <c r="EA44" s="12">
        <f t="shared" si="44"/>
        <v>1</v>
      </c>
      <c r="EB44" s="26"/>
      <c r="EC44" s="30">
        <f t="shared" si="45"/>
        <v>1323</v>
      </c>
      <c r="ED44" s="14">
        <f t="shared" si="96"/>
        <v>100000</v>
      </c>
      <c r="EE44" s="29"/>
      <c r="EF44" s="128">
        <f t="shared" si="124"/>
        <v>-8.7342365835222964</v>
      </c>
      <c r="EG44" s="13">
        <f t="shared" si="97"/>
        <v>1.5</v>
      </c>
      <c r="EH44" s="13">
        <f t="shared" si="98"/>
        <v>0.74926606198035017</v>
      </c>
      <c r="EI44" s="12">
        <f t="shared" si="46"/>
        <v>5.3414996220710531</v>
      </c>
      <c r="EJ44" s="29"/>
      <c r="EK44" s="28">
        <f t="shared" si="99"/>
        <v>-1.6113406418122567</v>
      </c>
      <c r="EL44" s="24">
        <f t="shared" si="100"/>
        <v>-0.69967027434314233</v>
      </c>
      <c r="EM44" s="24">
        <f t="shared" si="101"/>
        <v>0.19961981593276651</v>
      </c>
      <c r="EN44" s="24">
        <f t="shared" si="102"/>
        <v>5.0410063513229117E-2</v>
      </c>
      <c r="EO44" s="24">
        <f t="shared" si="103"/>
        <v>1.0062847599669866E-2</v>
      </c>
      <c r="EP44" s="24">
        <f t="shared" si="104"/>
        <v>0.28532613197444084</v>
      </c>
      <c r="EQ44" s="24">
        <f t="shared" si="105"/>
        <v>-1.6110230230854927</v>
      </c>
      <c r="ER44" s="24">
        <f t="shared" si="47"/>
        <v>-20.10929575626913</v>
      </c>
      <c r="ES44" s="25">
        <f t="shared" si="48"/>
        <v>-8.7317827860482549</v>
      </c>
      <c r="ET44" s="26">
        <v>3.5</v>
      </c>
      <c r="EU44" s="26">
        <v>0.2908388804178052</v>
      </c>
      <c r="EV44" s="26">
        <v>0.37113116887438813</v>
      </c>
      <c r="EW44" s="26">
        <v>0.28532613197444084</v>
      </c>
      <c r="EX44" s="26">
        <v>0.36953873557770545</v>
      </c>
      <c r="EY44" s="26">
        <f t="shared" si="106"/>
        <v>0.99570924398100968</v>
      </c>
      <c r="EZ44" s="26">
        <f t="shared" si="107"/>
        <v>1.0193208676864487</v>
      </c>
      <c r="FA44" s="23">
        <f t="shared" si="125"/>
        <v>-1.2683949200205298</v>
      </c>
      <c r="FB44" s="190">
        <f t="shared" si="108"/>
        <v>5.1145195269448496E-2</v>
      </c>
      <c r="FC44" s="124">
        <v>6.2646889236044001E-2</v>
      </c>
      <c r="FD44" s="26"/>
      <c r="FE44" s="27">
        <f t="shared" si="109"/>
        <v>0.88818423022188309</v>
      </c>
      <c r="FF44" s="26"/>
      <c r="FG44" s="23">
        <f t="shared" si="130"/>
        <v>-4.4435561628908724</v>
      </c>
      <c r="FH44" s="13">
        <f t="shared" si="50"/>
        <v>14.132980107165981</v>
      </c>
      <c r="FI44" s="13">
        <f t="shared" si="131"/>
        <v>-21.845149910644157</v>
      </c>
      <c r="FJ44" s="13">
        <f t="shared" si="132"/>
        <v>0.19904026889764026</v>
      </c>
      <c r="FK44" s="12">
        <f t="shared" si="53"/>
        <v>0.5495964366156596</v>
      </c>
      <c r="FL44" s="13"/>
      <c r="FM44" s="23">
        <f t="shared" si="133"/>
        <v>-6.0625506169522421</v>
      </c>
      <c r="FN44" s="13">
        <f t="shared" si="134"/>
        <v>11.336598084805406</v>
      </c>
      <c r="FO44" s="13">
        <f t="shared" si="135"/>
        <v>11.857482320331201</v>
      </c>
      <c r="FP44" s="24">
        <f t="shared" si="136"/>
        <v>0.46017815006277474</v>
      </c>
      <c r="FQ44" s="25">
        <f t="shared" si="137"/>
        <v>0.73880269094891049</v>
      </c>
      <c r="FR44" s="13"/>
      <c r="FS44" s="23">
        <f t="shared" si="111"/>
        <v>11.047506445787235</v>
      </c>
      <c r="FT44" s="13">
        <f t="shared" si="126"/>
        <v>-6.188968281091852</v>
      </c>
      <c r="FU44" s="13">
        <f t="shared" si="138"/>
        <v>-0.23199844016550486</v>
      </c>
      <c r="FV44" s="13">
        <f t="shared" si="58"/>
        <v>0.36953873557770545</v>
      </c>
      <c r="FW44" s="23">
        <f t="shared" si="139"/>
        <v>-0.2320809798480461</v>
      </c>
      <c r="FX44" s="13">
        <f t="shared" si="140"/>
        <v>0.36949445777195933</v>
      </c>
      <c r="FY44" s="13">
        <f t="shared" si="141"/>
        <v>-0.23204862912998081</v>
      </c>
      <c r="FZ44" s="13">
        <f t="shared" si="116"/>
        <v>0.36951181181508308</v>
      </c>
      <c r="GA44" s="13">
        <f t="shared" si="142"/>
        <v>-0.23208929428492908</v>
      </c>
      <c r="GB44" s="12">
        <f t="shared" si="118"/>
        <v>0.36948999767519131</v>
      </c>
      <c r="GC44" s="22"/>
      <c r="GD44" s="11">
        <f t="shared" si="143"/>
        <v>1.5</v>
      </c>
      <c r="GE44" s="10">
        <f t="shared" si="144"/>
        <v>0.74926606198035017</v>
      </c>
      <c r="GF44" s="10">
        <f t="shared" si="145"/>
        <v>5.3414996220710531</v>
      </c>
      <c r="GG44" s="5">
        <f t="shared" si="146"/>
        <v>-8.7342365835222964</v>
      </c>
      <c r="GH44" s="10">
        <f t="shared" si="147"/>
        <v>0.28532613197444084</v>
      </c>
      <c r="GI44" s="9">
        <f t="shared" si="119"/>
        <v>11.047506445787235</v>
      </c>
      <c r="GJ44" s="8">
        <f t="shared" si="120"/>
        <v>-6.188968281091852</v>
      </c>
      <c r="GK44" s="8">
        <f t="shared" si="121"/>
        <v>0.36953873557770545</v>
      </c>
      <c r="GL44" s="7">
        <f t="shared" si="122"/>
        <v>0.36949445777195933</v>
      </c>
      <c r="GM44" s="6">
        <f t="shared" si="148"/>
        <v>0.46017815006277474</v>
      </c>
      <c r="GN44" s="5">
        <f t="shared" si="149"/>
        <v>0.73880269094891049</v>
      </c>
      <c r="GO44" s="4">
        <f t="shared" si="150"/>
        <v>0.5495964366156596</v>
      </c>
      <c r="GP44" s="4">
        <f t="shared" si="151"/>
        <v>0.88818423022188309</v>
      </c>
      <c r="GQ44" s="4">
        <f t="shared" si="152"/>
        <v>5.1145195269448496E-2</v>
      </c>
      <c r="GR44" s="1"/>
    </row>
    <row r="45" spans="1:200" x14ac:dyDescent="0.4">
      <c r="A45" s="34"/>
      <c r="B45" s="21"/>
      <c r="C45" s="21"/>
      <c r="D45" s="34"/>
      <c r="E45" s="34"/>
      <c r="F45" s="20" t="s">
        <v>83</v>
      </c>
      <c r="G45" s="19">
        <v>1050</v>
      </c>
      <c r="H45" s="18">
        <v>1E-4</v>
      </c>
      <c r="I45" s="17">
        <v>1.5</v>
      </c>
      <c r="J45" s="16">
        <v>49.6</v>
      </c>
      <c r="K45" s="16">
        <v>0.92</v>
      </c>
      <c r="L45" s="16">
        <v>14.6</v>
      </c>
      <c r="M45" s="16">
        <v>0</v>
      </c>
      <c r="N45" s="16">
        <v>9</v>
      </c>
      <c r="O45" s="16">
        <v>0</v>
      </c>
      <c r="P45" s="16">
        <v>8.6999999999999993</v>
      </c>
      <c r="Q45" s="16">
        <v>12.4</v>
      </c>
      <c r="R45" s="16">
        <v>2.2999999999999998</v>
      </c>
      <c r="S45" s="16">
        <v>0.21</v>
      </c>
      <c r="T45" s="16">
        <v>0</v>
      </c>
      <c r="U45" s="15">
        <v>3.6</v>
      </c>
      <c r="V45" s="16"/>
      <c r="W45" s="28">
        <f t="shared" si="69"/>
        <v>48.948978584821873</v>
      </c>
      <c r="X45" s="24">
        <f t="shared" si="127"/>
        <v>0.90792460278298626</v>
      </c>
      <c r="Y45" s="24">
        <f t="shared" si="127"/>
        <v>14.408368696338695</v>
      </c>
      <c r="Z45" s="24">
        <f t="shared" si="127"/>
        <v>0</v>
      </c>
      <c r="AA45" s="24">
        <f t="shared" si="127"/>
        <v>8.8818711141813882</v>
      </c>
      <c r="AB45" s="24">
        <f t="shared" si="127"/>
        <v>0</v>
      </c>
      <c r="AC45" s="24">
        <f t="shared" si="127"/>
        <v>8.5858087437086734</v>
      </c>
      <c r="AD45" s="24">
        <f t="shared" si="127"/>
        <v>12.237244646205468</v>
      </c>
      <c r="AE45" s="24">
        <f t="shared" si="127"/>
        <v>2.2698115069574656</v>
      </c>
      <c r="AF45" s="24">
        <f t="shared" si="127"/>
        <v>0.20724365933089905</v>
      </c>
      <c r="AG45" s="24">
        <f t="shared" si="127"/>
        <v>0</v>
      </c>
      <c r="AH45" s="24">
        <f t="shared" si="127"/>
        <v>3.5527484456725551</v>
      </c>
      <c r="AI45" s="14">
        <f t="shared" si="123"/>
        <v>100</v>
      </c>
      <c r="AJ45" s="26"/>
      <c r="AK45" s="50">
        <f t="shared" si="70"/>
        <v>0.81459441811985145</v>
      </c>
      <c r="AL45" s="47">
        <f t="shared" si="71"/>
        <v>1.1363261611802081E-2</v>
      </c>
      <c r="AM45" s="47">
        <f t="shared" si="72"/>
        <v>0.14131393385973612</v>
      </c>
      <c r="AN45" s="49">
        <f t="shared" si="73"/>
        <v>0</v>
      </c>
      <c r="AO45" s="49">
        <f t="shared" si="74"/>
        <v>0.12361685614727055</v>
      </c>
      <c r="AP45" s="47">
        <f t="shared" si="75"/>
        <v>0</v>
      </c>
      <c r="AQ45" s="47">
        <f t="shared" si="76"/>
        <v>0.21294168511182227</v>
      </c>
      <c r="AR45" s="47">
        <f t="shared" si="77"/>
        <v>0.21821049654432007</v>
      </c>
      <c r="AS45" s="47">
        <f t="shared" si="78"/>
        <v>3.6621676459462175E-2</v>
      </c>
      <c r="AT45" s="47">
        <f t="shared" si="79"/>
        <v>2.2000388464002022E-3</v>
      </c>
      <c r="AU45" s="47">
        <f t="shared" si="80"/>
        <v>0</v>
      </c>
      <c r="AV45" s="47">
        <f t="shared" si="81"/>
        <v>0.19715585159115179</v>
      </c>
      <c r="AW45" s="47">
        <f t="shared" si="82"/>
        <v>1.7580182182918169</v>
      </c>
      <c r="AX45" s="47">
        <f t="shared" si="83"/>
        <v>8.8362922483931974E-2</v>
      </c>
      <c r="AY45" s="46">
        <f t="shared" si="84"/>
        <v>1.7632566375644011E-2</v>
      </c>
      <c r="AZ45" s="26"/>
      <c r="BA45" s="23">
        <f t="shared" si="85"/>
        <v>0.46335948606457233</v>
      </c>
      <c r="BB45" s="13">
        <f t="shared" si="6"/>
        <v>6.4636768228961954E-3</v>
      </c>
      <c r="BC45" s="13">
        <f t="shared" si="7"/>
        <v>8.0382519583354586E-2</v>
      </c>
      <c r="BD45" s="13">
        <f t="shared" si="8"/>
        <v>0</v>
      </c>
      <c r="BE45" s="13">
        <f t="shared" si="9"/>
        <v>7.031602679714162E-2</v>
      </c>
      <c r="BF45" s="13">
        <f t="shared" si="10"/>
        <v>5.0262802492337104E-2</v>
      </c>
      <c r="BG45" s="13">
        <f t="shared" si="11"/>
        <v>1.002979729799202E-2</v>
      </c>
      <c r="BH45" s="13">
        <f t="shared" si="12"/>
        <v>0</v>
      </c>
      <c r="BI45" s="13">
        <f t="shared" si="13"/>
        <v>0.12112598316457017</v>
      </c>
      <c r="BJ45" s="13">
        <f t="shared" si="14"/>
        <v>0.12412300070265761</v>
      </c>
      <c r="BK45" s="13">
        <f t="shared" si="15"/>
        <v>2.0831226934067682E-2</v>
      </c>
      <c r="BL45" s="13">
        <f t="shared" si="16"/>
        <v>1.2514311987835232E-3</v>
      </c>
      <c r="BM45" s="13">
        <f t="shared" si="17"/>
        <v>0</v>
      </c>
      <c r="BN45" s="13">
        <f t="shared" si="86"/>
        <v>0.11214664873195614</v>
      </c>
      <c r="BO45" s="12">
        <f t="shared" si="87"/>
        <v>0.88785335126804377</v>
      </c>
      <c r="BP45" s="13"/>
      <c r="BQ45" s="23">
        <f t="shared" si="88"/>
        <v>1.6291888362397029</v>
      </c>
      <c r="BR45" s="13">
        <f t="shared" si="18"/>
        <v>2.2726523223604161E-2</v>
      </c>
      <c r="BS45" s="13">
        <f t="shared" si="19"/>
        <v>0.42377554989231453</v>
      </c>
      <c r="BT45" s="13">
        <f t="shared" si="20"/>
        <v>0</v>
      </c>
      <c r="BU45" s="13">
        <f t="shared" si="21"/>
        <v>0.12361685614727055</v>
      </c>
      <c r="BV45" s="13">
        <f t="shared" si="89"/>
        <v>8.8362922483931974E-2</v>
      </c>
      <c r="BW45" s="24">
        <f t="shared" si="90"/>
        <v>5.2897699126932034E-2</v>
      </c>
      <c r="BX45" s="13">
        <f t="shared" si="22"/>
        <v>0</v>
      </c>
      <c r="BY45" s="13">
        <f t="shared" si="23"/>
        <v>0.21304736336746088</v>
      </c>
      <c r="BZ45" s="13">
        <f t="shared" si="24"/>
        <v>0.21813270314091743</v>
      </c>
      <c r="CA45" s="13">
        <f t="shared" si="25"/>
        <v>3.6609863015442994E-2</v>
      </c>
      <c r="CB45" s="13">
        <f t="shared" si="26"/>
        <v>2.2000388464002022E-3</v>
      </c>
      <c r="CC45" s="13">
        <f t="shared" si="27"/>
        <v>0</v>
      </c>
      <c r="CD45" s="13">
        <f t="shared" si="91"/>
        <v>0.19715585159115179</v>
      </c>
      <c r="CE45" s="12">
        <f t="shared" si="92"/>
        <v>2.8664535854642654</v>
      </c>
      <c r="CF45" s="13"/>
      <c r="CG45" s="23">
        <f t="shared" si="129"/>
        <v>0.56836393392214346</v>
      </c>
      <c r="CH45" s="13">
        <f t="shared" si="129"/>
        <v>7.9284462650467992E-3</v>
      </c>
      <c r="CI45" s="13">
        <f t="shared" si="129"/>
        <v>0.14783966921399763</v>
      </c>
      <c r="CJ45" s="13">
        <f t="shared" si="129"/>
        <v>0</v>
      </c>
      <c r="CK45" s="13">
        <f t="shared" si="128"/>
        <v>4.312536465761365E-2</v>
      </c>
      <c r="CL45" s="13">
        <f t="shared" si="128"/>
        <v>3.0826566643890125E-2</v>
      </c>
      <c r="CM45" s="13">
        <f t="shared" si="128"/>
        <v>1.8454057444074908E-2</v>
      </c>
      <c r="CN45" s="13">
        <f t="shared" si="128"/>
        <v>0</v>
      </c>
      <c r="CO45" s="13">
        <f t="shared" si="128"/>
        <v>7.432437226537357E-2</v>
      </c>
      <c r="CP45" s="13">
        <f t="shared" si="128"/>
        <v>7.6098459869388582E-2</v>
      </c>
      <c r="CQ45" s="13">
        <f t="shared" si="128"/>
        <v>1.2771831785831437E-2</v>
      </c>
      <c r="CR45" s="13">
        <f t="shared" si="128"/>
        <v>7.6751246123661643E-4</v>
      </c>
      <c r="CS45" s="13">
        <f t="shared" si="128"/>
        <v>0</v>
      </c>
      <c r="CT45" s="13">
        <f t="shared" si="128"/>
        <v>6.8780409559368261E-2</v>
      </c>
      <c r="CU45" s="12">
        <f t="shared" si="29"/>
        <v>1</v>
      </c>
      <c r="CV45" s="26"/>
      <c r="CW45" s="23">
        <f t="shared" si="30"/>
        <v>0.81459441811985145</v>
      </c>
      <c r="CX45" s="13">
        <f t="shared" si="31"/>
        <v>1.1363261611802081E-2</v>
      </c>
      <c r="CY45" s="13">
        <f t="shared" si="32"/>
        <v>0.28251703326154304</v>
      </c>
      <c r="CZ45" s="13">
        <f t="shared" si="33"/>
        <v>0</v>
      </c>
      <c r="DA45" s="13">
        <f t="shared" si="34"/>
        <v>0.17270194986072424</v>
      </c>
      <c r="DB45" s="13">
        <f t="shared" si="35"/>
        <v>8.8362922483931974E-2</v>
      </c>
      <c r="DC45" s="24">
        <f t="shared" si="36"/>
        <v>3.5265132751288022E-2</v>
      </c>
      <c r="DD45" s="13">
        <f t="shared" si="37"/>
        <v>0</v>
      </c>
      <c r="DE45" s="13">
        <f t="shared" si="38"/>
        <v>0.21304736336746088</v>
      </c>
      <c r="DF45" s="13">
        <f t="shared" si="39"/>
        <v>0.21813270314091743</v>
      </c>
      <c r="DG45" s="13">
        <f t="shared" si="40"/>
        <v>7.3219726030885987E-2</v>
      </c>
      <c r="DH45" s="13">
        <f t="shared" si="41"/>
        <v>4.4000776928004044E-3</v>
      </c>
      <c r="DI45" s="13">
        <f t="shared" si="42"/>
        <v>0</v>
      </c>
      <c r="DJ45" s="13">
        <f t="shared" si="93"/>
        <v>0.39431170318230357</v>
      </c>
      <c r="DK45" s="12">
        <f t="shared" si="94"/>
        <v>2.1842882362682894</v>
      </c>
      <c r="DL45" s="26"/>
      <c r="DM45" s="23">
        <f t="shared" si="154"/>
        <v>0.37293357378123854</v>
      </c>
      <c r="DN45" s="13">
        <f t="shared" si="154"/>
        <v>5.2022720367781933E-3</v>
      </c>
      <c r="DO45" s="13">
        <f t="shared" si="153"/>
        <v>0.12934054607381146</v>
      </c>
      <c r="DP45" s="13">
        <f t="shared" si="153"/>
        <v>0</v>
      </c>
      <c r="DQ45" s="13">
        <f t="shared" si="153"/>
        <v>7.9065549588718198E-2</v>
      </c>
      <c r="DR45" s="13">
        <f t="shared" si="153"/>
        <v>4.0453874638309698E-2</v>
      </c>
      <c r="DS45" s="13">
        <f t="shared" si="153"/>
        <v>1.6144908060090158E-2</v>
      </c>
      <c r="DT45" s="13">
        <f t="shared" si="153"/>
        <v>0</v>
      </c>
      <c r="DU45" s="13">
        <f t="shared" si="153"/>
        <v>9.7536286571518638E-2</v>
      </c>
      <c r="DV45" s="13">
        <f t="shared" si="153"/>
        <v>9.9864431588746083E-2</v>
      </c>
      <c r="DW45" s="13">
        <f t="shared" si="153"/>
        <v>3.3521091591820776E-2</v>
      </c>
      <c r="DX45" s="13">
        <f t="shared" si="153"/>
        <v>2.0144217323248711E-3</v>
      </c>
      <c r="DY45" s="13">
        <f t="shared" si="153"/>
        <v>0</v>
      </c>
      <c r="DZ45" s="13">
        <f t="shared" si="153"/>
        <v>0.18052182703504313</v>
      </c>
      <c r="EA45" s="12">
        <f t="shared" si="44"/>
        <v>1</v>
      </c>
      <c r="EB45" s="26"/>
      <c r="EC45" s="30">
        <f t="shared" si="45"/>
        <v>1323</v>
      </c>
      <c r="ED45" s="14">
        <f t="shared" si="96"/>
        <v>100000</v>
      </c>
      <c r="EE45" s="29"/>
      <c r="EF45" s="128">
        <f t="shared" si="124"/>
        <v>-8.7342365835222964</v>
      </c>
      <c r="EG45" s="13">
        <f t="shared" si="97"/>
        <v>1.5</v>
      </c>
      <c r="EH45" s="13">
        <f t="shared" si="98"/>
        <v>0.74926606198035017</v>
      </c>
      <c r="EI45" s="12">
        <f t="shared" si="46"/>
        <v>5.3414996220710531</v>
      </c>
      <c r="EJ45" s="29"/>
      <c r="EK45" s="28">
        <f t="shared" si="99"/>
        <v>-1.612022516985425</v>
      </c>
      <c r="EL45" s="24">
        <f t="shared" si="100"/>
        <v>-0.69996635561677156</v>
      </c>
      <c r="EM45" s="24">
        <f t="shared" si="101"/>
        <v>0.19948374653265458</v>
      </c>
      <c r="EN45" s="24">
        <f t="shared" si="102"/>
        <v>5.0262802492337111E-2</v>
      </c>
      <c r="EO45" s="24">
        <f t="shared" si="103"/>
        <v>1.0026612152402255E-2</v>
      </c>
      <c r="EP45" s="24">
        <f t="shared" si="104"/>
        <v>0.28518710766547012</v>
      </c>
      <c r="EQ45" s="24">
        <f t="shared" si="105"/>
        <v>-1.6117048982586613</v>
      </c>
      <c r="ER45" s="24">
        <f t="shared" si="47"/>
        <v>-20.109295756269134</v>
      </c>
      <c r="ES45" s="25">
        <f t="shared" si="48"/>
        <v>-8.7317827860482566</v>
      </c>
      <c r="ET45" s="26">
        <v>3.6</v>
      </c>
      <c r="EU45" s="26">
        <v>0.29083888041780526</v>
      </c>
      <c r="EV45" s="26">
        <v>0.37361588348720587</v>
      </c>
      <c r="EW45" s="26">
        <v>0.28518710766547012</v>
      </c>
      <c r="EX45" s="26">
        <v>0.37198401444545104</v>
      </c>
      <c r="EY45" s="26">
        <f t="shared" si="106"/>
        <v>0.99563222787392358</v>
      </c>
      <c r="EZ45" s="26">
        <f t="shared" si="107"/>
        <v>1.019817770861384</v>
      </c>
      <c r="FA45" s="23">
        <f t="shared" si="125"/>
        <v>-1.2707639970209605</v>
      </c>
      <c r="FB45" s="190">
        <f t="shared" si="108"/>
        <v>5.0881114777009628E-2</v>
      </c>
      <c r="FC45" s="124">
        <v>6.2646889236044334E-2</v>
      </c>
      <c r="FD45" s="26"/>
      <c r="FE45" s="27">
        <f t="shared" si="109"/>
        <v>0.88818423022188309</v>
      </c>
      <c r="FF45" s="26"/>
      <c r="FG45" s="23">
        <f t="shared" si="130"/>
        <v>-4.4650984185170683</v>
      </c>
      <c r="FH45" s="13">
        <f t="shared" si="50"/>
        <v>14.101482293049983</v>
      </c>
      <c r="FI45" s="13">
        <f t="shared" si="131"/>
        <v>-21.845149910644157</v>
      </c>
      <c r="FJ45" s="13">
        <f t="shared" si="132"/>
        <v>0.18908471040783326</v>
      </c>
      <c r="FK45" s="12">
        <f t="shared" si="53"/>
        <v>0.54713083869114998</v>
      </c>
      <c r="FL45" s="13"/>
      <c r="FM45" s="23">
        <f t="shared" si="133"/>
        <v>-6.0632457792705585</v>
      </c>
      <c r="FN45" s="13">
        <f t="shared" si="134"/>
        <v>11.332432495411926</v>
      </c>
      <c r="FO45" s="13">
        <f t="shared" si="135"/>
        <v>11.853398064954632</v>
      </c>
      <c r="FP45" s="24">
        <f t="shared" si="136"/>
        <v>0.45819372557514093</v>
      </c>
      <c r="FQ45" s="25">
        <f t="shared" si="137"/>
        <v>0.73729398632586063</v>
      </c>
      <c r="FR45" s="13"/>
      <c r="FS45" s="23">
        <f t="shared" si="111"/>
        <v>11.053762991452061</v>
      </c>
      <c r="FT45" s="13">
        <f t="shared" si="126"/>
        <v>-6.1872637541710551</v>
      </c>
      <c r="FU45" s="13">
        <f t="shared" si="138"/>
        <v>-0.22744642142147597</v>
      </c>
      <c r="FV45" s="13">
        <f t="shared" si="58"/>
        <v>0.37198401444545104</v>
      </c>
      <c r="FW45" s="23">
        <f t="shared" si="139"/>
        <v>-0.22752896110401721</v>
      </c>
      <c r="FX45" s="13">
        <f t="shared" si="140"/>
        <v>0.37193961649821217</v>
      </c>
      <c r="FY45" s="13">
        <f t="shared" si="141"/>
        <v>-0.22749661038595193</v>
      </c>
      <c r="FZ45" s="13">
        <f t="shared" si="116"/>
        <v>0.37195701763396705</v>
      </c>
      <c r="GA45" s="13">
        <f t="shared" si="142"/>
        <v>-0.2275372755409002</v>
      </c>
      <c r="GB45" s="12">
        <f t="shared" si="118"/>
        <v>0.37193514429732166</v>
      </c>
      <c r="GC45" s="22"/>
      <c r="GD45" s="11">
        <f t="shared" si="143"/>
        <v>1.5</v>
      </c>
      <c r="GE45" s="10">
        <f t="shared" si="144"/>
        <v>0.74926606198035017</v>
      </c>
      <c r="GF45" s="10">
        <f t="shared" si="145"/>
        <v>5.3414996220710531</v>
      </c>
      <c r="GG45" s="5">
        <f t="shared" si="146"/>
        <v>-8.7342365835222964</v>
      </c>
      <c r="GH45" s="10">
        <f t="shared" si="147"/>
        <v>0.28518710766547012</v>
      </c>
      <c r="GI45" s="9">
        <f t="shared" si="119"/>
        <v>11.053762991452061</v>
      </c>
      <c r="GJ45" s="8">
        <f t="shared" si="120"/>
        <v>-6.1872637541710551</v>
      </c>
      <c r="GK45" s="8">
        <f t="shared" si="121"/>
        <v>0.37198401444545104</v>
      </c>
      <c r="GL45" s="7">
        <f t="shared" si="122"/>
        <v>0.37193961649821217</v>
      </c>
      <c r="GM45" s="6">
        <f t="shared" si="148"/>
        <v>0.45819372557514093</v>
      </c>
      <c r="GN45" s="5">
        <f t="shared" si="149"/>
        <v>0.73729398632586063</v>
      </c>
      <c r="GO45" s="4">
        <f t="shared" si="150"/>
        <v>0.54713083869114998</v>
      </c>
      <c r="GP45" s="4">
        <f t="shared" si="151"/>
        <v>0.88818423022188309</v>
      </c>
      <c r="GQ45" s="4">
        <f t="shared" si="152"/>
        <v>5.0881114777009628E-2</v>
      </c>
      <c r="GR45" s="1"/>
    </row>
    <row r="46" spans="1:200" x14ac:dyDescent="0.4">
      <c r="A46" s="34"/>
      <c r="B46" s="21"/>
      <c r="C46" s="21"/>
      <c r="D46" s="34"/>
      <c r="E46" s="34"/>
      <c r="F46" s="20" t="s">
        <v>83</v>
      </c>
      <c r="G46" s="19">
        <v>1050</v>
      </c>
      <c r="H46" s="18">
        <v>1E-4</v>
      </c>
      <c r="I46" s="17">
        <v>1.5</v>
      </c>
      <c r="J46" s="16">
        <v>49.6</v>
      </c>
      <c r="K46" s="16">
        <v>0.92</v>
      </c>
      <c r="L46" s="16">
        <v>14.6</v>
      </c>
      <c r="M46" s="16">
        <v>0</v>
      </c>
      <c r="N46" s="16">
        <v>9</v>
      </c>
      <c r="O46" s="16">
        <v>0</v>
      </c>
      <c r="P46" s="16">
        <v>8.6999999999999993</v>
      </c>
      <c r="Q46" s="16">
        <v>12.4</v>
      </c>
      <c r="R46" s="16">
        <v>2.2999999999999998</v>
      </c>
      <c r="S46" s="16">
        <v>0.21</v>
      </c>
      <c r="T46" s="16">
        <v>0</v>
      </c>
      <c r="U46" s="15">
        <v>3.7</v>
      </c>
      <c r="V46" s="16"/>
      <c r="W46" s="28">
        <f t="shared" si="69"/>
        <v>48.900719708173121</v>
      </c>
      <c r="X46" s="24">
        <f t="shared" si="127"/>
        <v>0.90702947845804993</v>
      </c>
      <c r="Y46" s="24">
        <f t="shared" si="127"/>
        <v>14.394163462486443</v>
      </c>
      <c r="Z46" s="24">
        <f t="shared" si="127"/>
        <v>0</v>
      </c>
      <c r="AA46" s="24">
        <f t="shared" si="127"/>
        <v>8.8731144631765755</v>
      </c>
      <c r="AB46" s="24">
        <f t="shared" si="127"/>
        <v>0</v>
      </c>
      <c r="AC46" s="24">
        <f t="shared" si="127"/>
        <v>8.5773439810706886</v>
      </c>
      <c r="AD46" s="24">
        <f t="shared" si="127"/>
        <v>12.22517992704328</v>
      </c>
      <c r="AE46" s="24">
        <f t="shared" si="127"/>
        <v>2.2675736961451243</v>
      </c>
      <c r="AF46" s="24">
        <f t="shared" si="127"/>
        <v>0.20703933747412007</v>
      </c>
      <c r="AG46" s="24">
        <f t="shared" si="127"/>
        <v>0</v>
      </c>
      <c r="AH46" s="24">
        <f t="shared" si="127"/>
        <v>3.647835945972592</v>
      </c>
      <c r="AI46" s="14">
        <f t="shared" si="123"/>
        <v>99.999999999999986</v>
      </c>
      <c r="AJ46" s="26"/>
      <c r="AK46" s="50">
        <f t="shared" si="70"/>
        <v>0.81379130817395773</v>
      </c>
      <c r="AL46" s="47">
        <f t="shared" si="71"/>
        <v>1.1352058553918021E-2</v>
      </c>
      <c r="AM46" s="47">
        <f t="shared" si="72"/>
        <v>0.14117461222524955</v>
      </c>
      <c r="AN46" s="49">
        <f t="shared" si="73"/>
        <v>0</v>
      </c>
      <c r="AO46" s="49">
        <f t="shared" si="74"/>
        <v>0.12349498209014025</v>
      </c>
      <c r="AP46" s="47">
        <f t="shared" si="75"/>
        <v>0</v>
      </c>
      <c r="AQ46" s="47">
        <f t="shared" si="76"/>
        <v>0.21273174556226906</v>
      </c>
      <c r="AR46" s="47">
        <f t="shared" si="77"/>
        <v>0.21799536246510842</v>
      </c>
      <c r="AS46" s="47">
        <f t="shared" si="78"/>
        <v>3.6585571089789035E-2</v>
      </c>
      <c r="AT46" s="47">
        <f t="shared" si="79"/>
        <v>2.1978698245660303E-3</v>
      </c>
      <c r="AU46" s="47">
        <f t="shared" si="80"/>
        <v>0</v>
      </c>
      <c r="AV46" s="47">
        <f t="shared" si="81"/>
        <v>0.20243262741246348</v>
      </c>
      <c r="AW46" s="47">
        <f t="shared" si="82"/>
        <v>1.7617561373974615</v>
      </c>
      <c r="AX46" s="47">
        <f t="shared" si="83"/>
        <v>8.8292862523270788E-2</v>
      </c>
      <c r="AY46" s="46">
        <f t="shared" si="84"/>
        <v>1.760665109753886E-2</v>
      </c>
      <c r="AZ46" s="26"/>
      <c r="BA46" s="23">
        <f t="shared" si="85"/>
        <v>0.46192051833923148</v>
      </c>
      <c r="BB46" s="13">
        <f t="shared" si="6"/>
        <v>6.4436038069875818E-3</v>
      </c>
      <c r="BC46" s="13">
        <f t="shared" si="7"/>
        <v>8.0132890828919418E-2</v>
      </c>
      <c r="BD46" s="13">
        <f t="shared" si="8"/>
        <v>0</v>
      </c>
      <c r="BE46" s="13">
        <f t="shared" si="9"/>
        <v>7.009765964123281E-2</v>
      </c>
      <c r="BF46" s="13">
        <f t="shared" si="10"/>
        <v>5.0116392756661902E-2</v>
      </c>
      <c r="BG46" s="13">
        <f t="shared" si="11"/>
        <v>9.9938071585481333E-3</v>
      </c>
      <c r="BH46" s="13">
        <f t="shared" si="12"/>
        <v>0</v>
      </c>
      <c r="BI46" s="13">
        <f t="shared" si="13"/>
        <v>0.12074982515827935</v>
      </c>
      <c r="BJ46" s="13">
        <f t="shared" si="14"/>
        <v>0.12373753542708818</v>
      </c>
      <c r="BK46" s="13">
        <f t="shared" si="15"/>
        <v>2.0766535341170851E-2</v>
      </c>
      <c r="BL46" s="13">
        <f t="shared" si="16"/>
        <v>1.2475448661202417E-3</v>
      </c>
      <c r="BM46" s="13">
        <f t="shared" si="17"/>
        <v>0</v>
      </c>
      <c r="BN46" s="13">
        <f t="shared" si="86"/>
        <v>0.11490388659097012</v>
      </c>
      <c r="BO46" s="12">
        <f t="shared" si="87"/>
        <v>0.88509611340903005</v>
      </c>
      <c r="BP46" s="13"/>
      <c r="BQ46" s="23">
        <f t="shared" si="88"/>
        <v>1.6275826163479155</v>
      </c>
      <c r="BR46" s="13">
        <f t="shared" si="18"/>
        <v>2.2704117107836042E-2</v>
      </c>
      <c r="BS46" s="13">
        <f t="shared" si="19"/>
        <v>0.42335774889666006</v>
      </c>
      <c r="BT46" s="13">
        <f t="shared" si="20"/>
        <v>0</v>
      </c>
      <c r="BU46" s="13">
        <f t="shared" si="21"/>
        <v>0.12349498209014025</v>
      </c>
      <c r="BV46" s="13">
        <f t="shared" si="89"/>
        <v>8.8292862523270788E-2</v>
      </c>
      <c r="BW46" s="24">
        <f t="shared" si="90"/>
        <v>5.2819953292616587E-2</v>
      </c>
      <c r="BX46" s="13">
        <f t="shared" si="22"/>
        <v>0</v>
      </c>
      <c r="BY46" s="13">
        <f t="shared" si="23"/>
        <v>0.21283731962954563</v>
      </c>
      <c r="BZ46" s="13">
        <f t="shared" si="24"/>
        <v>0.21791764575834724</v>
      </c>
      <c r="CA46" s="13">
        <f t="shared" si="25"/>
        <v>3.6573769292663295E-2</v>
      </c>
      <c r="CB46" s="13">
        <f t="shared" si="26"/>
        <v>2.1978698245660303E-3</v>
      </c>
      <c r="CC46" s="13">
        <f t="shared" si="27"/>
        <v>0</v>
      </c>
      <c r="CD46" s="13">
        <f t="shared" si="91"/>
        <v>0.20243262741246348</v>
      </c>
      <c r="CE46" s="12">
        <f t="shared" si="92"/>
        <v>2.8690986963601368</v>
      </c>
      <c r="CF46" s="13"/>
      <c r="CG46" s="23">
        <f t="shared" si="129"/>
        <v>0.56728010730782363</v>
      </c>
      <c r="CH46" s="13">
        <f t="shared" si="129"/>
        <v>7.913327323538737E-3</v>
      </c>
      <c r="CI46" s="13">
        <f t="shared" si="129"/>
        <v>0.14755775025576851</v>
      </c>
      <c r="CJ46" s="13">
        <f t="shared" si="129"/>
        <v>0</v>
      </c>
      <c r="CK46" s="13">
        <f t="shared" si="128"/>
        <v>4.3043127880825899E-2</v>
      </c>
      <c r="CL46" s="13">
        <f t="shared" si="128"/>
        <v>3.0773727873245681E-2</v>
      </c>
      <c r="CM46" s="13">
        <f t="shared" si="128"/>
        <v>1.8409946426599502E-2</v>
      </c>
      <c r="CN46" s="13">
        <f t="shared" si="128"/>
        <v>0</v>
      </c>
      <c r="CO46" s="13">
        <f t="shared" si="128"/>
        <v>7.4182641363840257E-2</v>
      </c>
      <c r="CP46" s="13">
        <f t="shared" si="128"/>
        <v>7.5953345918286827E-2</v>
      </c>
      <c r="CQ46" s="13">
        <f t="shared" si="128"/>
        <v>1.2747476878039213E-2</v>
      </c>
      <c r="CR46" s="13">
        <f t="shared" si="128"/>
        <v>7.6604887359028233E-4</v>
      </c>
      <c r="CS46" s="13">
        <f t="shared" si="128"/>
        <v>0</v>
      </c>
      <c r="CT46" s="13">
        <f t="shared" si="128"/>
        <v>7.0556174198286831E-2</v>
      </c>
      <c r="CU46" s="12">
        <f t="shared" si="29"/>
        <v>1.0000000000000002</v>
      </c>
      <c r="CV46" s="26"/>
      <c r="CW46" s="23">
        <f t="shared" si="30"/>
        <v>0.81379130817395773</v>
      </c>
      <c r="CX46" s="13">
        <f t="shared" si="31"/>
        <v>1.1352058553918021E-2</v>
      </c>
      <c r="CY46" s="13">
        <f t="shared" si="32"/>
        <v>0.28223849926444006</v>
      </c>
      <c r="CZ46" s="13">
        <f t="shared" si="33"/>
        <v>0</v>
      </c>
      <c r="DA46" s="13">
        <f t="shared" si="34"/>
        <v>0.17270194986072424</v>
      </c>
      <c r="DB46" s="13">
        <f t="shared" si="35"/>
        <v>8.8292862523270788E-2</v>
      </c>
      <c r="DC46" s="24">
        <f t="shared" si="36"/>
        <v>3.521330219507772E-2</v>
      </c>
      <c r="DD46" s="13">
        <f t="shared" si="37"/>
        <v>0</v>
      </c>
      <c r="DE46" s="13">
        <f t="shared" si="38"/>
        <v>0.21283731962954563</v>
      </c>
      <c r="DF46" s="13">
        <f t="shared" si="39"/>
        <v>0.21791764575834724</v>
      </c>
      <c r="DG46" s="13">
        <f t="shared" si="40"/>
        <v>7.3147538585326591E-2</v>
      </c>
      <c r="DH46" s="13">
        <f t="shared" si="41"/>
        <v>4.3957396491320607E-3</v>
      </c>
      <c r="DI46" s="13">
        <f t="shared" si="42"/>
        <v>0</v>
      </c>
      <c r="DJ46" s="13">
        <f t="shared" si="93"/>
        <v>0.40486525482492697</v>
      </c>
      <c r="DK46" s="12">
        <f t="shared" si="94"/>
        <v>2.1932473143003186</v>
      </c>
      <c r="DL46" s="26"/>
      <c r="DM46" s="23">
        <f t="shared" si="154"/>
        <v>0.37104402356629368</v>
      </c>
      <c r="DN46" s="13">
        <f t="shared" si="154"/>
        <v>5.175913577963054E-3</v>
      </c>
      <c r="DO46" s="13">
        <f t="shared" si="153"/>
        <v>0.12868521366660318</v>
      </c>
      <c r="DP46" s="13">
        <f t="shared" si="153"/>
        <v>0</v>
      </c>
      <c r="DQ46" s="13">
        <f t="shared" si="153"/>
        <v>7.8742578976242331E-2</v>
      </c>
      <c r="DR46" s="13">
        <f t="shared" si="153"/>
        <v>4.025668329676612E-2</v>
      </c>
      <c r="DS46" s="13">
        <f t="shared" si="153"/>
        <v>1.6055326713718711E-2</v>
      </c>
      <c r="DT46" s="13">
        <f t="shared" si="153"/>
        <v>0</v>
      </c>
      <c r="DU46" s="13">
        <f t="shared" si="153"/>
        <v>9.7042097460606797E-2</v>
      </c>
      <c r="DV46" s="13">
        <f t="shared" si="153"/>
        <v>9.9358446417551635E-2</v>
      </c>
      <c r="DW46" s="13">
        <f t="shared" si="153"/>
        <v>3.3351249587036128E-2</v>
      </c>
      <c r="DX46" s="13">
        <f t="shared" si="153"/>
        <v>2.0042152202677482E-3</v>
      </c>
      <c r="DY46" s="13">
        <f t="shared" si="153"/>
        <v>0</v>
      </c>
      <c r="DZ46" s="13">
        <f t="shared" si="153"/>
        <v>0.18459626152743541</v>
      </c>
      <c r="EA46" s="12">
        <f t="shared" si="44"/>
        <v>1</v>
      </c>
      <c r="EB46" s="26"/>
      <c r="EC46" s="30">
        <f t="shared" si="45"/>
        <v>1323</v>
      </c>
      <c r="ED46" s="14">
        <f t="shared" si="96"/>
        <v>100000</v>
      </c>
      <c r="EE46" s="29"/>
      <c r="EF46" s="128">
        <f t="shared" si="124"/>
        <v>-8.7342365835222964</v>
      </c>
      <c r="EG46" s="13">
        <f t="shared" si="97"/>
        <v>1.5</v>
      </c>
      <c r="EH46" s="13">
        <f t="shared" si="98"/>
        <v>0.74926606198035017</v>
      </c>
      <c r="EI46" s="12">
        <f t="shared" si="46"/>
        <v>5.3414996220710531</v>
      </c>
      <c r="EJ46" s="29"/>
      <c r="EK46" s="28">
        <f t="shared" si="99"/>
        <v>-1.6127001570176436</v>
      </c>
      <c r="EL46" s="24">
        <f t="shared" si="100"/>
        <v>-0.70026059792342321</v>
      </c>
      <c r="EM46" s="24">
        <f t="shared" si="101"/>
        <v>0.19934861415095387</v>
      </c>
      <c r="EN46" s="24">
        <f t="shared" si="102"/>
        <v>5.0116392756661902E-2</v>
      </c>
      <c r="EO46" s="24">
        <f t="shared" si="103"/>
        <v>9.9906334422854536E-3</v>
      </c>
      <c r="EP46" s="24">
        <f t="shared" si="104"/>
        <v>0.28504898718212751</v>
      </c>
      <c r="EQ46" s="24">
        <f t="shared" si="105"/>
        <v>-1.6123825382908799</v>
      </c>
      <c r="ER46" s="24">
        <f t="shared" si="47"/>
        <v>-20.10929575626913</v>
      </c>
      <c r="ES46" s="25">
        <f t="shared" si="48"/>
        <v>-8.7317827860482549</v>
      </c>
      <c r="ET46" s="26">
        <v>3.7</v>
      </c>
      <c r="EU46" s="26">
        <v>0.2908388804178052</v>
      </c>
      <c r="EV46" s="26">
        <v>0.37609679707304322</v>
      </c>
      <c r="EW46" s="26">
        <v>0.28504898718212751</v>
      </c>
      <c r="EX46" s="26">
        <v>0.37442588222683282</v>
      </c>
      <c r="EY46" s="26">
        <f t="shared" si="106"/>
        <v>0.99555722128129187</v>
      </c>
      <c r="EZ46" s="26">
        <f t="shared" si="107"/>
        <v>1.020311923550103</v>
      </c>
      <c r="FA46" s="23">
        <f t="shared" si="125"/>
        <v>-1.2731183596346334</v>
      </c>
      <c r="FB46" s="190">
        <f t="shared" si="108"/>
        <v>5.0619953303888021E-2</v>
      </c>
      <c r="FC46" s="124">
        <v>6.2646889236044334E-2</v>
      </c>
      <c r="FD46" s="26"/>
      <c r="FE46" s="27">
        <f t="shared" si="109"/>
        <v>0.88818423022188309</v>
      </c>
      <c r="FF46" s="26"/>
      <c r="FG46" s="23">
        <f t="shared" si="130"/>
        <v>-4.4864220903316507</v>
      </c>
      <c r="FH46" s="13">
        <f t="shared" si="50"/>
        <v>14.070303025477433</v>
      </c>
      <c r="FI46" s="13">
        <f t="shared" si="131"/>
        <v>-21.845149910644157</v>
      </c>
      <c r="FJ46" s="13">
        <f t="shared" si="132"/>
        <v>0.17922911464987124</v>
      </c>
      <c r="FK46" s="12">
        <f t="shared" si="53"/>
        <v>0.54468771708325514</v>
      </c>
      <c r="FL46" s="13"/>
      <c r="FM46" s="23">
        <f t="shared" si="133"/>
        <v>-6.0639390324526881</v>
      </c>
      <c r="FN46" s="13">
        <f t="shared" si="134"/>
        <v>11.328282792940119</v>
      </c>
      <c r="FO46" s="13">
        <f t="shared" si="135"/>
        <v>11.84932938630422</v>
      </c>
      <c r="FP46" s="24">
        <f t="shared" si="136"/>
        <v>0.45621861107524553</v>
      </c>
      <c r="FQ46" s="25">
        <f t="shared" si="137"/>
        <v>0.73578580195775145</v>
      </c>
      <c r="FR46" s="13"/>
      <c r="FS46" s="23">
        <f t="shared" si="111"/>
        <v>11.059995675607382</v>
      </c>
      <c r="FT46" s="13">
        <f t="shared" si="126"/>
        <v>-6.1855645810750364</v>
      </c>
      <c r="FU46" s="13">
        <f t="shared" si="138"/>
        <v>-0.22291291036217586</v>
      </c>
      <c r="FV46" s="13">
        <f t="shared" si="58"/>
        <v>0.37442588222683282</v>
      </c>
      <c r="FW46" s="23">
        <f t="shared" si="139"/>
        <v>-0.2229954500447171</v>
      </c>
      <c r="FX46" s="13">
        <f t="shared" si="140"/>
        <v>0.37438136657359677</v>
      </c>
      <c r="FY46" s="13">
        <f t="shared" si="141"/>
        <v>-0.22296309932665181</v>
      </c>
      <c r="FZ46" s="13">
        <f t="shared" si="116"/>
        <v>0.37439881384744489</v>
      </c>
      <c r="GA46" s="13">
        <f t="shared" si="142"/>
        <v>-0.22300376448160009</v>
      </c>
      <c r="GB46" s="12">
        <f t="shared" si="118"/>
        <v>0.37437688251390222</v>
      </c>
      <c r="GC46" s="22"/>
      <c r="GD46" s="11">
        <f t="shared" si="143"/>
        <v>1.5</v>
      </c>
      <c r="GE46" s="10">
        <f t="shared" si="144"/>
        <v>0.74926606198035017</v>
      </c>
      <c r="GF46" s="10">
        <f t="shared" si="145"/>
        <v>5.3414996220710531</v>
      </c>
      <c r="GG46" s="5">
        <f t="shared" si="146"/>
        <v>-8.7342365835222964</v>
      </c>
      <c r="GH46" s="10">
        <f t="shared" si="147"/>
        <v>0.28504898718212751</v>
      </c>
      <c r="GI46" s="9">
        <f t="shared" si="119"/>
        <v>11.059995675607382</v>
      </c>
      <c r="GJ46" s="8">
        <f t="shared" si="120"/>
        <v>-6.1855645810750364</v>
      </c>
      <c r="GK46" s="8">
        <f t="shared" si="121"/>
        <v>0.37442588222683282</v>
      </c>
      <c r="GL46" s="7">
        <f t="shared" si="122"/>
        <v>0.37438136657359677</v>
      </c>
      <c r="GM46" s="6">
        <f t="shared" si="148"/>
        <v>0.45621861107524553</v>
      </c>
      <c r="GN46" s="5">
        <f t="shared" si="149"/>
        <v>0.73578580195775145</v>
      </c>
      <c r="GO46" s="4">
        <f t="shared" si="150"/>
        <v>0.54468771708325514</v>
      </c>
      <c r="GP46" s="4">
        <f t="shared" si="151"/>
        <v>0.88818423022188309</v>
      </c>
      <c r="GQ46" s="4">
        <f t="shared" si="152"/>
        <v>5.0619953303888021E-2</v>
      </c>
      <c r="GR46" s="1"/>
    </row>
    <row r="47" spans="1:200" x14ac:dyDescent="0.4">
      <c r="A47" s="34"/>
      <c r="B47" s="21"/>
      <c r="C47" s="21"/>
      <c r="D47" s="34"/>
      <c r="E47" s="34"/>
      <c r="F47" s="20" t="s">
        <v>83</v>
      </c>
      <c r="G47" s="19">
        <v>1050</v>
      </c>
      <c r="H47" s="18">
        <v>1E-4</v>
      </c>
      <c r="I47" s="17">
        <v>1.5</v>
      </c>
      <c r="J47" s="16">
        <v>49.6</v>
      </c>
      <c r="K47" s="16">
        <v>0.92</v>
      </c>
      <c r="L47" s="16">
        <v>14.6</v>
      </c>
      <c r="M47" s="16">
        <v>0</v>
      </c>
      <c r="N47" s="16">
        <v>9</v>
      </c>
      <c r="O47" s="16">
        <v>0</v>
      </c>
      <c r="P47" s="16">
        <v>8.6999999999999993</v>
      </c>
      <c r="Q47" s="16">
        <v>12.4</v>
      </c>
      <c r="R47" s="16">
        <v>2.2999999999999998</v>
      </c>
      <c r="S47" s="16">
        <v>0.21</v>
      </c>
      <c r="T47" s="16">
        <v>0</v>
      </c>
      <c r="U47" s="15">
        <v>3.8</v>
      </c>
      <c r="V47" s="16"/>
      <c r="W47" s="28">
        <f t="shared" si="69"/>
        <v>48.85255589480942</v>
      </c>
      <c r="X47" s="24">
        <f t="shared" si="127"/>
        <v>0.90613611740372313</v>
      </c>
      <c r="Y47" s="24">
        <f t="shared" si="127"/>
        <v>14.379986210972126</v>
      </c>
      <c r="Z47" s="24">
        <f t="shared" si="127"/>
        <v>0</v>
      </c>
      <c r="AA47" s="24">
        <f t="shared" si="127"/>
        <v>8.8643750615581602</v>
      </c>
      <c r="AB47" s="24">
        <f t="shared" si="127"/>
        <v>0</v>
      </c>
      <c r="AC47" s="24">
        <f t="shared" si="127"/>
        <v>8.5688958928395529</v>
      </c>
      <c r="AD47" s="24">
        <f t="shared" si="127"/>
        <v>12.213138973702355</v>
      </c>
      <c r="AE47" s="24">
        <f t="shared" si="127"/>
        <v>2.2653402935093077</v>
      </c>
      <c r="AF47" s="24">
        <f t="shared" si="127"/>
        <v>0.20683541810302375</v>
      </c>
      <c r="AG47" s="24">
        <f t="shared" si="127"/>
        <v>0</v>
      </c>
      <c r="AH47" s="24">
        <f t="shared" si="127"/>
        <v>3.7427361371023342</v>
      </c>
      <c r="AI47" s="14">
        <f t="shared" si="123"/>
        <v>100.00000000000001</v>
      </c>
      <c r="AJ47" s="26"/>
      <c r="AK47" s="50">
        <f t="shared" si="70"/>
        <v>0.81298978024312563</v>
      </c>
      <c r="AL47" s="47">
        <f t="shared" si="71"/>
        <v>1.1340877564502166E-2</v>
      </c>
      <c r="AM47" s="47">
        <f t="shared" si="72"/>
        <v>0.14103556503503459</v>
      </c>
      <c r="AN47" s="49">
        <f t="shared" si="73"/>
        <v>0</v>
      </c>
      <c r="AO47" s="49">
        <f t="shared" si="74"/>
        <v>0.12337334810797719</v>
      </c>
      <c r="AP47" s="47">
        <f t="shared" si="75"/>
        <v>0</v>
      </c>
      <c r="AQ47" s="47">
        <f t="shared" si="76"/>
        <v>0.21252221956447304</v>
      </c>
      <c r="AR47" s="47">
        <f t="shared" si="77"/>
        <v>0.21778065217015613</v>
      </c>
      <c r="AS47" s="47">
        <f t="shared" si="78"/>
        <v>3.6549536842680024E-2</v>
      </c>
      <c r="AT47" s="47">
        <f t="shared" si="79"/>
        <v>2.1957050754036491E-3</v>
      </c>
      <c r="AU47" s="47">
        <f t="shared" si="80"/>
        <v>0</v>
      </c>
      <c r="AV47" s="47">
        <f t="shared" si="81"/>
        <v>0.20769900871822056</v>
      </c>
      <c r="AW47" s="47">
        <f t="shared" si="82"/>
        <v>1.7654866933215732</v>
      </c>
      <c r="AX47" s="47">
        <f t="shared" si="83"/>
        <v>8.8222830143015477E-2</v>
      </c>
      <c r="AY47" s="46">
        <f t="shared" si="84"/>
        <v>1.7580842100465902E-2</v>
      </c>
      <c r="AZ47" s="26"/>
      <c r="BA47" s="23">
        <f t="shared" si="85"/>
        <v>0.46049046040305908</v>
      </c>
      <c r="BB47" s="13">
        <f t="shared" si="6"/>
        <v>6.4236550790227288E-3</v>
      </c>
      <c r="BC47" s="13">
        <f t="shared" si="7"/>
        <v>7.9884807723864151E-2</v>
      </c>
      <c r="BD47" s="13">
        <f t="shared" si="8"/>
        <v>0</v>
      </c>
      <c r="BE47" s="13">
        <f t="shared" si="9"/>
        <v>6.9880644569381326E-2</v>
      </c>
      <c r="BF47" s="13">
        <f t="shared" si="10"/>
        <v>4.997082701146488E-2</v>
      </c>
      <c r="BG47" s="13">
        <f t="shared" si="11"/>
        <v>9.9580711465966591E-3</v>
      </c>
      <c r="BH47" s="13">
        <f t="shared" si="12"/>
        <v>0</v>
      </c>
      <c r="BI47" s="13">
        <f t="shared" si="13"/>
        <v>0.12037599624420582</v>
      </c>
      <c r="BJ47" s="13">
        <f t="shared" si="14"/>
        <v>0.12335445687241363</v>
      </c>
      <c r="BK47" s="13">
        <f t="shared" si="15"/>
        <v>2.0702244305175706E-2</v>
      </c>
      <c r="BL47" s="13">
        <f t="shared" si="16"/>
        <v>1.243682596821314E-3</v>
      </c>
      <c r="BM47" s="13">
        <f t="shared" si="17"/>
        <v>0</v>
      </c>
      <c r="BN47" s="13">
        <f t="shared" si="86"/>
        <v>0.11764405220605613</v>
      </c>
      <c r="BO47" s="12">
        <f t="shared" si="87"/>
        <v>0.88235594779394377</v>
      </c>
      <c r="BP47" s="13"/>
      <c r="BQ47" s="23">
        <f t="shared" si="88"/>
        <v>1.6259795604862513</v>
      </c>
      <c r="BR47" s="13">
        <f t="shared" si="18"/>
        <v>2.2681755129004333E-2</v>
      </c>
      <c r="BS47" s="13">
        <f t="shared" si="19"/>
        <v>0.4229407709109449</v>
      </c>
      <c r="BT47" s="13">
        <f t="shared" si="20"/>
        <v>0</v>
      </c>
      <c r="BU47" s="13">
        <f t="shared" si="21"/>
        <v>0.12337334810797719</v>
      </c>
      <c r="BV47" s="13">
        <f t="shared" si="89"/>
        <v>8.8222830143015477E-2</v>
      </c>
      <c r="BW47" s="24">
        <f t="shared" si="90"/>
        <v>5.2742526301397703E-2</v>
      </c>
      <c r="BX47" s="13">
        <f t="shared" si="22"/>
        <v>0</v>
      </c>
      <c r="BY47" s="13">
        <f t="shared" si="23"/>
        <v>0.21262768964862416</v>
      </c>
      <c r="BZ47" s="13">
        <f t="shared" si="24"/>
        <v>0.21770301200895462</v>
      </c>
      <c r="CA47" s="13">
        <f t="shared" si="25"/>
        <v>3.6537746669504961E-2</v>
      </c>
      <c r="CB47" s="13">
        <f t="shared" si="26"/>
        <v>2.1957050754036491E-3</v>
      </c>
      <c r="CC47" s="13">
        <f t="shared" si="27"/>
        <v>0</v>
      </c>
      <c r="CD47" s="13">
        <f t="shared" si="91"/>
        <v>0.20769900871822056</v>
      </c>
      <c r="CE47" s="12">
        <f t="shared" si="92"/>
        <v>2.8717385967548856</v>
      </c>
      <c r="CF47" s="13"/>
      <c r="CG47" s="23">
        <f t="shared" si="129"/>
        <v>0.56620040637530045</v>
      </c>
      <c r="CH47" s="13">
        <f t="shared" si="129"/>
        <v>7.8982659336177419E-3</v>
      </c>
      <c r="CI47" s="13">
        <f t="shared" si="129"/>
        <v>0.14727690444696998</v>
      </c>
      <c r="CJ47" s="13">
        <f t="shared" si="129"/>
        <v>0</v>
      </c>
      <c r="CK47" s="13">
        <f t="shared" si="128"/>
        <v>4.29612041455971E-2</v>
      </c>
      <c r="CL47" s="13">
        <f t="shared" si="128"/>
        <v>3.0721051784695447E-2</v>
      </c>
      <c r="CM47" s="13">
        <f t="shared" si="128"/>
        <v>1.8366061019968068E-2</v>
      </c>
      <c r="CN47" s="13">
        <f t="shared" si="128"/>
        <v>0</v>
      </c>
      <c r="CO47" s="13">
        <f t="shared" si="128"/>
        <v>7.4041449973509824E-2</v>
      </c>
      <c r="CP47" s="13">
        <f t="shared" si="128"/>
        <v>7.5808784356265146E-2</v>
      </c>
      <c r="CQ47" s="13">
        <f t="shared" si="128"/>
        <v>1.2723214679356E-2</v>
      </c>
      <c r="CR47" s="13">
        <f t="shared" si="128"/>
        <v>7.6459085721967653E-4</v>
      </c>
      <c r="CS47" s="13">
        <f t="shared" si="128"/>
        <v>0</v>
      </c>
      <c r="CT47" s="13">
        <f t="shared" si="128"/>
        <v>7.2325179232164111E-2</v>
      </c>
      <c r="CU47" s="12">
        <f t="shared" si="29"/>
        <v>1</v>
      </c>
      <c r="CV47" s="26"/>
      <c r="CW47" s="23">
        <f t="shared" si="30"/>
        <v>0.81298978024312563</v>
      </c>
      <c r="CX47" s="13">
        <f t="shared" si="31"/>
        <v>1.1340877564502166E-2</v>
      </c>
      <c r="CY47" s="13">
        <f t="shared" si="32"/>
        <v>0.28196051394062993</v>
      </c>
      <c r="CZ47" s="13">
        <f t="shared" si="33"/>
        <v>0</v>
      </c>
      <c r="DA47" s="13">
        <f t="shared" si="34"/>
        <v>0.17270194986072424</v>
      </c>
      <c r="DB47" s="13">
        <f t="shared" si="35"/>
        <v>8.8222830143015477E-2</v>
      </c>
      <c r="DC47" s="24">
        <f t="shared" si="36"/>
        <v>3.5161684200931805E-2</v>
      </c>
      <c r="DD47" s="13">
        <f t="shared" si="37"/>
        <v>0</v>
      </c>
      <c r="DE47" s="13">
        <f t="shared" si="38"/>
        <v>0.21262768964862416</v>
      </c>
      <c r="DF47" s="13">
        <f t="shared" si="39"/>
        <v>0.21770301200895462</v>
      </c>
      <c r="DG47" s="13">
        <f t="shared" si="40"/>
        <v>7.3075493339009923E-2</v>
      </c>
      <c r="DH47" s="13">
        <f t="shared" si="41"/>
        <v>4.3914101508072982E-3</v>
      </c>
      <c r="DI47" s="13">
        <f t="shared" si="42"/>
        <v>0</v>
      </c>
      <c r="DJ47" s="13">
        <f t="shared" si="93"/>
        <v>0.41539801743644111</v>
      </c>
      <c r="DK47" s="12">
        <f t="shared" si="94"/>
        <v>2.202188744192819</v>
      </c>
      <c r="DL47" s="26"/>
      <c r="DM47" s="23">
        <f t="shared" si="154"/>
        <v>0.36917352447059004</v>
      </c>
      <c r="DN47" s="13">
        <f t="shared" si="154"/>
        <v>5.1498208745313538E-3</v>
      </c>
      <c r="DO47" s="13">
        <f t="shared" si="153"/>
        <v>0.12803648855447156</v>
      </c>
      <c r="DP47" s="13">
        <f t="shared" si="153"/>
        <v>0</v>
      </c>
      <c r="DQ47" s="13">
        <f t="shared" si="153"/>
        <v>7.8422864668680203E-2</v>
      </c>
      <c r="DR47" s="13">
        <f t="shared" si="153"/>
        <v>4.0061429964011692E-2</v>
      </c>
      <c r="DS47" s="13">
        <f t="shared" si="153"/>
        <v>1.5966698719014578E-2</v>
      </c>
      <c r="DT47" s="13">
        <f t="shared" si="153"/>
        <v>0</v>
      </c>
      <c r="DU47" s="13">
        <f t="shared" si="153"/>
        <v>9.6552890940580949E-2</v>
      </c>
      <c r="DV47" s="13">
        <f t="shared" si="153"/>
        <v>9.8857562769330456E-2</v>
      </c>
      <c r="DW47" s="13">
        <f t="shared" si="153"/>
        <v>3.31831199899238E-2</v>
      </c>
      <c r="DX47" s="13">
        <f t="shared" si="153"/>
        <v>1.9941116139056952E-3</v>
      </c>
      <c r="DY47" s="13">
        <f t="shared" si="153"/>
        <v>0</v>
      </c>
      <c r="DZ47" s="13">
        <f t="shared" si="153"/>
        <v>0.18862961611798601</v>
      </c>
      <c r="EA47" s="12">
        <f t="shared" si="44"/>
        <v>1</v>
      </c>
      <c r="EB47" s="26"/>
      <c r="EC47" s="30">
        <f t="shared" si="45"/>
        <v>1323</v>
      </c>
      <c r="ED47" s="14">
        <f t="shared" si="96"/>
        <v>100000</v>
      </c>
      <c r="EE47" s="29"/>
      <c r="EF47" s="128">
        <f t="shared" si="124"/>
        <v>-8.7342365835222964</v>
      </c>
      <c r="EG47" s="13">
        <f t="shared" si="97"/>
        <v>1.5</v>
      </c>
      <c r="EH47" s="13">
        <f t="shared" si="98"/>
        <v>0.74926606198035017</v>
      </c>
      <c r="EI47" s="12">
        <f t="shared" si="46"/>
        <v>5.3414996220710531</v>
      </c>
      <c r="EJ47" s="29"/>
      <c r="EK47" s="28">
        <f t="shared" si="99"/>
        <v>-1.6133736012435818</v>
      </c>
      <c r="EL47" s="24">
        <f t="shared" si="100"/>
        <v>-0.70055301834284922</v>
      </c>
      <c r="EM47" s="24">
        <f t="shared" si="101"/>
        <v>0.19921440917266114</v>
      </c>
      <c r="EN47" s="24">
        <f t="shared" si="102"/>
        <v>4.9970827011464873E-2</v>
      </c>
      <c r="EO47" s="24">
        <f t="shared" si="103"/>
        <v>9.9549087789582314E-3</v>
      </c>
      <c r="EP47" s="24">
        <f t="shared" si="104"/>
        <v>0.28491176177044136</v>
      </c>
      <c r="EQ47" s="24">
        <f t="shared" si="105"/>
        <v>-1.613055982516818</v>
      </c>
      <c r="ER47" s="24">
        <f t="shared" si="47"/>
        <v>-20.10929575626913</v>
      </c>
      <c r="ES47" s="25">
        <f t="shared" si="48"/>
        <v>-8.7317827860482549</v>
      </c>
      <c r="ET47" s="26">
        <v>3.8</v>
      </c>
      <c r="EU47" s="26">
        <v>0.29083888041780526</v>
      </c>
      <c r="EV47" s="26">
        <v>0.37857377907005174</v>
      </c>
      <c r="EW47" s="26">
        <v>0.28491176177044136</v>
      </c>
      <c r="EX47" s="26">
        <v>0.37686421106039092</v>
      </c>
      <c r="EY47" s="26">
        <f t="shared" si="106"/>
        <v>0.99548418801254468</v>
      </c>
      <c r="EZ47" s="26">
        <f t="shared" si="107"/>
        <v>1.020803348414024</v>
      </c>
      <c r="FA47" s="23">
        <f t="shared" si="125"/>
        <v>-1.2754581445241904</v>
      </c>
      <c r="FB47" s="190">
        <f t="shared" si="108"/>
        <v>5.0361666492493629E-2</v>
      </c>
      <c r="FC47" s="124">
        <v>6.2646889236044334E-2</v>
      </c>
      <c r="FD47" s="26"/>
      <c r="FE47" s="27">
        <f t="shared" si="109"/>
        <v>0.88818423022188309</v>
      </c>
      <c r="FF47" s="26"/>
      <c r="FG47" s="23">
        <f t="shared" si="130"/>
        <v>-4.5075304736273782</v>
      </c>
      <c r="FH47" s="13">
        <f t="shared" si="50"/>
        <v>14.039437493014912</v>
      </c>
      <c r="FI47" s="13">
        <f t="shared" si="131"/>
        <v>-21.845149910644157</v>
      </c>
      <c r="FJ47" s="13">
        <f t="shared" si="132"/>
        <v>0.1694719654830763</v>
      </c>
      <c r="FK47" s="12">
        <f t="shared" si="53"/>
        <v>0.5422668784011252</v>
      </c>
      <c r="FL47" s="13"/>
      <c r="FM47" s="23">
        <f t="shared" si="133"/>
        <v>-6.0646303802256041</v>
      </c>
      <c r="FN47" s="13">
        <f t="shared" si="134"/>
        <v>11.32414888667752</v>
      </c>
      <c r="FO47" s="13">
        <f t="shared" si="135"/>
        <v>11.845276195438686</v>
      </c>
      <c r="FP47" s="24">
        <f t="shared" si="136"/>
        <v>0.45425280176768279</v>
      </c>
      <c r="FQ47" s="25">
        <f t="shared" si="137"/>
        <v>0.73427818188968663</v>
      </c>
      <c r="FR47" s="13"/>
      <c r="FS47" s="23">
        <f t="shared" si="111"/>
        <v>11.066204634499627</v>
      </c>
      <c r="FT47" s="13">
        <f t="shared" si="126"/>
        <v>-6.1838707340707568</v>
      </c>
      <c r="FU47" s="13">
        <f t="shared" si="138"/>
        <v>-0.21839779847420715</v>
      </c>
      <c r="FV47" s="13">
        <f t="shared" si="58"/>
        <v>0.37686421106039092</v>
      </c>
      <c r="FW47" s="23">
        <f t="shared" si="139"/>
        <v>-0.21848033815674839</v>
      </c>
      <c r="FX47" s="13">
        <f t="shared" si="140"/>
        <v>0.37681958013314432</v>
      </c>
      <c r="FY47" s="13">
        <f t="shared" si="141"/>
        <v>-0.2184479874386831</v>
      </c>
      <c r="FZ47" s="13">
        <f t="shared" si="116"/>
        <v>0.37683707259192178</v>
      </c>
      <c r="GA47" s="13">
        <f t="shared" si="142"/>
        <v>-0.21848865259363137</v>
      </c>
      <c r="GB47" s="12">
        <f t="shared" si="118"/>
        <v>0.37681508445961087</v>
      </c>
      <c r="GC47" s="22"/>
      <c r="GD47" s="11">
        <f t="shared" si="143"/>
        <v>1.5</v>
      </c>
      <c r="GE47" s="10">
        <f t="shared" si="144"/>
        <v>0.74926606198035017</v>
      </c>
      <c r="GF47" s="10">
        <f t="shared" si="145"/>
        <v>5.3414996220710531</v>
      </c>
      <c r="GG47" s="5">
        <f t="shared" si="146"/>
        <v>-8.7342365835222964</v>
      </c>
      <c r="GH47" s="10">
        <f t="shared" si="147"/>
        <v>0.28491176177044136</v>
      </c>
      <c r="GI47" s="9">
        <f t="shared" si="119"/>
        <v>11.066204634499627</v>
      </c>
      <c r="GJ47" s="8">
        <f t="shared" si="120"/>
        <v>-6.1838707340707568</v>
      </c>
      <c r="GK47" s="8">
        <f t="shared" si="121"/>
        <v>0.37686421106039092</v>
      </c>
      <c r="GL47" s="7">
        <f t="shared" si="122"/>
        <v>0.37681958013314432</v>
      </c>
      <c r="GM47" s="6">
        <f t="shared" si="148"/>
        <v>0.45425280176768279</v>
      </c>
      <c r="GN47" s="5">
        <f t="shared" si="149"/>
        <v>0.73427818188968663</v>
      </c>
      <c r="GO47" s="4">
        <f t="shared" si="150"/>
        <v>0.5422668784011252</v>
      </c>
      <c r="GP47" s="4">
        <f t="shared" si="151"/>
        <v>0.88818423022188309</v>
      </c>
      <c r="GQ47" s="4">
        <f t="shared" si="152"/>
        <v>5.0361666492493629E-2</v>
      </c>
      <c r="GR47" s="1"/>
    </row>
    <row r="48" spans="1:200" x14ac:dyDescent="0.4">
      <c r="A48" s="34"/>
      <c r="B48" s="21"/>
      <c r="C48" s="21"/>
      <c r="D48" s="34"/>
      <c r="E48" s="34"/>
      <c r="F48" s="20" t="s">
        <v>84</v>
      </c>
      <c r="G48" s="19">
        <v>1050</v>
      </c>
      <c r="H48" s="18">
        <v>1E-4</v>
      </c>
      <c r="I48" s="17">
        <v>1.5</v>
      </c>
      <c r="J48" s="16">
        <v>49.6</v>
      </c>
      <c r="K48" s="16">
        <v>0.92</v>
      </c>
      <c r="L48" s="16">
        <v>14.6</v>
      </c>
      <c r="M48" s="16">
        <v>0</v>
      </c>
      <c r="N48" s="16">
        <v>9</v>
      </c>
      <c r="O48" s="16">
        <v>0</v>
      </c>
      <c r="P48" s="16">
        <v>8.6999999999999993</v>
      </c>
      <c r="Q48" s="16">
        <v>12.4</v>
      </c>
      <c r="R48" s="16">
        <v>2.2999999999999998</v>
      </c>
      <c r="S48" s="16">
        <v>0.21</v>
      </c>
      <c r="T48" s="16">
        <v>0</v>
      </c>
      <c r="U48" s="15">
        <v>3.9</v>
      </c>
      <c r="V48" s="16"/>
      <c r="W48" s="28">
        <f t="shared" si="69"/>
        <v>48.804486864114921</v>
      </c>
      <c r="X48" s="24">
        <f t="shared" si="127"/>
        <v>0.90524451441503484</v>
      </c>
      <c r="Y48" s="24">
        <f t="shared" si="127"/>
        <v>14.365836859195118</v>
      </c>
      <c r="Z48" s="24">
        <f t="shared" ref="Z48:AH76" si="155">IF(M48="","",M48/SUM($J48:$U48)*100)</f>
        <v>0</v>
      </c>
      <c r="AA48" s="24">
        <f t="shared" si="155"/>
        <v>8.8556528584079501</v>
      </c>
      <c r="AB48" s="24">
        <f t="shared" si="155"/>
        <v>0</v>
      </c>
      <c r="AC48" s="24">
        <f t="shared" si="155"/>
        <v>8.5604644297943508</v>
      </c>
      <c r="AD48" s="24">
        <f t="shared" si="155"/>
        <v>12.20112171602873</v>
      </c>
      <c r="AE48" s="24">
        <f t="shared" si="155"/>
        <v>2.2631112860375868</v>
      </c>
      <c r="AF48" s="24">
        <f t="shared" si="155"/>
        <v>0.20663190002951881</v>
      </c>
      <c r="AG48" s="24">
        <f t="shared" si="155"/>
        <v>0</v>
      </c>
      <c r="AH48" s="24">
        <f t="shared" si="155"/>
        <v>3.8374495719767783</v>
      </c>
      <c r="AI48" s="14">
        <f t="shared" si="123"/>
        <v>99.999999999999986</v>
      </c>
      <c r="AJ48" s="26"/>
      <c r="AK48" s="50">
        <f t="shared" si="70"/>
        <v>0.81218982965742914</v>
      </c>
      <c r="AL48" s="47">
        <f t="shared" si="71"/>
        <v>1.1329718578410948E-2</v>
      </c>
      <c r="AM48" s="47">
        <f t="shared" si="72"/>
        <v>0.1408967914789635</v>
      </c>
      <c r="AN48" s="49">
        <f t="shared" si="73"/>
        <v>0</v>
      </c>
      <c r="AO48" s="49">
        <f t="shared" si="74"/>
        <v>0.12325195349210788</v>
      </c>
      <c r="AP48" s="47">
        <f t="shared" si="75"/>
        <v>0</v>
      </c>
      <c r="AQ48" s="47">
        <f t="shared" si="76"/>
        <v>0.21231310589767735</v>
      </c>
      <c r="AR48" s="47">
        <f t="shared" si="77"/>
        <v>0.21756636440850091</v>
      </c>
      <c r="AS48" s="47">
        <f t="shared" si="78"/>
        <v>3.6513573508189526E-2</v>
      </c>
      <c r="AT48" s="47">
        <f t="shared" si="79"/>
        <v>2.1935445863006243E-3</v>
      </c>
      <c r="AU48" s="47">
        <f t="shared" si="80"/>
        <v>0</v>
      </c>
      <c r="AV48" s="47">
        <f t="shared" si="81"/>
        <v>0.2129550261918301</v>
      </c>
      <c r="AW48" s="47">
        <f t="shared" si="82"/>
        <v>1.7692099077994099</v>
      </c>
      <c r="AX48" s="47">
        <f t="shared" si="83"/>
        <v>8.8152826326854977E-2</v>
      </c>
      <c r="AY48" s="46">
        <f t="shared" si="84"/>
        <v>1.7555138537975062E-2</v>
      </c>
      <c r="AZ48" s="26"/>
      <c r="BA48" s="23">
        <f t="shared" si="85"/>
        <v>0.45906922976010933</v>
      </c>
      <c r="BB48" s="13">
        <f t="shared" si="6"/>
        <v>6.4038294882166648E-3</v>
      </c>
      <c r="BC48" s="13">
        <f t="shared" si="7"/>
        <v>7.9638255956985149E-2</v>
      </c>
      <c r="BD48" s="13">
        <f t="shared" si="8"/>
        <v>0</v>
      </c>
      <c r="BE48" s="13">
        <f t="shared" si="9"/>
        <v>6.9664969062609383E-2</v>
      </c>
      <c r="BF48" s="13">
        <f t="shared" si="10"/>
        <v>4.9826098044240437E-2</v>
      </c>
      <c r="BG48" s="13">
        <f t="shared" si="11"/>
        <v>9.9225866080586266E-3</v>
      </c>
      <c r="BH48" s="13">
        <f t="shared" si="12"/>
        <v>0</v>
      </c>
      <c r="BI48" s="13">
        <f t="shared" si="13"/>
        <v>0.12000447485723048</v>
      </c>
      <c r="BJ48" s="13">
        <f t="shared" si="14"/>
        <v>0.12297374293992945</v>
      </c>
      <c r="BK48" s="13">
        <f t="shared" si="15"/>
        <v>2.0638350117316535E-2</v>
      </c>
      <c r="BL48" s="13">
        <f t="shared" si="16"/>
        <v>1.2398441680834882E-3</v>
      </c>
      <c r="BM48" s="13">
        <f t="shared" si="17"/>
        <v>0</v>
      </c>
      <c r="BN48" s="13">
        <f t="shared" si="86"/>
        <v>0.12036730364951957</v>
      </c>
      <c r="BO48" s="12">
        <f t="shared" si="87"/>
        <v>0.87963269635048047</v>
      </c>
      <c r="BP48" s="13"/>
      <c r="BQ48" s="23">
        <f t="shared" si="88"/>
        <v>1.6243796593148583</v>
      </c>
      <c r="BR48" s="13">
        <f t="shared" si="18"/>
        <v>2.2659437156821897E-2</v>
      </c>
      <c r="BS48" s="13">
        <f t="shared" si="19"/>
        <v>0.42252461350573878</v>
      </c>
      <c r="BT48" s="13">
        <f t="shared" si="20"/>
        <v>0</v>
      </c>
      <c r="BU48" s="13">
        <f t="shared" si="21"/>
        <v>0.12325195349210788</v>
      </c>
      <c r="BV48" s="13">
        <f t="shared" si="89"/>
        <v>8.8152826326854977E-2</v>
      </c>
      <c r="BW48" s="24">
        <f t="shared" si="90"/>
        <v>5.2665415613925189E-2</v>
      </c>
      <c r="BX48" s="13">
        <f t="shared" si="22"/>
        <v>0</v>
      </c>
      <c r="BY48" s="13">
        <f t="shared" si="23"/>
        <v>0.21241847220333379</v>
      </c>
      <c r="BZ48" s="13">
        <f t="shared" si="24"/>
        <v>0.21748880064222334</v>
      </c>
      <c r="CA48" s="13">
        <f t="shared" si="25"/>
        <v>3.6501794936090112E-2</v>
      </c>
      <c r="CB48" s="13">
        <f t="shared" si="26"/>
        <v>2.1935445863006243E-3</v>
      </c>
      <c r="CC48" s="13">
        <f t="shared" si="27"/>
        <v>0</v>
      </c>
      <c r="CD48" s="13">
        <f t="shared" si="91"/>
        <v>0.2129550261918301</v>
      </c>
      <c r="CE48" s="12">
        <f t="shared" si="92"/>
        <v>2.8743733020293045</v>
      </c>
      <c r="CF48" s="13"/>
      <c r="CG48" s="23">
        <f t="shared" si="129"/>
        <v>0.56512480761216644</v>
      </c>
      <c r="CH48" s="13">
        <f t="shared" si="129"/>
        <v>7.8832617672952767E-3</v>
      </c>
      <c r="CI48" s="13">
        <f t="shared" si="129"/>
        <v>0.14699712567168532</v>
      </c>
      <c r="CJ48" s="13">
        <f t="shared" si="129"/>
        <v>0</v>
      </c>
      <c r="CK48" s="13">
        <f t="shared" si="128"/>
        <v>4.2879591667892313E-2</v>
      </c>
      <c r="CL48" s="13">
        <f t="shared" si="128"/>
        <v>3.066853782165983E-2</v>
      </c>
      <c r="CM48" s="13">
        <f t="shared" si="128"/>
        <v>1.8322399382412667E-2</v>
      </c>
      <c r="CN48" s="13">
        <f t="shared" si="128"/>
        <v>0</v>
      </c>
      <c r="CO48" s="13">
        <f t="shared" si="128"/>
        <v>7.3900795019688839E-2</v>
      </c>
      <c r="CP48" s="13">
        <f t="shared" si="128"/>
        <v>7.5664772035238595E-2</v>
      </c>
      <c r="CQ48" s="13">
        <f t="shared" si="128"/>
        <v>1.2699044661429288E-2</v>
      </c>
      <c r="CR48" s="13">
        <f t="shared" si="128"/>
        <v>7.6313838037390068E-4</v>
      </c>
      <c r="CS48" s="13">
        <f t="shared" si="128"/>
        <v>0</v>
      </c>
      <c r="CT48" s="13">
        <f t="shared" si="128"/>
        <v>7.4087463184230137E-2</v>
      </c>
      <c r="CU48" s="12">
        <f t="shared" si="29"/>
        <v>1</v>
      </c>
      <c r="CV48" s="26"/>
      <c r="CW48" s="23">
        <f t="shared" si="30"/>
        <v>0.81218982965742914</v>
      </c>
      <c r="CX48" s="13">
        <f t="shared" si="31"/>
        <v>1.1329718578410948E-2</v>
      </c>
      <c r="CY48" s="13">
        <f t="shared" si="32"/>
        <v>0.2816830756704925</v>
      </c>
      <c r="CZ48" s="13">
        <f t="shared" si="33"/>
        <v>0</v>
      </c>
      <c r="DA48" s="13">
        <f t="shared" si="34"/>
        <v>0.17270194986072424</v>
      </c>
      <c r="DB48" s="13">
        <f t="shared" si="35"/>
        <v>8.8152826326854977E-2</v>
      </c>
      <c r="DC48" s="24">
        <f t="shared" si="36"/>
        <v>3.5110277075950123E-2</v>
      </c>
      <c r="DD48" s="13">
        <f t="shared" si="37"/>
        <v>0</v>
      </c>
      <c r="DE48" s="13">
        <f t="shared" si="38"/>
        <v>0.21241847220333379</v>
      </c>
      <c r="DF48" s="13">
        <f t="shared" si="39"/>
        <v>0.21748880064222334</v>
      </c>
      <c r="DG48" s="13">
        <f t="shared" si="40"/>
        <v>7.3003589872180225E-2</v>
      </c>
      <c r="DH48" s="13">
        <f t="shared" si="41"/>
        <v>4.3870891726012487E-3</v>
      </c>
      <c r="DI48" s="13">
        <f t="shared" si="42"/>
        <v>0</v>
      </c>
      <c r="DJ48" s="13">
        <f t="shared" si="93"/>
        <v>0.4259100523836602</v>
      </c>
      <c r="DK48" s="12">
        <f t="shared" si="94"/>
        <v>2.2111125780410554</v>
      </c>
      <c r="DL48" s="26"/>
      <c r="DM48" s="23">
        <f t="shared" si="154"/>
        <v>0.36732178981903862</v>
      </c>
      <c r="DN48" s="13">
        <f t="shared" si="154"/>
        <v>5.1239899274819201E-3</v>
      </c>
      <c r="DO48" s="13">
        <f t="shared" si="153"/>
        <v>0.1273942713129744</v>
      </c>
      <c r="DP48" s="13">
        <f t="shared" si="153"/>
        <v>0</v>
      </c>
      <c r="DQ48" s="13">
        <f t="shared" si="153"/>
        <v>7.810635766620723E-2</v>
      </c>
      <c r="DR48" s="13">
        <f t="shared" si="153"/>
        <v>3.9868085959220742E-2</v>
      </c>
      <c r="DS48" s="13">
        <f t="shared" si="153"/>
        <v>1.5879009248392147E-2</v>
      </c>
      <c r="DT48" s="13">
        <f t="shared" si="153"/>
        <v>0</v>
      </c>
      <c r="DU48" s="13">
        <f t="shared" si="153"/>
        <v>9.6068592035022854E-2</v>
      </c>
      <c r="DV48" s="13">
        <f t="shared" si="153"/>
        <v>9.8361703878012616E-2</v>
      </c>
      <c r="DW48" s="13">
        <f t="shared" si="153"/>
        <v>3.301667703272624E-2</v>
      </c>
      <c r="DX48" s="13">
        <f t="shared" si="153"/>
        <v>1.9841093647470494E-3</v>
      </c>
      <c r="DY48" s="13">
        <f t="shared" si="153"/>
        <v>0</v>
      </c>
      <c r="DZ48" s="13">
        <f t="shared" si="153"/>
        <v>0.19262250896378919</v>
      </c>
      <c r="EA48" s="12">
        <f t="shared" si="44"/>
        <v>1</v>
      </c>
      <c r="EB48" s="26"/>
      <c r="EC48" s="30">
        <f t="shared" si="45"/>
        <v>1323</v>
      </c>
      <c r="ED48" s="14">
        <f t="shared" si="96"/>
        <v>100000</v>
      </c>
      <c r="EE48" s="29"/>
      <c r="EF48" s="128">
        <f t="shared" si="124"/>
        <v>-8.7342365835222964</v>
      </c>
      <c r="EG48" s="13">
        <f t="shared" si="97"/>
        <v>1.5</v>
      </c>
      <c r="EH48" s="13">
        <f t="shared" si="98"/>
        <v>0.74926606198035017</v>
      </c>
      <c r="EI48" s="12">
        <f t="shared" si="46"/>
        <v>5.3414996220710531</v>
      </c>
      <c r="EJ48" s="29"/>
      <c r="EK48" s="28">
        <f t="shared" si="99"/>
        <v>-1.6140428885123081</v>
      </c>
      <c r="EL48" s="24">
        <f t="shared" si="100"/>
        <v>-0.7008436337439462</v>
      </c>
      <c r="EM48" s="24">
        <f t="shared" si="101"/>
        <v>0.19908112211349635</v>
      </c>
      <c r="EN48" s="24">
        <f t="shared" si="102"/>
        <v>4.9826098044240437E-2</v>
      </c>
      <c r="EO48" s="24">
        <f t="shared" si="103"/>
        <v>9.9194355091844714E-3</v>
      </c>
      <c r="EP48" s="24">
        <f t="shared" si="104"/>
        <v>0.28477542278873802</v>
      </c>
      <c r="EQ48" s="24">
        <f t="shared" si="105"/>
        <v>-1.6137252697855449</v>
      </c>
      <c r="ER48" s="24">
        <f t="shared" si="47"/>
        <v>-20.109295756269134</v>
      </c>
      <c r="ES48" s="25">
        <f t="shared" si="48"/>
        <v>-8.7317827860482566</v>
      </c>
      <c r="ET48" s="26">
        <v>3.9</v>
      </c>
      <c r="EU48" s="26">
        <v>0.2908388804178052</v>
      </c>
      <c r="EV48" s="26">
        <v>0.38104670093483595</v>
      </c>
      <c r="EW48" s="26">
        <v>0.28477542278873802</v>
      </c>
      <c r="EX48" s="26">
        <v>0.37929887494547698</v>
      </c>
      <c r="EY48" s="26">
        <f t="shared" si="106"/>
        <v>0.99541309245016174</v>
      </c>
      <c r="EZ48" s="26">
        <f t="shared" si="107"/>
        <v>1.0212920678676873</v>
      </c>
      <c r="FA48" s="23">
        <f t="shared" si="125"/>
        <v>-1.2777834866651183</v>
      </c>
      <c r="FB48" s="190">
        <f t="shared" si="108"/>
        <v>5.0106210826746711E-2</v>
      </c>
      <c r="FC48" s="124">
        <v>6.2646889236044334E-2</v>
      </c>
      <c r="FD48" s="26"/>
      <c r="FE48" s="27">
        <f t="shared" si="109"/>
        <v>0.88818423022188309</v>
      </c>
      <c r="FF48" s="26"/>
      <c r="FG48" s="23">
        <f t="shared" si="130"/>
        <v>-4.5284267978337152</v>
      </c>
      <c r="FH48" s="13">
        <f t="shared" si="50"/>
        <v>14.008880980685472</v>
      </c>
      <c r="FI48" s="13">
        <f t="shared" si="131"/>
        <v>-21.845149910644157</v>
      </c>
      <c r="FJ48" s="13">
        <f t="shared" si="132"/>
        <v>0.15981177735997676</v>
      </c>
      <c r="FK48" s="12">
        <f t="shared" si="53"/>
        <v>0.53986812842035992</v>
      </c>
      <c r="FL48" s="13"/>
      <c r="FM48" s="23">
        <f t="shared" si="133"/>
        <v>-6.0653198263798149</v>
      </c>
      <c r="FN48" s="13">
        <f t="shared" si="134"/>
        <v>11.32003068660098</v>
      </c>
      <c r="FO48" s="13">
        <f t="shared" si="135"/>
        <v>11.841238404092593</v>
      </c>
      <c r="FP48" s="24">
        <f t="shared" si="136"/>
        <v>0.45229629185319831</v>
      </c>
      <c r="FQ48" s="25">
        <f t="shared" si="137"/>
        <v>0.7327711697500966</v>
      </c>
      <c r="FR48" s="13"/>
      <c r="FS48" s="23">
        <f t="shared" si="111"/>
        <v>11.072390003339876</v>
      </c>
      <c r="FT48" s="13">
        <f t="shared" si="126"/>
        <v>-6.182182185661623</v>
      </c>
      <c r="FU48" s="13">
        <f t="shared" si="138"/>
        <v>-0.21390097804309249</v>
      </c>
      <c r="FV48" s="13">
        <f t="shared" si="58"/>
        <v>0.37929887494547698</v>
      </c>
      <c r="FW48" s="23">
        <f t="shared" si="139"/>
        <v>-0.21398351772563373</v>
      </c>
      <c r="FX48" s="13">
        <f t="shared" si="140"/>
        <v>0.37925413117215234</v>
      </c>
      <c r="FY48" s="13">
        <f t="shared" si="141"/>
        <v>-0.21395116700756844</v>
      </c>
      <c r="FZ48" s="13">
        <f t="shared" si="116"/>
        <v>0.37927166786428324</v>
      </c>
      <c r="GA48" s="13">
        <f t="shared" si="142"/>
        <v>-0.21399183216251672</v>
      </c>
      <c r="GB48" s="12">
        <f t="shared" si="118"/>
        <v>0.37924962412933727</v>
      </c>
      <c r="GC48" s="22"/>
      <c r="GD48" s="11">
        <f t="shared" si="143"/>
        <v>1.5</v>
      </c>
      <c r="GE48" s="10">
        <f t="shared" si="144"/>
        <v>0.74926606198035017</v>
      </c>
      <c r="GF48" s="10">
        <f t="shared" si="145"/>
        <v>5.3414996220710531</v>
      </c>
      <c r="GG48" s="5">
        <f t="shared" si="146"/>
        <v>-8.7342365835222964</v>
      </c>
      <c r="GH48" s="10">
        <f t="shared" si="147"/>
        <v>0.28477542278873802</v>
      </c>
      <c r="GI48" s="9">
        <f t="shared" si="119"/>
        <v>11.072390003339876</v>
      </c>
      <c r="GJ48" s="8">
        <f t="shared" si="120"/>
        <v>-6.182182185661623</v>
      </c>
      <c r="GK48" s="8">
        <f t="shared" si="121"/>
        <v>0.37929887494547698</v>
      </c>
      <c r="GL48" s="7">
        <f t="shared" si="122"/>
        <v>0.37925413117215234</v>
      </c>
      <c r="GM48" s="6">
        <f t="shared" si="148"/>
        <v>0.45229629185319831</v>
      </c>
      <c r="GN48" s="5">
        <f t="shared" si="149"/>
        <v>0.7327711697500966</v>
      </c>
      <c r="GO48" s="4">
        <f t="shared" si="150"/>
        <v>0.53986812842035992</v>
      </c>
      <c r="GP48" s="4">
        <f t="shared" si="151"/>
        <v>0.88818423022188309</v>
      </c>
      <c r="GQ48" s="4">
        <f t="shared" si="152"/>
        <v>5.0106210826746711E-2</v>
      </c>
      <c r="GR48" s="1"/>
    </row>
    <row r="49" spans="1:200" x14ac:dyDescent="0.4">
      <c r="A49" s="34"/>
      <c r="B49" s="21"/>
      <c r="C49" s="21"/>
      <c r="D49" s="34"/>
      <c r="E49" s="34"/>
      <c r="F49" s="20" t="s">
        <v>84</v>
      </c>
      <c r="G49" s="19">
        <v>1050</v>
      </c>
      <c r="H49" s="18">
        <v>1E-4</v>
      </c>
      <c r="I49" s="17">
        <v>1.5</v>
      </c>
      <c r="J49" s="16">
        <v>49.6</v>
      </c>
      <c r="K49" s="16">
        <v>0.92</v>
      </c>
      <c r="L49" s="16">
        <v>14.6</v>
      </c>
      <c r="M49" s="16">
        <v>0</v>
      </c>
      <c r="N49" s="16">
        <v>9</v>
      </c>
      <c r="O49" s="16">
        <v>0</v>
      </c>
      <c r="P49" s="16">
        <v>8.6999999999999993</v>
      </c>
      <c r="Q49" s="16">
        <v>12.4</v>
      </c>
      <c r="R49" s="16">
        <v>2.2999999999999998</v>
      </c>
      <c r="S49" s="16">
        <v>0.21</v>
      </c>
      <c r="T49" s="16">
        <v>0</v>
      </c>
      <c r="U49" s="15">
        <v>4</v>
      </c>
      <c r="V49" s="16"/>
      <c r="W49" s="28">
        <f t="shared" si="69"/>
        <v>48.75651233657721</v>
      </c>
      <c r="X49" s="24">
        <f t="shared" ref="X49:AB95" si="156">IF(K49="","",K49/SUM($J49:$U49)*100)</f>
        <v>0.90435466430748068</v>
      </c>
      <c r="Y49" s="24">
        <f t="shared" si="156"/>
        <v>14.351715324879583</v>
      </c>
      <c r="Z49" s="24">
        <f t="shared" si="155"/>
        <v>0</v>
      </c>
      <c r="AA49" s="24">
        <f t="shared" si="155"/>
        <v>8.8469478030079625</v>
      </c>
      <c r="AB49" s="24">
        <f t="shared" si="155"/>
        <v>0</v>
      </c>
      <c r="AC49" s="24">
        <f t="shared" si="155"/>
        <v>8.5520495429076959</v>
      </c>
      <c r="AD49" s="24">
        <f t="shared" si="155"/>
        <v>12.189128084144302</v>
      </c>
      <c r="AE49" s="24">
        <f t="shared" si="155"/>
        <v>2.2608866607687013</v>
      </c>
      <c r="AF49" s="24">
        <f t="shared" si="155"/>
        <v>0.20642878207018578</v>
      </c>
      <c r="AG49" s="24">
        <f t="shared" si="155"/>
        <v>0</v>
      </c>
      <c r="AH49" s="24">
        <f t="shared" si="155"/>
        <v>3.9319768013368721</v>
      </c>
      <c r="AI49" s="14">
        <f t="shared" si="123"/>
        <v>100</v>
      </c>
      <c r="AJ49" s="26"/>
      <c r="AK49" s="50">
        <f t="shared" si="70"/>
        <v>0.81139145176530547</v>
      </c>
      <c r="AL49" s="47">
        <f t="shared" si="71"/>
        <v>1.1318581530756953E-2</v>
      </c>
      <c r="AM49" s="47">
        <f t="shared" si="72"/>
        <v>0.140758290750094</v>
      </c>
      <c r="AN49" s="49">
        <f t="shared" si="73"/>
        <v>0</v>
      </c>
      <c r="AO49" s="49">
        <f t="shared" si="74"/>
        <v>0.12313079753664528</v>
      </c>
      <c r="AP49" s="47">
        <f t="shared" si="75"/>
        <v>0</v>
      </c>
      <c r="AQ49" s="47">
        <f t="shared" si="76"/>
        <v>0.21210440334592501</v>
      </c>
      <c r="AR49" s="47">
        <f t="shared" si="77"/>
        <v>0.21735249793409955</v>
      </c>
      <c r="AS49" s="47">
        <f t="shared" si="78"/>
        <v>3.6477680877197508E-2</v>
      </c>
      <c r="AT49" s="47">
        <f t="shared" si="79"/>
        <v>2.1913883446941164E-3</v>
      </c>
      <c r="AU49" s="47">
        <f t="shared" si="80"/>
        <v>0</v>
      </c>
      <c r="AV49" s="47">
        <f t="shared" si="81"/>
        <v>0.21820071039605285</v>
      </c>
      <c r="AW49" s="47">
        <f t="shared" si="82"/>
        <v>1.7729258024807706</v>
      </c>
      <c r="AX49" s="47">
        <f t="shared" si="83"/>
        <v>8.8082852041003412E-2</v>
      </c>
      <c r="AY49" s="46">
        <f t="shared" si="84"/>
        <v>1.7529539573750214E-2</v>
      </c>
      <c r="AZ49" s="26"/>
      <c r="BA49" s="23">
        <f t="shared" si="85"/>
        <v>0.45765674492974501</v>
      </c>
      <c r="BB49" s="13">
        <f t="shared" si="6"/>
        <v>6.3841258979475627E-3</v>
      </c>
      <c r="BC49" s="13">
        <f t="shared" si="7"/>
        <v>7.9393221393212074E-2</v>
      </c>
      <c r="BD49" s="13">
        <f t="shared" si="8"/>
        <v>0</v>
      </c>
      <c r="BE49" s="13">
        <f t="shared" si="9"/>
        <v>6.9450620756014853E-2</v>
      </c>
      <c r="BF49" s="13">
        <f t="shared" si="10"/>
        <v>4.9682198723575051E-2</v>
      </c>
      <c r="BG49" s="13">
        <f t="shared" si="11"/>
        <v>9.887350925358503E-3</v>
      </c>
      <c r="BH49" s="13">
        <f t="shared" si="12"/>
        <v>0</v>
      </c>
      <c r="BI49" s="13">
        <f t="shared" si="13"/>
        <v>0.1196352396976441</v>
      </c>
      <c r="BJ49" s="13">
        <f t="shared" si="14"/>
        <v>0.12259537180290826</v>
      </c>
      <c r="BK49" s="13">
        <f t="shared" si="15"/>
        <v>2.0574849114472826E-2</v>
      </c>
      <c r="BL49" s="13">
        <f t="shared" si="16"/>
        <v>1.2360293598456355E-3</v>
      </c>
      <c r="BM49" s="13">
        <f t="shared" si="17"/>
        <v>0</v>
      </c>
      <c r="BN49" s="13">
        <f t="shared" si="86"/>
        <v>0.1230737970482098</v>
      </c>
      <c r="BO49" s="12">
        <f t="shared" si="87"/>
        <v>0.87692620295179036</v>
      </c>
      <c r="BP49" s="13"/>
      <c r="BQ49" s="23">
        <f t="shared" si="88"/>
        <v>1.6227829035306109</v>
      </c>
      <c r="BR49" s="13">
        <f t="shared" si="18"/>
        <v>2.2637163061513907E-2</v>
      </c>
      <c r="BS49" s="13">
        <f t="shared" si="19"/>
        <v>0.42210927426116424</v>
      </c>
      <c r="BT49" s="13">
        <f t="shared" si="20"/>
        <v>0</v>
      </c>
      <c r="BU49" s="13">
        <f t="shared" si="21"/>
        <v>0.12313079753664528</v>
      </c>
      <c r="BV49" s="13">
        <f t="shared" si="89"/>
        <v>8.8082852041003412E-2</v>
      </c>
      <c r="BW49" s="24">
        <f t="shared" si="90"/>
        <v>5.2588618721250646E-2</v>
      </c>
      <c r="BX49" s="13">
        <f t="shared" si="22"/>
        <v>0</v>
      </c>
      <c r="BY49" s="13">
        <f t="shared" si="23"/>
        <v>0.21220966607711406</v>
      </c>
      <c r="BZ49" s="13">
        <f t="shared" si="24"/>
        <v>0.2172750104125544</v>
      </c>
      <c r="CA49" s="13">
        <f t="shared" si="25"/>
        <v>3.6465913883366147E-2</v>
      </c>
      <c r="CB49" s="13">
        <f t="shared" si="26"/>
        <v>2.1913883446941164E-3</v>
      </c>
      <c r="CC49" s="13">
        <f t="shared" si="27"/>
        <v>0</v>
      </c>
      <c r="CD49" s="13">
        <f t="shared" si="91"/>
        <v>0.21820071039605285</v>
      </c>
      <c r="CE49" s="12">
        <f t="shared" si="92"/>
        <v>2.8770028275037158</v>
      </c>
      <c r="CF49" s="13"/>
      <c r="CG49" s="23">
        <f t="shared" si="129"/>
        <v>0.56405328768433927</v>
      </c>
      <c r="CH49" s="13">
        <f t="shared" si="129"/>
        <v>7.8683144990703592E-3</v>
      </c>
      <c r="CI49" s="13">
        <f t="shared" si="129"/>
        <v>0.14671840786038262</v>
      </c>
      <c r="CJ49" s="13">
        <f t="shared" si="129"/>
        <v>0</v>
      </c>
      <c r="CK49" s="13">
        <f t="shared" si="128"/>
        <v>4.2798288677207169E-2</v>
      </c>
      <c r="CL49" s="13">
        <f t="shared" si="128"/>
        <v>3.0616185427050871E-2</v>
      </c>
      <c r="CM49" s="13">
        <f t="shared" si="128"/>
        <v>1.8278959693230516E-2</v>
      </c>
      <c r="CN49" s="13">
        <f t="shared" si="128"/>
        <v>0</v>
      </c>
      <c r="CO49" s="13">
        <f t="shared" si="128"/>
        <v>7.3760673451003053E-2</v>
      </c>
      <c r="CP49" s="13">
        <f t="shared" si="128"/>
        <v>7.5521305830998101E-2</v>
      </c>
      <c r="CQ49" s="13">
        <f t="shared" si="128"/>
        <v>1.2674966299913742E-2</v>
      </c>
      <c r="CR49" s="13">
        <f t="shared" si="128"/>
        <v>7.6169141154286413E-4</v>
      </c>
      <c r="CS49" s="13">
        <f t="shared" si="128"/>
        <v>0</v>
      </c>
      <c r="CT49" s="13">
        <f t="shared" si="128"/>
        <v>7.5843064285542841E-2</v>
      </c>
      <c r="CU49" s="12">
        <f t="shared" si="29"/>
        <v>0.99999999999999989</v>
      </c>
      <c r="CV49" s="26"/>
      <c r="CW49" s="23">
        <f t="shared" si="30"/>
        <v>0.81139145176530547</v>
      </c>
      <c r="CX49" s="13">
        <f t="shared" si="31"/>
        <v>1.1318581530756953E-2</v>
      </c>
      <c r="CY49" s="13">
        <f t="shared" si="32"/>
        <v>0.28140618284077612</v>
      </c>
      <c r="CZ49" s="13">
        <f t="shared" si="33"/>
        <v>0</v>
      </c>
      <c r="DA49" s="13">
        <f t="shared" si="34"/>
        <v>0.17270194986072424</v>
      </c>
      <c r="DB49" s="13">
        <f t="shared" si="35"/>
        <v>8.8082852041003412E-2</v>
      </c>
      <c r="DC49" s="24">
        <f t="shared" si="36"/>
        <v>3.5059079147500428E-2</v>
      </c>
      <c r="DD49" s="13">
        <f t="shared" si="37"/>
        <v>0</v>
      </c>
      <c r="DE49" s="13">
        <f t="shared" si="38"/>
        <v>0.21220966607711406</v>
      </c>
      <c r="DF49" s="13">
        <f t="shared" si="39"/>
        <v>0.2172750104125544</v>
      </c>
      <c r="DG49" s="13">
        <f t="shared" si="40"/>
        <v>7.2931827766732293E-2</v>
      </c>
      <c r="DH49" s="13">
        <f t="shared" si="41"/>
        <v>4.3827766893882328E-3</v>
      </c>
      <c r="DI49" s="13">
        <f t="shared" si="42"/>
        <v>0</v>
      </c>
      <c r="DJ49" s="13">
        <f t="shared" si="93"/>
        <v>0.4364014207921057</v>
      </c>
      <c r="DK49" s="12">
        <f t="shared" si="94"/>
        <v>2.2200188677354578</v>
      </c>
      <c r="DL49" s="26"/>
      <c r="DM49" s="23">
        <f t="shared" si="154"/>
        <v>0.36548853865956993</v>
      </c>
      <c r="DN49" s="13">
        <f t="shared" si="154"/>
        <v>5.0984168176473801E-3</v>
      </c>
      <c r="DO49" s="13">
        <f t="shared" si="153"/>
        <v>0.1267584645025229</v>
      </c>
      <c r="DP49" s="13">
        <f t="shared" si="153"/>
        <v>0</v>
      </c>
      <c r="DQ49" s="13">
        <f t="shared" si="153"/>
        <v>7.7793009947203645E-2</v>
      </c>
      <c r="DR49" s="13">
        <f t="shared" si="153"/>
        <v>3.9676623168006138E-2</v>
      </c>
      <c r="DS49" s="13">
        <f t="shared" si="153"/>
        <v>1.5792243776406565E-2</v>
      </c>
      <c r="DT49" s="13">
        <f t="shared" si="153"/>
        <v>0</v>
      </c>
      <c r="DU49" s="13">
        <f t="shared" si="153"/>
        <v>9.5589127264300994E-2</v>
      </c>
      <c r="DV49" s="13">
        <f t="shared" si="153"/>
        <v>9.7870794510042589E-2</v>
      </c>
      <c r="DW49" s="13">
        <f t="shared" si="153"/>
        <v>3.2851895462098844E-2</v>
      </c>
      <c r="DX49" s="13">
        <f t="shared" si="153"/>
        <v>1.9742069552133616E-3</v>
      </c>
      <c r="DY49" s="13">
        <f t="shared" si="153"/>
        <v>0</v>
      </c>
      <c r="DZ49" s="13">
        <f t="shared" si="153"/>
        <v>0.19657554588140025</v>
      </c>
      <c r="EA49" s="12">
        <f t="shared" si="44"/>
        <v>1</v>
      </c>
      <c r="EB49" s="26"/>
      <c r="EC49" s="30">
        <f t="shared" si="45"/>
        <v>1323</v>
      </c>
      <c r="ED49" s="14">
        <f t="shared" si="96"/>
        <v>100000</v>
      </c>
      <c r="EE49" s="29"/>
      <c r="EF49" s="128">
        <f t="shared" si="124"/>
        <v>-8.7342365835222964</v>
      </c>
      <c r="EG49" s="13">
        <f t="shared" si="97"/>
        <v>1.5</v>
      </c>
      <c r="EH49" s="13">
        <f t="shared" si="98"/>
        <v>0.74926606198035017</v>
      </c>
      <c r="EI49" s="12">
        <f t="shared" si="46"/>
        <v>5.3414996220710531</v>
      </c>
      <c r="EJ49" s="29"/>
      <c r="EK49" s="28">
        <f t="shared" si="99"/>
        <v>-1.6147080571947605</v>
      </c>
      <c r="EL49" s="24">
        <f t="shared" si="100"/>
        <v>-0.70113246078799851</v>
      </c>
      <c r="EM49" s="24">
        <f t="shared" si="101"/>
        <v>0.19894874361769471</v>
      </c>
      <c r="EN49" s="24">
        <f t="shared" si="102"/>
        <v>4.9682198723575065E-2</v>
      </c>
      <c r="EO49" s="24">
        <f t="shared" si="103"/>
        <v>9.8842110162198956E-3</v>
      </c>
      <c r="EP49" s="24">
        <f t="shared" si="104"/>
        <v>0.28463996170585304</v>
      </c>
      <c r="EQ49" s="24">
        <f t="shared" si="105"/>
        <v>-1.6143904384679968</v>
      </c>
      <c r="ER49" s="24">
        <f t="shared" si="47"/>
        <v>-20.109295756269134</v>
      </c>
      <c r="ES49" s="25">
        <f t="shared" si="48"/>
        <v>-8.7317827860482566</v>
      </c>
      <c r="ET49" s="26">
        <v>4</v>
      </c>
      <c r="EU49" s="26">
        <v>0.2908388804178052</v>
      </c>
      <c r="EV49" s="26">
        <v>0.38351543614666039</v>
      </c>
      <c r="EW49" s="26">
        <v>0.28463996170585304</v>
      </c>
      <c r="EX49" s="26">
        <v>0.38172974974838658</v>
      </c>
      <c r="EY49" s="26">
        <f t="shared" si="106"/>
        <v>0.99534389954100588</v>
      </c>
      <c r="EZ49" s="26">
        <f t="shared" si="107"/>
        <v>1.0217781040820899</v>
      </c>
      <c r="FA49" s="23">
        <f t="shared" si="125"/>
        <v>-1.2800945193717084</v>
      </c>
      <c r="FB49" s="190">
        <f t="shared" si="108"/>
        <v>4.9853543613176288E-2</v>
      </c>
      <c r="FC49" s="124">
        <v>6.2646889236044334E-2</v>
      </c>
      <c r="FD49" s="26"/>
      <c r="FE49" s="27">
        <f t="shared" si="109"/>
        <v>0.88818423022188309</v>
      </c>
      <c r="FF49" s="26"/>
      <c r="FG49" s="23">
        <f t="shared" si="130"/>
        <v>-4.5491142281590644</v>
      </c>
      <c r="FH49" s="13">
        <f t="shared" si="50"/>
        <v>13.978628867562865</v>
      </c>
      <c r="FI49" s="13">
        <f t="shared" si="131"/>
        <v>-21.845149910644157</v>
      </c>
      <c r="FJ49" s="13">
        <f t="shared" si="132"/>
        <v>0.15024709456271523</v>
      </c>
      <c r="FK49" s="12">
        <f t="shared" si="53"/>
        <v>0.53749127223816384</v>
      </c>
      <c r="FL49" s="13"/>
      <c r="FM49" s="23">
        <f t="shared" si="133"/>
        <v>-6.0660073747673042</v>
      </c>
      <c r="FN49" s="13">
        <f t="shared" si="134"/>
        <v>11.315928103370091</v>
      </c>
      <c r="FO49" s="13">
        <f t="shared" si="135"/>
        <v>11.83721592466992</v>
      </c>
      <c r="FP49" s="24">
        <f t="shared" si="136"/>
        <v>0.45034907455025019</v>
      </c>
      <c r="FQ49" s="25">
        <f t="shared" si="137"/>
        <v>0.73126480874990085</v>
      </c>
      <c r="FR49" s="13"/>
      <c r="FS49" s="23">
        <f t="shared" si="111"/>
        <v>11.078551916313813</v>
      </c>
      <c r="FT49" s="13">
        <f t="shared" si="126"/>
        <v>-6.1804989085842594</v>
      </c>
      <c r="FU49" s="13">
        <f t="shared" si="138"/>
        <v>-0.20942234214652089</v>
      </c>
      <c r="FV49" s="13">
        <f t="shared" si="58"/>
        <v>0.38172974974838658</v>
      </c>
      <c r="FW49" s="23">
        <f t="shared" si="139"/>
        <v>-0.20950488182906213</v>
      </c>
      <c r="FX49" s="13">
        <f t="shared" si="140"/>
        <v>0.38168489555232632</v>
      </c>
      <c r="FY49" s="13">
        <f t="shared" si="141"/>
        <v>-0.20947253111099684</v>
      </c>
      <c r="FZ49" s="13">
        <f t="shared" si="116"/>
        <v>0.3817024755280326</v>
      </c>
      <c r="GA49" s="13">
        <f t="shared" si="142"/>
        <v>-0.20951319626594511</v>
      </c>
      <c r="GB49" s="12">
        <f t="shared" si="118"/>
        <v>0.38168037738432525</v>
      </c>
      <c r="GC49" s="22"/>
      <c r="GD49" s="11">
        <f t="shared" si="143"/>
        <v>1.5</v>
      </c>
      <c r="GE49" s="10">
        <f t="shared" si="144"/>
        <v>0.74926606198035017</v>
      </c>
      <c r="GF49" s="10">
        <f t="shared" si="145"/>
        <v>5.3414996220710531</v>
      </c>
      <c r="GG49" s="5">
        <f t="shared" si="146"/>
        <v>-8.7342365835222964</v>
      </c>
      <c r="GH49" s="10">
        <f t="shared" si="147"/>
        <v>0.28463996170585304</v>
      </c>
      <c r="GI49" s="9">
        <f t="shared" si="119"/>
        <v>11.078551916313813</v>
      </c>
      <c r="GJ49" s="8">
        <f t="shared" si="120"/>
        <v>-6.1804989085842594</v>
      </c>
      <c r="GK49" s="8">
        <f t="shared" si="121"/>
        <v>0.38172974974838658</v>
      </c>
      <c r="GL49" s="7">
        <f t="shared" si="122"/>
        <v>0.38168489555232632</v>
      </c>
      <c r="GM49" s="6">
        <f t="shared" si="148"/>
        <v>0.45034907455025019</v>
      </c>
      <c r="GN49" s="5">
        <f t="shared" si="149"/>
        <v>0.73126480874990085</v>
      </c>
      <c r="GO49" s="4">
        <f t="shared" si="150"/>
        <v>0.53749127223816384</v>
      </c>
      <c r="GP49" s="4">
        <f t="shared" si="151"/>
        <v>0.88818423022188309</v>
      </c>
      <c r="GQ49" s="4">
        <f t="shared" si="152"/>
        <v>4.9853543613176288E-2</v>
      </c>
      <c r="GR49" s="1"/>
    </row>
    <row r="50" spans="1:200" x14ac:dyDescent="0.4">
      <c r="A50" s="34"/>
      <c r="B50" s="21"/>
      <c r="C50" s="21"/>
      <c r="D50" s="34"/>
      <c r="E50" s="34"/>
      <c r="F50" s="20" t="s">
        <v>84</v>
      </c>
      <c r="G50" s="19">
        <v>1050</v>
      </c>
      <c r="H50" s="18">
        <v>1E-4</v>
      </c>
      <c r="I50" s="17">
        <v>1.5</v>
      </c>
      <c r="J50" s="16">
        <v>49.6</v>
      </c>
      <c r="K50" s="16">
        <v>0.92</v>
      </c>
      <c r="L50" s="16">
        <v>14.6</v>
      </c>
      <c r="M50" s="16">
        <v>0</v>
      </c>
      <c r="N50" s="16">
        <v>9</v>
      </c>
      <c r="O50" s="16">
        <v>0</v>
      </c>
      <c r="P50" s="16">
        <v>8.6999999999999993</v>
      </c>
      <c r="Q50" s="16">
        <v>12.4</v>
      </c>
      <c r="R50" s="16">
        <v>2.2999999999999998</v>
      </c>
      <c r="S50" s="16">
        <v>0.21</v>
      </c>
      <c r="T50" s="16">
        <v>0</v>
      </c>
      <c r="U50" s="15">
        <v>4.0999999999999996</v>
      </c>
      <c r="V50" s="16"/>
      <c r="W50" s="28">
        <f t="shared" si="69"/>
        <v>48.708632033781797</v>
      </c>
      <c r="X50" s="24">
        <f t="shared" si="156"/>
        <v>0.90346656191692043</v>
      </c>
      <c r="Y50" s="24">
        <f t="shared" si="156"/>
        <v>14.337621526072866</v>
      </c>
      <c r="Z50" s="24">
        <f t="shared" si="155"/>
        <v>0</v>
      </c>
      <c r="AA50" s="24">
        <f t="shared" si="155"/>
        <v>8.8382598448394383</v>
      </c>
      <c r="AB50" s="24">
        <f t="shared" si="155"/>
        <v>0</v>
      </c>
      <c r="AC50" s="24">
        <f t="shared" si="155"/>
        <v>8.5436511833447906</v>
      </c>
      <c r="AD50" s="24">
        <f t="shared" si="155"/>
        <v>12.177158008445449</v>
      </c>
      <c r="AE50" s="24">
        <f t="shared" si="155"/>
        <v>2.2586664047923009</v>
      </c>
      <c r="AF50" s="24">
        <f t="shared" si="155"/>
        <v>0.20622606304625357</v>
      </c>
      <c r="AG50" s="24">
        <f t="shared" si="155"/>
        <v>0</v>
      </c>
      <c r="AH50" s="24">
        <f t="shared" si="155"/>
        <v>4.026318373760188</v>
      </c>
      <c r="AI50" s="14">
        <f t="shared" si="123"/>
        <v>100</v>
      </c>
      <c r="AJ50" s="26"/>
      <c r="AK50" s="50">
        <f t="shared" si="70"/>
        <v>0.81059464193346309</v>
      </c>
      <c r="AL50" s="47">
        <f t="shared" si="71"/>
        <v>1.1307466356907639E-2</v>
      </c>
      <c r="AM50" s="47">
        <f t="shared" si="72"/>
        <v>0.14062006204465347</v>
      </c>
      <c r="AN50" s="49">
        <f t="shared" si="73"/>
        <v>0</v>
      </c>
      <c r="AO50" s="49">
        <f t="shared" si="74"/>
        <v>0.12300987953847514</v>
      </c>
      <c r="AP50" s="47">
        <f t="shared" si="75"/>
        <v>0</v>
      </c>
      <c r="AQ50" s="47">
        <f t="shared" si="76"/>
        <v>0.21189611069803549</v>
      </c>
      <c r="AR50" s="47">
        <f t="shared" si="77"/>
        <v>0.21713905150580332</v>
      </c>
      <c r="AS50" s="47">
        <f t="shared" si="78"/>
        <v>3.6441858741405306E-2</v>
      </c>
      <c r="AT50" s="47">
        <f t="shared" si="79"/>
        <v>2.1892363380706325E-3</v>
      </c>
      <c r="AU50" s="47">
        <f t="shared" si="80"/>
        <v>0</v>
      </c>
      <c r="AV50" s="47">
        <f t="shared" si="81"/>
        <v>0.22343609177359533</v>
      </c>
      <c r="AW50" s="47">
        <f t="shared" si="82"/>
        <v>1.7766343989304094</v>
      </c>
      <c r="AX50" s="47">
        <f t="shared" si="83"/>
        <v>8.8012908234501697E-2</v>
      </c>
      <c r="AY50" s="46">
        <f t="shared" si="84"/>
        <v>1.7504044381451356E-2</v>
      </c>
      <c r="AZ50" s="26"/>
      <c r="BA50" s="23">
        <f t="shared" si="85"/>
        <v>0.45625292543106616</v>
      </c>
      <c r="BB50" s="13">
        <f t="shared" si="6"/>
        <v>6.3645431855395207E-3</v>
      </c>
      <c r="BC50" s="13">
        <f t="shared" si="7"/>
        <v>7.9149690070906664E-2</v>
      </c>
      <c r="BD50" s="13">
        <f t="shared" si="8"/>
        <v>0</v>
      </c>
      <c r="BE50" s="13">
        <f t="shared" si="9"/>
        <v>6.9237587436408427E-2</v>
      </c>
      <c r="BF50" s="13">
        <f t="shared" si="10"/>
        <v>4.9539121998025182E-2</v>
      </c>
      <c r="BG50" s="13">
        <f t="shared" si="11"/>
        <v>9.8523615168035414E-3</v>
      </c>
      <c r="BH50" s="13">
        <f t="shared" si="12"/>
        <v>0</v>
      </c>
      <c r="BI50" s="13">
        <f t="shared" si="13"/>
        <v>0.11926826972707706</v>
      </c>
      <c r="BJ50" s="13">
        <f t="shared" si="14"/>
        <v>0.12221932190242851</v>
      </c>
      <c r="BK50" s="13">
        <f t="shared" si="15"/>
        <v>2.0511737678469172E-2</v>
      </c>
      <c r="BL50" s="13">
        <f t="shared" si="16"/>
        <v>1.2322379547466955E-3</v>
      </c>
      <c r="BM50" s="13">
        <f t="shared" si="17"/>
        <v>0</v>
      </c>
      <c r="BN50" s="13">
        <f t="shared" si="86"/>
        <v>0.12576368661335782</v>
      </c>
      <c r="BO50" s="12">
        <f t="shared" si="87"/>
        <v>0.87423631338664221</v>
      </c>
      <c r="BP50" s="13"/>
      <c r="BQ50" s="23">
        <f t="shared" si="88"/>
        <v>1.6211892838669262</v>
      </c>
      <c r="BR50" s="13">
        <f t="shared" si="18"/>
        <v>2.2614932713815279E-2</v>
      </c>
      <c r="BS50" s="13">
        <f t="shared" si="19"/>
        <v>0.42169475076684898</v>
      </c>
      <c r="BT50" s="13">
        <f t="shared" si="20"/>
        <v>0</v>
      </c>
      <c r="BU50" s="13">
        <f t="shared" si="21"/>
        <v>0.12300987953847514</v>
      </c>
      <c r="BV50" s="13">
        <f t="shared" si="89"/>
        <v>8.8012908234501697E-2</v>
      </c>
      <c r="BW50" s="24">
        <f t="shared" si="90"/>
        <v>5.2512133144354073E-2</v>
      </c>
      <c r="BX50" s="13">
        <f t="shared" si="22"/>
        <v>0</v>
      </c>
      <c r="BY50" s="13">
        <f t="shared" si="23"/>
        <v>0.21200127005818339</v>
      </c>
      <c r="BZ50" s="13">
        <f t="shared" si="24"/>
        <v>0.2170616400792415</v>
      </c>
      <c r="CA50" s="13">
        <f t="shared" si="25"/>
        <v>3.6430103303101626E-2</v>
      </c>
      <c r="CB50" s="13">
        <f t="shared" si="26"/>
        <v>2.1892363380706325E-3</v>
      </c>
      <c r="CC50" s="13">
        <f t="shared" si="27"/>
        <v>0</v>
      </c>
      <c r="CD50" s="13">
        <f t="shared" si="91"/>
        <v>0.22343609177359533</v>
      </c>
      <c r="CE50" s="12">
        <f t="shared" si="92"/>
        <v>2.8796271884382576</v>
      </c>
      <c r="CF50" s="13"/>
      <c r="CG50" s="23">
        <f t="shared" si="129"/>
        <v>0.56298582343437487</v>
      </c>
      <c r="CH50" s="13">
        <f t="shared" si="129"/>
        <v>7.8534238059060364E-3</v>
      </c>
      <c r="CI50" s="13">
        <f t="shared" si="129"/>
        <v>0.14644074498947612</v>
      </c>
      <c r="CJ50" s="13">
        <f t="shared" si="129"/>
        <v>0</v>
      </c>
      <c r="CK50" s="13">
        <f t="shared" si="128"/>
        <v>4.2717293416439976E-2</v>
      </c>
      <c r="CL50" s="13">
        <f t="shared" si="128"/>
        <v>3.0563994043352114E-2</v>
      </c>
      <c r="CM50" s="13">
        <f t="shared" si="128"/>
        <v>1.8235740152472167E-2</v>
      </c>
      <c r="CN50" s="13">
        <f t="shared" si="128"/>
        <v>0</v>
      </c>
      <c r="CO50" s="13">
        <f t="shared" si="128"/>
        <v>7.3621082239177141E-2</v>
      </c>
      <c r="CP50" s="13">
        <f t="shared" si="128"/>
        <v>7.5378382642984812E-2</v>
      </c>
      <c r="CQ50" s="13">
        <f t="shared" si="128"/>
        <v>1.2650979074433312E-2</v>
      </c>
      <c r="CR50" s="13">
        <f t="shared" si="128"/>
        <v>7.6024991945500666E-4</v>
      </c>
      <c r="CS50" s="13">
        <f t="shared" si="128"/>
        <v>0</v>
      </c>
      <c r="CT50" s="13">
        <f t="shared" si="128"/>
        <v>7.7592020477752918E-2</v>
      </c>
      <c r="CU50" s="12">
        <f t="shared" si="29"/>
        <v>1.0000000000000002</v>
      </c>
      <c r="CV50" s="26"/>
      <c r="CW50" s="23">
        <f t="shared" si="30"/>
        <v>0.81059464193346309</v>
      </c>
      <c r="CX50" s="13">
        <f t="shared" si="31"/>
        <v>1.1307466356907639E-2</v>
      </c>
      <c r="CY50" s="13">
        <f t="shared" si="32"/>
        <v>0.28112983384456597</v>
      </c>
      <c r="CZ50" s="13">
        <f t="shared" si="33"/>
        <v>0</v>
      </c>
      <c r="DA50" s="13">
        <f t="shared" si="34"/>
        <v>0.17270194986072424</v>
      </c>
      <c r="DB50" s="13">
        <f t="shared" si="35"/>
        <v>8.8012908234501697E-2</v>
      </c>
      <c r="DC50" s="24">
        <f t="shared" si="36"/>
        <v>3.5008088762902713E-2</v>
      </c>
      <c r="DD50" s="13">
        <f t="shared" si="37"/>
        <v>0</v>
      </c>
      <c r="DE50" s="13">
        <f t="shared" si="38"/>
        <v>0.21200127005818339</v>
      </c>
      <c r="DF50" s="13">
        <f t="shared" si="39"/>
        <v>0.2170616400792415</v>
      </c>
      <c r="DG50" s="13">
        <f t="shared" si="40"/>
        <v>7.2860206606203251E-2</v>
      </c>
      <c r="DH50" s="13">
        <f t="shared" si="41"/>
        <v>4.3784726761412649E-3</v>
      </c>
      <c r="DI50" s="13">
        <f t="shared" si="42"/>
        <v>0</v>
      </c>
      <c r="DJ50" s="13">
        <f t="shared" si="93"/>
        <v>0.44687218354719066</v>
      </c>
      <c r="DK50" s="12">
        <f>IF(SUM(CW50:DA50,DD50:DJ50)=0,"",SUM(CW50:DA50,DD50:DJ50))</f>
        <v>2.2289076649626209</v>
      </c>
      <c r="DL50" s="26"/>
      <c r="DM50" s="23">
        <f t="shared" si="154"/>
        <v>0.36367349562102963</v>
      </c>
      <c r="DN50" s="13">
        <f t="shared" si="154"/>
        <v>5.0730977037118617E-3</v>
      </c>
      <c r="DO50" s="13">
        <f t="shared" si="153"/>
        <v>0.12612897261909706</v>
      </c>
      <c r="DP50" s="13">
        <f t="shared" si="153"/>
        <v>0</v>
      </c>
      <c r="DQ50" s="13">
        <f t="shared" si="153"/>
        <v>7.7482774443965341E-2</v>
      </c>
      <c r="DR50" s="13">
        <f t="shared" si="153"/>
        <v>3.9487014028451325E-2</v>
      </c>
      <c r="DS50" s="13">
        <f t="shared" si="153"/>
        <v>1.5706388072154531E-2</v>
      </c>
      <c r="DT50" s="13">
        <f t="shared" si="153"/>
        <v>0</v>
      </c>
      <c r="DU50" s="13">
        <f t="shared" si="153"/>
        <v>9.5114424608405065E-2</v>
      </c>
      <c r="DV50" s="13">
        <f t="shared" si="153"/>
        <v>9.7384760926326502E-2</v>
      </c>
      <c r="DW50" s="13">
        <f t="shared" si="153"/>
        <v>3.2688750526336914E-2</v>
      </c>
      <c r="DX50" s="13">
        <f t="shared" si="153"/>
        <v>1.9644028978718113E-3</v>
      </c>
      <c r="DY50" s="13">
        <f t="shared" si="153"/>
        <v>0</v>
      </c>
      <c r="DZ50" s="13">
        <f t="shared" si="153"/>
        <v>0.20048932065325584</v>
      </c>
      <c r="EA50" s="12">
        <f t="shared" si="44"/>
        <v>1</v>
      </c>
      <c r="EB50" s="26"/>
      <c r="EC50" s="30">
        <f t="shared" si="45"/>
        <v>1323</v>
      </c>
      <c r="ED50" s="14">
        <f t="shared" si="96"/>
        <v>100000</v>
      </c>
      <c r="EE50" s="29"/>
      <c r="EF50" s="128">
        <f t="shared" si="124"/>
        <v>-8.7342365835222964</v>
      </c>
      <c r="EG50" s="13">
        <f t="shared" si="97"/>
        <v>1.5</v>
      </c>
      <c r="EH50" s="13">
        <f t="shared" si="98"/>
        <v>0.74926606198035017</v>
      </c>
      <c r="EI50" s="12">
        <f t="shared" si="46"/>
        <v>5.3414996220710531</v>
      </c>
      <c r="EJ50" s="29"/>
      <c r="EK50" s="28">
        <f t="shared" si="99"/>
        <v>-1.6153691451910799</v>
      </c>
      <c r="EL50" s="24">
        <f t="shared" si="100"/>
        <v>-0.7014195159318628</v>
      </c>
      <c r="EM50" s="24">
        <f t="shared" si="101"/>
        <v>0.1988172644558425</v>
      </c>
      <c r="EN50" s="24">
        <f t="shared" si="102"/>
        <v>4.9539121998025189E-2</v>
      </c>
      <c r="EO50" s="24">
        <f t="shared" si="103"/>
        <v>9.8492327191916189E-3</v>
      </c>
      <c r="EP50" s="24">
        <f t="shared" si="104"/>
        <v>0.28450537009937532</v>
      </c>
      <c r="EQ50" s="24">
        <f t="shared" si="105"/>
        <v>-1.6150515264643162</v>
      </c>
      <c r="ER50" s="24">
        <f t="shared" si="47"/>
        <v>-20.109295756269134</v>
      </c>
      <c r="ES50" s="25">
        <f t="shared" si="48"/>
        <v>-8.7317827860482566</v>
      </c>
      <c r="ET50" s="26">
        <v>4.0999999999999996</v>
      </c>
      <c r="EU50" s="26">
        <v>0.29083888041780526</v>
      </c>
      <c r="EV50" s="26">
        <v>0.3859798602105966</v>
      </c>
      <c r="EW50" s="26">
        <v>0.28450537009937532</v>
      </c>
      <c r="EX50" s="26">
        <v>0.38415671320748845</v>
      </c>
      <c r="EY50" s="26">
        <f t="shared" si="106"/>
        <v>0.99527657478783116</v>
      </c>
      <c r="EZ50" s="26">
        <f t="shared" si="107"/>
        <v>1.0222614789879632</v>
      </c>
      <c r="FA50" s="23">
        <f t="shared" si="125"/>
        <v>-1.2823913743225397</v>
      </c>
      <c r="FB50" s="190">
        <f t="shared" si="108"/>
        <v>4.9603622962504756E-2</v>
      </c>
      <c r="FC50" s="124">
        <v>6.2646889236044334E-2</v>
      </c>
      <c r="FD50" s="26"/>
      <c r="FE50" s="27">
        <f t="shared" si="109"/>
        <v>0.88818423022188309</v>
      </c>
      <c r="FF50" s="26"/>
      <c r="FG50" s="23">
        <f t="shared" si="130"/>
        <v>-4.5695958671837902</v>
      </c>
      <c r="FH50" s="13">
        <f t="shared" si="50"/>
        <v>13.948676624437432</v>
      </c>
      <c r="FI50" s="13">
        <f t="shared" si="131"/>
        <v>-21.845149910644157</v>
      </c>
      <c r="FJ50" s="13">
        <f t="shared" si="132"/>
        <v>0.14077649046201657</v>
      </c>
      <c r="FK50" s="12">
        <f t="shared" si="53"/>
        <v>0.53513611442061182</v>
      </c>
      <c r="FL50" s="13"/>
      <c r="FM50" s="23">
        <f t="shared" si="133"/>
        <v>-6.0666930292995076</v>
      </c>
      <c r="FN50" s="13">
        <f t="shared" si="134"/>
        <v>11.311841048320769</v>
      </c>
      <c r="FO50" s="13">
        <f t="shared" si="135"/>
        <v>11.833208670237809</v>
      </c>
      <c r="FP50" s="24">
        <f t="shared" si="136"/>
        <v>0.44841114211634803</v>
      </c>
      <c r="FQ50" s="25">
        <f t="shared" si="137"/>
        <v>0.72975914168178002</v>
      </c>
      <c r="FR50" s="13"/>
      <c r="FS50" s="23">
        <f t="shared" si="111"/>
        <v>11.084690506591301</v>
      </c>
      <c r="FT50" s="13">
        <f t="shared" si="126"/>
        <v>-6.1788208758053438</v>
      </c>
      <c r="FU50" s="13">
        <f t="shared" si="138"/>
        <v>-0.20496178464794923</v>
      </c>
      <c r="FV50" s="13">
        <f t="shared" si="58"/>
        <v>0.38415671320748845</v>
      </c>
      <c r="FW50" s="23">
        <f t="shared" si="139"/>
        <v>-0.20504432433049047</v>
      </c>
      <c r="FX50" s="13">
        <f t="shared" si="140"/>
        <v>0.38411175100692008</v>
      </c>
      <c r="FY50" s="13">
        <f t="shared" si="141"/>
        <v>-0.20501197361242518</v>
      </c>
      <c r="FZ50" s="13">
        <f t="shared" si="116"/>
        <v>0.38412937331842734</v>
      </c>
      <c r="GA50" s="13">
        <f t="shared" si="142"/>
        <v>-0.20505263876737345</v>
      </c>
      <c r="GB50" s="12">
        <f t="shared" si="118"/>
        <v>0.38410722195731384</v>
      </c>
      <c r="GC50" s="22"/>
      <c r="GD50" s="11">
        <f t="shared" si="143"/>
        <v>1.5</v>
      </c>
      <c r="GE50" s="10">
        <f t="shared" si="144"/>
        <v>0.74926606198035017</v>
      </c>
      <c r="GF50" s="10">
        <f t="shared" si="145"/>
        <v>5.3414996220710531</v>
      </c>
      <c r="GG50" s="5">
        <f t="shared" si="146"/>
        <v>-8.7342365835222964</v>
      </c>
      <c r="GH50" s="10">
        <f t="shared" si="147"/>
        <v>0.28450537009937532</v>
      </c>
      <c r="GI50" s="9">
        <f t="shared" si="119"/>
        <v>11.084690506591301</v>
      </c>
      <c r="GJ50" s="8">
        <f t="shared" si="120"/>
        <v>-6.1788208758053438</v>
      </c>
      <c r="GK50" s="8">
        <f t="shared" si="121"/>
        <v>0.38415671320748845</v>
      </c>
      <c r="GL50" s="7">
        <f t="shared" si="122"/>
        <v>0.38411175100692008</v>
      </c>
      <c r="GM50" s="6">
        <f t="shared" si="148"/>
        <v>0.44841114211634803</v>
      </c>
      <c r="GN50" s="5">
        <f t="shared" si="149"/>
        <v>0.72975914168178002</v>
      </c>
      <c r="GO50" s="4">
        <f t="shared" si="150"/>
        <v>0.53513611442061182</v>
      </c>
      <c r="GP50" s="4">
        <f t="shared" si="151"/>
        <v>0.88818423022188309</v>
      </c>
      <c r="GQ50" s="4">
        <f t="shared" si="152"/>
        <v>4.9603622962504756E-2</v>
      </c>
      <c r="GR50" s="1"/>
    </row>
    <row r="51" spans="1:200" x14ac:dyDescent="0.4">
      <c r="A51" s="34"/>
      <c r="B51" s="21"/>
      <c r="C51" s="21"/>
      <c r="D51" s="34"/>
      <c r="E51" s="34"/>
      <c r="F51" s="20" t="s">
        <v>84</v>
      </c>
      <c r="G51" s="19">
        <v>1050</v>
      </c>
      <c r="H51" s="18">
        <v>1E-4</v>
      </c>
      <c r="I51" s="17">
        <v>1.5</v>
      </c>
      <c r="J51" s="16">
        <v>49.6</v>
      </c>
      <c r="K51" s="16">
        <v>0.92</v>
      </c>
      <c r="L51" s="16">
        <v>14.6</v>
      </c>
      <c r="M51" s="16">
        <v>0</v>
      </c>
      <c r="N51" s="16">
        <v>9</v>
      </c>
      <c r="O51" s="16">
        <v>0</v>
      </c>
      <c r="P51" s="16">
        <v>8.6999999999999993</v>
      </c>
      <c r="Q51" s="16">
        <v>12.4</v>
      </c>
      <c r="R51" s="16">
        <v>2.2999999999999998</v>
      </c>
      <c r="S51" s="16">
        <v>0.21</v>
      </c>
      <c r="T51" s="16">
        <v>0</v>
      </c>
      <c r="U51" s="15">
        <v>4.2</v>
      </c>
      <c r="V51" s="16"/>
      <c r="W51" s="28">
        <f t="shared" si="69"/>
        <v>48.660845678406751</v>
      </c>
      <c r="X51" s="24">
        <f t="shared" si="156"/>
        <v>0.90258020209948009</v>
      </c>
      <c r="Y51" s="24">
        <f t="shared" si="156"/>
        <v>14.323555381143921</v>
      </c>
      <c r="Z51" s="24">
        <f t="shared" si="155"/>
        <v>0</v>
      </c>
      <c r="AA51" s="24">
        <f t="shared" si="155"/>
        <v>8.8295889335818689</v>
      </c>
      <c r="AB51" s="24">
        <f t="shared" si="155"/>
        <v>0</v>
      </c>
      <c r="AC51" s="24">
        <f t="shared" si="155"/>
        <v>8.5352693024624724</v>
      </c>
      <c r="AD51" s="24">
        <f t="shared" si="155"/>
        <v>12.165211419601688</v>
      </c>
      <c r="AE51" s="24">
        <f t="shared" si="155"/>
        <v>2.2564505052486994</v>
      </c>
      <c r="AF51" s="24">
        <f t="shared" si="155"/>
        <v>0.20602374178357694</v>
      </c>
      <c r="AG51" s="24">
        <f t="shared" si="155"/>
        <v>0</v>
      </c>
      <c r="AH51" s="24">
        <f t="shared" si="155"/>
        <v>4.1204748356715388</v>
      </c>
      <c r="AI51" s="14">
        <f t="shared" si="123"/>
        <v>100</v>
      </c>
      <c r="AJ51" s="26"/>
      <c r="AK51" s="50">
        <f t="shared" si="70"/>
        <v>0.80979939554679226</v>
      </c>
      <c r="AL51" s="47">
        <f t="shared" si="71"/>
        <v>1.1296372992484106E-2</v>
      </c>
      <c r="AM51" s="47">
        <f t="shared" si="72"/>
        <v>0.14048210456202356</v>
      </c>
      <c r="AN51" s="49">
        <f t="shared" si="73"/>
        <v>0</v>
      </c>
      <c r="AO51" s="49">
        <f t="shared" si="74"/>
        <v>0.12288919879724244</v>
      </c>
      <c r="AP51" s="47">
        <f t="shared" si="75"/>
        <v>0</v>
      </c>
      <c r="AQ51" s="47">
        <f t="shared" si="76"/>
        <v>0.21168822674758117</v>
      </c>
      <c r="AR51" s="47">
        <f t="shared" si="77"/>
        <v>0.21692602388733395</v>
      </c>
      <c r="AS51" s="47">
        <f t="shared" si="78"/>
        <v>3.6406106893331715E-2</v>
      </c>
      <c r="AT51" s="47">
        <f t="shared" si="79"/>
        <v>2.1870885539657849E-3</v>
      </c>
      <c r="AU51" s="47">
        <f t="shared" si="80"/>
        <v>0</v>
      </c>
      <c r="AV51" s="47">
        <f t="shared" si="81"/>
        <v>0.22866120064769915</v>
      </c>
      <c r="AW51" s="47">
        <f t="shared" si="82"/>
        <v>1.7803357186284541</v>
      </c>
      <c r="AX51" s="47">
        <f t="shared" si="83"/>
        <v>8.7942995839513344E-2</v>
      </c>
      <c r="AY51" s="46">
        <f t="shared" si="84"/>
        <v>1.747865214455991E-2</v>
      </c>
      <c r="AZ51" s="26"/>
      <c r="BA51" s="23">
        <f t="shared" si="85"/>
        <v>0.45485769176762375</v>
      </c>
      <c r="BB51" s="13">
        <f t="shared" si="6"/>
        <v>6.345080242049334E-3</v>
      </c>
      <c r="BC51" s="13">
        <f t="shared" si="7"/>
        <v>7.8907648199211006E-2</v>
      </c>
      <c r="BD51" s="13">
        <f t="shared" si="8"/>
        <v>0</v>
      </c>
      <c r="BE51" s="13">
        <f t="shared" si="9"/>
        <v>6.9025857039993879E-2</v>
      </c>
      <c r="BF51" s="13">
        <f t="shared" si="10"/>
        <v>4.9396860895013335E-2</v>
      </c>
      <c r="BG51" s="13">
        <f t="shared" si="11"/>
        <v>9.8176158359757123E-3</v>
      </c>
      <c r="BH51" s="13">
        <f t="shared" si="12"/>
        <v>0</v>
      </c>
      <c r="BI51" s="13">
        <f t="shared" si="13"/>
        <v>0.11890354416450333</v>
      </c>
      <c r="BJ51" s="13">
        <f t="shared" si="14"/>
        <v>0.12184557194327975</v>
      </c>
      <c r="BK51" s="13">
        <f t="shared" si="15"/>
        <v>2.0449012235388097E-2</v>
      </c>
      <c r="BL51" s="13">
        <f t="shared" si="16"/>
        <v>1.228469738084392E-3</v>
      </c>
      <c r="BM51" s="13">
        <f t="shared" si="17"/>
        <v>0</v>
      </c>
      <c r="BN51" s="13">
        <f t="shared" si="86"/>
        <v>0.12843712466986651</v>
      </c>
      <c r="BO51" s="12">
        <f t="shared" si="87"/>
        <v>0.87156287533013355</v>
      </c>
      <c r="BP51" s="13"/>
      <c r="BQ51" s="23">
        <f t="shared" si="88"/>
        <v>1.6195987910935845</v>
      </c>
      <c r="BR51" s="13">
        <f t="shared" si="18"/>
        <v>2.2592745984968212E-2</v>
      </c>
      <c r="BS51" s="13">
        <f t="shared" si="19"/>
        <v>0.42128104062188004</v>
      </c>
      <c r="BT51" s="13">
        <f t="shared" si="20"/>
        <v>0</v>
      </c>
      <c r="BU51" s="13">
        <f t="shared" si="21"/>
        <v>0.12288919879724244</v>
      </c>
      <c r="BV51" s="13">
        <f t="shared" si="89"/>
        <v>8.7942995839513344E-2</v>
      </c>
      <c r="BW51" s="24">
        <f t="shared" si="90"/>
        <v>5.243595643367973E-2</v>
      </c>
      <c r="BX51" s="13">
        <f t="shared" si="22"/>
        <v>0</v>
      </c>
      <c r="BY51" s="13">
        <f t="shared" si="23"/>
        <v>0.21179328293951546</v>
      </c>
      <c r="BZ51" s="13">
        <f t="shared" si="24"/>
        <v>0.21684868840644719</v>
      </c>
      <c r="CA51" s="13">
        <f t="shared" si="25"/>
        <v>3.6394362987882248E-2</v>
      </c>
      <c r="CB51" s="13">
        <f t="shared" si="26"/>
        <v>2.1870885539657849E-3</v>
      </c>
      <c r="CC51" s="13">
        <f t="shared" si="27"/>
        <v>0</v>
      </c>
      <c r="CD51" s="13">
        <f t="shared" si="91"/>
        <v>0.22866120064769915</v>
      </c>
      <c r="CE51" s="12">
        <f t="shared" si="92"/>
        <v>2.8822464000331851</v>
      </c>
      <c r="CF51" s="13"/>
      <c r="CG51" s="23">
        <f>IF(OR($CE51="",BQ51=""),"",BQ51/$CE51)</f>
        <v>0.56192239187979798</v>
      </c>
      <c r="CH51" s="13">
        <f t="shared" si="129"/>
        <v>7.8385893672061092E-3</v>
      </c>
      <c r="CI51" s="13">
        <f t="shared" si="129"/>
        <v>0.14616413108089218</v>
      </c>
      <c r="CJ51" s="13">
        <f t="shared" si="129"/>
        <v>0</v>
      </c>
      <c r="CK51" s="13">
        <f t="shared" si="128"/>
        <v>4.2636604141765101E-2</v>
      </c>
      <c r="CL51" s="13">
        <f t="shared" si="128"/>
        <v>3.0511963112695988E-2</v>
      </c>
      <c r="CM51" s="13">
        <f t="shared" si="128"/>
        <v>1.8192738980635382E-2</v>
      </c>
      <c r="CN51" s="13">
        <f t="shared" si="128"/>
        <v>0</v>
      </c>
      <c r="CO51" s="13">
        <f t="shared" si="128"/>
        <v>7.3482018378816238E-2</v>
      </c>
      <c r="CP51" s="13">
        <f t="shared" si="128"/>
        <v>7.5235999394066541E-2</v>
      </c>
      <c r="CQ51" s="13">
        <f t="shared" si="128"/>
        <v>1.2627082468543709E-2</v>
      </c>
      <c r="CR51" s="13">
        <f t="shared" si="128"/>
        <v>7.5881387307504434E-4</v>
      </c>
      <c r="CS51" s="13">
        <f t="shared" si="128"/>
        <v>0</v>
      </c>
      <c r="CT51" s="13">
        <f t="shared" si="128"/>
        <v>7.9334369415837047E-2</v>
      </c>
      <c r="CU51" s="12">
        <f t="shared" si="29"/>
        <v>1</v>
      </c>
      <c r="CV51" s="26"/>
      <c r="CW51" s="23">
        <f t="shared" si="30"/>
        <v>0.80979939554679226</v>
      </c>
      <c r="CX51" s="13">
        <f t="shared" si="31"/>
        <v>1.1296372992484106E-2</v>
      </c>
      <c r="CY51" s="13">
        <f t="shared" si="32"/>
        <v>0.28085402708125334</v>
      </c>
      <c r="CZ51" s="13">
        <f t="shared" si="33"/>
        <v>0</v>
      </c>
      <c r="DA51" s="13">
        <f t="shared" si="34"/>
        <v>0.17270194986072424</v>
      </c>
      <c r="DB51" s="13">
        <f t="shared" si="35"/>
        <v>8.7942995839513344E-2</v>
      </c>
      <c r="DC51" s="24">
        <f t="shared" si="36"/>
        <v>3.495730428911982E-2</v>
      </c>
      <c r="DD51" s="13">
        <f t="shared" si="37"/>
        <v>0</v>
      </c>
      <c r="DE51" s="13">
        <f t="shared" si="38"/>
        <v>0.21179328293951546</v>
      </c>
      <c r="DF51" s="13">
        <f t="shared" si="39"/>
        <v>0.21684868840644719</v>
      </c>
      <c r="DG51" s="13">
        <f t="shared" si="40"/>
        <v>7.2788725975764496E-2</v>
      </c>
      <c r="DH51" s="13">
        <f t="shared" si="41"/>
        <v>4.3741771079315699E-3</v>
      </c>
      <c r="DI51" s="13">
        <f t="shared" si="42"/>
        <v>0</v>
      </c>
      <c r="DJ51" s="13">
        <f t="shared" si="93"/>
        <v>0.45732240129539831</v>
      </c>
      <c r="DK51" s="12">
        <f t="shared" si="94"/>
        <v>2.2377790212063111</v>
      </c>
      <c r="DL51" s="26"/>
      <c r="DM51" s="23">
        <f t="shared" si="154"/>
        <v>0.36187639077528611</v>
      </c>
      <c r="DN51" s="13">
        <f t="shared" si="154"/>
        <v>5.048028820287453E-3</v>
      </c>
      <c r="DO51" s="13">
        <f t="shared" si="153"/>
        <v>0.12550570204642209</v>
      </c>
      <c r="DP51" s="13">
        <f t="shared" si="153"/>
        <v>0</v>
      </c>
      <c r="DQ51" s="13">
        <f t="shared" si="153"/>
        <v>7.7175605019134758E-2</v>
      </c>
      <c r="DR51" s="13">
        <f t="shared" si="153"/>
        <v>3.929923151755451E-2</v>
      </c>
      <c r="DS51" s="13">
        <f t="shared" si="153"/>
        <v>1.5621428191902308E-2</v>
      </c>
      <c r="DT51" s="13">
        <f t="shared" si="153"/>
        <v>0</v>
      </c>
      <c r="DU51" s="13">
        <f t="shared" si="153"/>
        <v>9.4644413470881886E-2</v>
      </c>
      <c r="DV51" s="13">
        <f t="shared" si="153"/>
        <v>9.6903530845307229E-2</v>
      </c>
      <c r="DW51" s="13">
        <f t="shared" si="153"/>
        <v>3.2527217962981241E-2</v>
      </c>
      <c r="DX51" s="13">
        <f t="shared" si="153"/>
        <v>1.9546957346903713E-3</v>
      </c>
      <c r="DY51" s="13">
        <f t="shared" si="153"/>
        <v>0</v>
      </c>
      <c r="DZ51" s="13">
        <f t="shared" si="153"/>
        <v>0.20436441532500882</v>
      </c>
      <c r="EA51" s="12">
        <f t="shared" si="44"/>
        <v>1</v>
      </c>
      <c r="EB51" s="26"/>
      <c r="EC51" s="30">
        <f t="shared" si="45"/>
        <v>1323</v>
      </c>
      <c r="ED51" s="14">
        <f t="shared" si="96"/>
        <v>100000</v>
      </c>
      <c r="EE51" s="29"/>
      <c r="EF51" s="128">
        <f t="shared" si="124"/>
        <v>-8.7342365835222964</v>
      </c>
      <c r="EG51" s="13">
        <f t="shared" si="97"/>
        <v>1.5</v>
      </c>
      <c r="EH51" s="13">
        <f t="shared" si="98"/>
        <v>0.74926606198035017</v>
      </c>
      <c r="EI51" s="12">
        <f t="shared" si="46"/>
        <v>5.3414996220710531</v>
      </c>
      <c r="EJ51" s="29"/>
      <c r="EK51" s="28">
        <f t="shared" si="99"/>
        <v>-1.6160261899378088</v>
      </c>
      <c r="EL51" s="24">
        <f t="shared" si="100"/>
        <v>-0.70170481543109375</v>
      </c>
      <c r="EM51" s="24">
        <f t="shared" si="101"/>
        <v>0.19868667552275704</v>
      </c>
      <c r="EN51" s="24">
        <f t="shared" si="102"/>
        <v>4.9396860895013328E-2</v>
      </c>
      <c r="EO51" s="24">
        <f t="shared" si="103"/>
        <v>9.814498072490279E-3</v>
      </c>
      <c r="EP51" s="24">
        <f t="shared" si="104"/>
        <v>0.28437163965392603</v>
      </c>
      <c r="EQ51" s="24">
        <f t="shared" si="105"/>
        <v>-1.6157085712110453</v>
      </c>
      <c r="ER51" s="24">
        <f t="shared" si="47"/>
        <v>-20.109295756269134</v>
      </c>
      <c r="ES51" s="25">
        <f t="shared" si="48"/>
        <v>-8.7317827860482566</v>
      </c>
      <c r="ET51" s="26">
        <v>4.2</v>
      </c>
      <c r="EU51" s="26">
        <v>0.29083888041780526</v>
      </c>
      <c r="EV51" s="26">
        <v>0.38843985065988684</v>
      </c>
      <c r="EW51" s="26">
        <v>0.28437163965392603</v>
      </c>
      <c r="EX51" s="26">
        <v>0.38657964493758279</v>
      </c>
      <c r="EY51" s="26">
        <f t="shared" si="106"/>
        <v>0.99521108424085758</v>
      </c>
      <c r="EZ51" s="26">
        <f t="shared" si="107"/>
        <v>1.0227422142789968</v>
      </c>
      <c r="FA51" s="23">
        <f t="shared" si="125"/>
        <v>-1.2846741815854834</v>
      </c>
      <c r="FB51" s="190">
        <f t="shared" si="108"/>
        <v>4.9356407771704247E-2</v>
      </c>
      <c r="FC51" s="124">
        <v>6.2646889236044334E-2</v>
      </c>
      <c r="FD51" s="26"/>
      <c r="FE51" s="27">
        <f t="shared" si="109"/>
        <v>0.88818423022188309</v>
      </c>
      <c r="FF51" s="26"/>
      <c r="FG51" s="23">
        <f t="shared" si="130"/>
        <v>-4.5898747564057807</v>
      </c>
      <c r="FH51" s="13">
        <f t="shared" si="50"/>
        <v>13.919019811551163</v>
      </c>
      <c r="FI51" s="13">
        <f t="shared" si="131"/>
        <v>-21.845149910644157</v>
      </c>
      <c r="FJ51" s="13">
        <f t="shared" si="132"/>
        <v>0.13139856679772777</v>
      </c>
      <c r="FK51" s="12">
        <f t="shared" si="53"/>
        <v>0.53280245914227908</v>
      </c>
      <c r="FL51" s="13"/>
      <c r="FM51" s="23">
        <f t="shared" si="133"/>
        <v>-6.0673767939453667</v>
      </c>
      <c r="FN51" s="13">
        <f t="shared" si="134"/>
        <v>11.30776943345883</v>
      </c>
      <c r="FO51" s="13">
        <f t="shared" si="135"/>
        <v>11.829216554520087</v>
      </c>
      <c r="FP51" s="24">
        <f t="shared" si="136"/>
        <v>0.4464824858691504</v>
      </c>
      <c r="FQ51" s="25">
        <f t="shared" si="137"/>
        <v>0.72825421091943254</v>
      </c>
      <c r="FR51" s="13"/>
      <c r="FS51" s="23">
        <f t="shared" si="111"/>
        <v>11.090805906335959</v>
      </c>
      <c r="FT51" s="13">
        <f t="shared" si="126"/>
        <v>-6.177148060518479</v>
      </c>
      <c r="FU51" s="13">
        <f t="shared" si="138"/>
        <v>-0.20051920019015412</v>
      </c>
      <c r="FV51" s="13">
        <f t="shared" si="58"/>
        <v>0.38657964493758279</v>
      </c>
      <c r="FW51" s="23">
        <f t="shared" si="139"/>
        <v>-0.20060173987269536</v>
      </c>
      <c r="FX51" s="13">
        <f t="shared" si="140"/>
        <v>0.38653457714510386</v>
      </c>
      <c r="FY51" s="13">
        <f t="shared" si="141"/>
        <v>-0.20056938915463007</v>
      </c>
      <c r="FZ51" s="13">
        <f t="shared" si="116"/>
        <v>0.38655224084684336</v>
      </c>
      <c r="GA51" s="13">
        <f t="shared" si="142"/>
        <v>-0.20061005430957835</v>
      </c>
      <c r="GB51" s="12">
        <f t="shared" si="118"/>
        <v>0.38653003745690673</v>
      </c>
      <c r="GC51" s="22"/>
      <c r="GD51" s="11">
        <f t="shared" si="143"/>
        <v>1.5</v>
      </c>
      <c r="GE51" s="10">
        <f t="shared" si="144"/>
        <v>0.74926606198035017</v>
      </c>
      <c r="GF51" s="10">
        <f t="shared" si="145"/>
        <v>5.3414996220710531</v>
      </c>
      <c r="GG51" s="5">
        <f t="shared" si="146"/>
        <v>-8.7342365835222964</v>
      </c>
      <c r="GH51" s="10">
        <f t="shared" si="147"/>
        <v>0.28437163965392603</v>
      </c>
      <c r="GI51" s="9">
        <f t="shared" si="119"/>
        <v>11.090805906335959</v>
      </c>
      <c r="GJ51" s="8">
        <f t="shared" si="120"/>
        <v>-6.177148060518479</v>
      </c>
      <c r="GK51" s="8">
        <f t="shared" si="121"/>
        <v>0.38657964493758279</v>
      </c>
      <c r="GL51" s="7">
        <f t="shared" si="122"/>
        <v>0.38653457714510386</v>
      </c>
      <c r="GM51" s="6">
        <f t="shared" si="148"/>
        <v>0.4464824858691504</v>
      </c>
      <c r="GN51" s="5">
        <f t="shared" si="149"/>
        <v>0.72825421091943254</v>
      </c>
      <c r="GO51" s="4">
        <f t="shared" si="150"/>
        <v>0.53280245914227908</v>
      </c>
      <c r="GP51" s="4">
        <f t="shared" si="151"/>
        <v>0.88818423022188309</v>
      </c>
      <c r="GQ51" s="4">
        <f t="shared" si="152"/>
        <v>4.9356407771704247E-2</v>
      </c>
      <c r="GR51" s="1"/>
    </row>
    <row r="52" spans="1:200" x14ac:dyDescent="0.4">
      <c r="A52" s="34"/>
      <c r="B52" s="21"/>
      <c r="C52" s="21"/>
      <c r="D52" s="34"/>
      <c r="E52" s="34"/>
      <c r="F52" s="20" t="s">
        <v>84</v>
      </c>
      <c r="G52" s="19">
        <v>1050</v>
      </c>
      <c r="H52" s="18">
        <v>1E-4</v>
      </c>
      <c r="I52" s="17">
        <v>1.5</v>
      </c>
      <c r="J52" s="16">
        <v>49.6</v>
      </c>
      <c r="K52" s="16">
        <v>0.92</v>
      </c>
      <c r="L52" s="16">
        <v>14.6</v>
      </c>
      <c r="M52" s="16">
        <v>0</v>
      </c>
      <c r="N52" s="16">
        <v>9</v>
      </c>
      <c r="O52" s="16">
        <v>0</v>
      </c>
      <c r="P52" s="16">
        <v>8.6999999999999993</v>
      </c>
      <c r="Q52" s="16">
        <v>12.4</v>
      </c>
      <c r="R52" s="16">
        <v>2.2999999999999998</v>
      </c>
      <c r="S52" s="16">
        <v>0.21</v>
      </c>
      <c r="T52" s="16">
        <v>0</v>
      </c>
      <c r="U52" s="15">
        <v>4.3</v>
      </c>
      <c r="V52" s="16"/>
      <c r="W52" s="28">
        <f t="shared" si="69"/>
        <v>48.613152994217387</v>
      </c>
      <c r="X52" s="24">
        <f t="shared" si="156"/>
        <v>0.90169557973145154</v>
      </c>
      <c r="Y52" s="24">
        <f t="shared" si="156"/>
        <v>14.30951680878173</v>
      </c>
      <c r="Z52" s="24">
        <f t="shared" si="155"/>
        <v>0</v>
      </c>
      <c r="AA52" s="24">
        <f t="shared" si="155"/>
        <v>8.8209350191120262</v>
      </c>
      <c r="AB52" s="24">
        <f t="shared" si="155"/>
        <v>0</v>
      </c>
      <c r="AC52" s="24">
        <f t="shared" si="155"/>
        <v>8.5269038518082922</v>
      </c>
      <c r="AD52" s="24">
        <f t="shared" si="155"/>
        <v>12.153288248554347</v>
      </c>
      <c r="AE52" s="24">
        <f t="shared" si="155"/>
        <v>2.2542389493286286</v>
      </c>
      <c r="AF52" s="24">
        <f t="shared" si="155"/>
        <v>0.20582181711261394</v>
      </c>
      <c r="AG52" s="24">
        <f t="shared" si="155"/>
        <v>0</v>
      </c>
      <c r="AH52" s="24">
        <f t="shared" si="155"/>
        <v>4.2144467313535232</v>
      </c>
      <c r="AI52" s="14">
        <f t="shared" si="123"/>
        <v>99.999999999999972</v>
      </c>
      <c r="AJ52" s="26"/>
      <c r="AK52" s="50">
        <f t="shared" si="70"/>
        <v>0.80900570800827731</v>
      </c>
      <c r="AL52" s="47">
        <f t="shared" si="71"/>
        <v>1.1285301373359842E-2</v>
      </c>
      <c r="AM52" s="47">
        <f t="shared" si="72"/>
        <v>0.14034441750472471</v>
      </c>
      <c r="AN52" s="49">
        <f t="shared" si="73"/>
        <v>0</v>
      </c>
      <c r="AO52" s="49">
        <f t="shared" si="74"/>
        <v>0.12276875461533789</v>
      </c>
      <c r="AP52" s="47">
        <f t="shared" si="75"/>
        <v>0</v>
      </c>
      <c r="AQ52" s="47">
        <f t="shared" si="76"/>
        <v>0.21148075029286439</v>
      </c>
      <c r="AR52" s="47">
        <f t="shared" si="77"/>
        <v>0.21671341384726012</v>
      </c>
      <c r="AS52" s="47">
        <f t="shared" si="78"/>
        <v>3.6370425126308947E-2</v>
      </c>
      <c r="AT52" s="47">
        <f t="shared" si="79"/>
        <v>2.1849449799640546E-3</v>
      </c>
      <c r="AU52" s="47">
        <f t="shared" si="80"/>
        <v>0</v>
      </c>
      <c r="AV52" s="47">
        <f t="shared" si="81"/>
        <v>0.23387606722272605</v>
      </c>
      <c r="AW52" s="47">
        <f t="shared" si="82"/>
        <v>1.7840297829708234</v>
      </c>
      <c r="AX52" s="47">
        <f t="shared" si="83"/>
        <v>8.7873115771614621E-2</v>
      </c>
      <c r="AY52" s="46">
        <f t="shared" si="84"/>
        <v>1.7453362056226843E-2</v>
      </c>
      <c r="AZ52" s="26"/>
      <c r="BA52" s="23">
        <f t="shared" si="85"/>
        <v>0.45347096541241322</v>
      </c>
      <c r="BB52" s="13">
        <f t="shared" si="6"/>
        <v>6.3257359720571473E-3</v>
      </c>
      <c r="BC52" s="13">
        <f t="shared" si="7"/>
        <v>7.8667082155444004E-2</v>
      </c>
      <c r="BD52" s="13">
        <f t="shared" si="8"/>
        <v>0</v>
      </c>
      <c r="BE52" s="13">
        <f t="shared" si="9"/>
        <v>6.8815417650090707E-2</v>
      </c>
      <c r="BF52" s="13">
        <f t="shared" si="10"/>
        <v>4.9255408519742035E-2</v>
      </c>
      <c r="BG52" s="13">
        <f t="shared" si="11"/>
        <v>9.7831113711358258E-3</v>
      </c>
      <c r="BH52" s="13">
        <f t="shared" si="12"/>
        <v>0</v>
      </c>
      <c r="BI52" s="13">
        <f t="shared" si="13"/>
        <v>0.1185410424823177</v>
      </c>
      <c r="BJ52" s="13">
        <f t="shared" si="14"/>
        <v>0.12147410088994255</v>
      </c>
      <c r="BK52" s="13">
        <f t="shared" si="15"/>
        <v>2.0386669254895372E-2</v>
      </c>
      <c r="BL52" s="13">
        <f t="shared" si="16"/>
        <v>1.2247244977747034E-3</v>
      </c>
      <c r="BM52" s="13">
        <f t="shared" si="17"/>
        <v>0</v>
      </c>
      <c r="BN52" s="13">
        <f t="shared" si="86"/>
        <v>0.13109426168506455</v>
      </c>
      <c r="BO52" s="12">
        <f t="shared" si="87"/>
        <v>0.86890573831493545</v>
      </c>
      <c r="BP52" s="13"/>
      <c r="BQ52" s="23">
        <f>IF(W52="","",W52/(60.09/2))</f>
        <v>1.6180114160165546</v>
      </c>
      <c r="BR52" s="13">
        <f t="shared" si="18"/>
        <v>2.2570602746719685E-2</v>
      </c>
      <c r="BS52" s="13">
        <f t="shared" si="19"/>
        <v>0.42086814143475676</v>
      </c>
      <c r="BT52" s="13">
        <f t="shared" si="20"/>
        <v>0</v>
      </c>
      <c r="BU52" s="13">
        <f t="shared" si="21"/>
        <v>0.12276875461533789</v>
      </c>
      <c r="BV52" s="13">
        <f t="shared" si="89"/>
        <v>8.7873115771614621E-2</v>
      </c>
      <c r="BW52" s="24">
        <f t="shared" si="90"/>
        <v>5.2360086168680535E-2</v>
      </c>
      <c r="BX52" s="13">
        <f t="shared" si="22"/>
        <v>0</v>
      </c>
      <c r="BY52" s="13">
        <f t="shared" si="23"/>
        <v>0.2115857035188162</v>
      </c>
      <c r="BZ52" s="13">
        <f t="shared" si="24"/>
        <v>0.21663615416317908</v>
      </c>
      <c r="CA52" s="13">
        <f t="shared" si="25"/>
        <v>3.6358692731106909E-2</v>
      </c>
      <c r="CB52" s="13">
        <f t="shared" si="26"/>
        <v>2.1849449799640546E-3</v>
      </c>
      <c r="CC52" s="13">
        <f t="shared" si="27"/>
        <v>0</v>
      </c>
      <c r="CD52" s="13">
        <f t="shared" si="91"/>
        <v>0.23387606722272605</v>
      </c>
      <c r="CE52" s="12">
        <f t="shared" si="92"/>
        <v>2.8848604774291613</v>
      </c>
      <c r="CF52" s="13"/>
      <c r="CG52" s="23">
        <f t="shared" si="129"/>
        <v>0.5608629702114547</v>
      </c>
      <c r="CH52" s="13">
        <f t="shared" si="129"/>
        <v>7.8238108647921308E-3</v>
      </c>
      <c r="CI52" s="13">
        <f t="shared" si="129"/>
        <v>0.14588856020164023</v>
      </c>
      <c r="CJ52" s="13">
        <f t="shared" si="129"/>
        <v>0</v>
      </c>
      <c r="CK52" s="13">
        <f t="shared" si="128"/>
        <v>4.2556219122507809E-2</v>
      </c>
      <c r="CL52" s="13">
        <f t="shared" si="128"/>
        <v>3.0460092076939057E-2</v>
      </c>
      <c r="CM52" s="13">
        <f t="shared" si="128"/>
        <v>1.8149954418364502E-2</v>
      </c>
      <c r="CN52" s="13">
        <f t="shared" si="128"/>
        <v>0</v>
      </c>
      <c r="CO52" s="13">
        <f t="shared" si="128"/>
        <v>7.3343478887190575E-2</v>
      </c>
      <c r="CP52" s="13">
        <f t="shared" ref="CP52:CT83" si="157">IF(OR($CE52="",BZ52=""),"",BZ52/$CE52)</f>
        <v>7.5094153030317093E-2</v>
      </c>
      <c r="CQ52" s="13">
        <f t="shared" si="157"/>
        <v>1.2603275969695387E-2</v>
      </c>
      <c r="CR52" s="13">
        <f t="shared" si="157"/>
        <v>7.5738324160174461E-4</v>
      </c>
      <c r="CS52" s="13">
        <f t="shared" si="157"/>
        <v>0</v>
      </c>
      <c r="CT52" s="13">
        <f t="shared" si="157"/>
        <v>8.1070148470800338E-2</v>
      </c>
      <c r="CU52" s="12">
        <f t="shared" si="29"/>
        <v>1</v>
      </c>
      <c r="CV52" s="26"/>
      <c r="CW52" s="23">
        <f t="shared" si="30"/>
        <v>0.80900570800827731</v>
      </c>
      <c r="CX52" s="13">
        <f t="shared" si="31"/>
        <v>1.1285301373359842E-2</v>
      </c>
      <c r="CY52" s="13">
        <f t="shared" si="32"/>
        <v>0.28057876095650452</v>
      </c>
      <c r="CZ52" s="13">
        <f t="shared" si="33"/>
        <v>0</v>
      </c>
      <c r="DA52" s="13">
        <f t="shared" si="34"/>
        <v>0.17270194986072424</v>
      </c>
      <c r="DB52" s="13">
        <f t="shared" si="35"/>
        <v>8.7873115771614621E-2</v>
      </c>
      <c r="DC52" s="24">
        <f t="shared" si="36"/>
        <v>3.4906724112453685E-2</v>
      </c>
      <c r="DD52" s="13">
        <f t="shared" si="37"/>
        <v>0</v>
      </c>
      <c r="DE52" s="13">
        <f t="shared" si="38"/>
        <v>0.2115857035188162</v>
      </c>
      <c r="DF52" s="13">
        <f t="shared" si="39"/>
        <v>0.21663615416317908</v>
      </c>
      <c r="DG52" s="13">
        <f t="shared" si="40"/>
        <v>7.2717385462213818E-2</v>
      </c>
      <c r="DH52" s="13">
        <f t="shared" si="41"/>
        <v>4.3698899599281093E-3</v>
      </c>
      <c r="DI52" s="13">
        <f t="shared" si="42"/>
        <v>0</v>
      </c>
      <c r="DJ52" s="13">
        <f t="shared" si="93"/>
        <v>0.46775213444545211</v>
      </c>
      <c r="DK52" s="12">
        <f t="shared" si="94"/>
        <v>2.2466329877484554</v>
      </c>
      <c r="DL52" s="26"/>
      <c r="DM52" s="23">
        <f t="shared" si="154"/>
        <v>0.36009695950340853</v>
      </c>
      <c r="DN52" s="13">
        <f t="shared" si="154"/>
        <v>5.0232064760474364E-3</v>
      </c>
      <c r="DO52" s="13">
        <f t="shared" si="153"/>
        <v>0.12488856100955621</v>
      </c>
      <c r="DP52" s="13">
        <f t="shared" si="153"/>
        <v>0</v>
      </c>
      <c r="DQ52" s="13">
        <f t="shared" si="153"/>
        <v>7.6871456442827252E-2</v>
      </c>
      <c r="DR52" s="13">
        <f t="shared" si="153"/>
        <v>3.911324913807121E-2</v>
      </c>
      <c r="DS52" s="13">
        <f t="shared" si="153"/>
        <v>1.5537350471932989E-2</v>
      </c>
      <c r="DT52" s="13">
        <f t="shared" si="153"/>
        <v>0</v>
      </c>
      <c r="DU52" s="13">
        <f t="shared" si="153"/>
        <v>9.4179024643835776E-2</v>
      </c>
      <c r="DV52" s="13">
        <f t="shared" si="153"/>
        <v>9.6427033407129326E-2</v>
      </c>
      <c r="DW52" s="13">
        <f t="shared" si="153"/>
        <v>3.2367273986789527E-2</v>
      </c>
      <c r="DX52" s="13">
        <f t="shared" si="153"/>
        <v>1.9450840363149625E-3</v>
      </c>
      <c r="DY52" s="13">
        <f t="shared" si="153"/>
        <v>0</v>
      </c>
      <c r="DZ52" s="13">
        <f t="shared" si="153"/>
        <v>0.20820140049409086</v>
      </c>
      <c r="EA52" s="12">
        <f t="shared" si="44"/>
        <v>1</v>
      </c>
      <c r="EB52" s="26"/>
      <c r="EC52" s="30">
        <f t="shared" si="45"/>
        <v>1323</v>
      </c>
      <c r="ED52" s="14">
        <f t="shared" si="96"/>
        <v>100000</v>
      </c>
      <c r="EE52" s="29"/>
      <c r="EF52" s="128">
        <f t="shared" si="124"/>
        <v>-8.7342365835222964</v>
      </c>
      <c r="EG52" s="13">
        <f t="shared" si="97"/>
        <v>1.5</v>
      </c>
      <c r="EH52" s="13">
        <f t="shared" si="98"/>
        <v>0.74926606198035017</v>
      </c>
      <c r="EI52" s="12">
        <f t="shared" si="46"/>
        <v>5.3414996220710531</v>
      </c>
      <c r="EJ52" s="29"/>
      <c r="EK52" s="28">
        <f t="shared" si="99"/>
        <v>-1.6166792284149578</v>
      </c>
      <c r="EL52" s="24">
        <f t="shared" si="100"/>
        <v>-0.70198837534301251</v>
      </c>
      <c r="EM52" s="24">
        <f t="shared" si="101"/>
        <v>0.19855696783540874</v>
      </c>
      <c r="EN52" s="24">
        <f t="shared" si="102"/>
        <v>4.9255408519742035E-2</v>
      </c>
      <c r="EO52" s="24">
        <f t="shared" si="103"/>
        <v>9.7800045651743363E-3</v>
      </c>
      <c r="EP52" s="24">
        <f t="shared" si="104"/>
        <v>0.28423876215946919</v>
      </c>
      <c r="EQ52" s="24">
        <f t="shared" si="105"/>
        <v>-1.6163616096881943</v>
      </c>
      <c r="ER52" s="24">
        <f t="shared" si="47"/>
        <v>-20.109295756269134</v>
      </c>
      <c r="ES52" s="25">
        <f t="shared" si="48"/>
        <v>-8.7317827860482566</v>
      </c>
      <c r="ET52" s="26">
        <v>4.3</v>
      </c>
      <c r="EU52" s="26">
        <v>0.29083888041780526</v>
      </c>
      <c r="EV52" s="26">
        <v>0.39089528705753251</v>
      </c>
      <c r="EW52" s="26">
        <v>0.28423876215946919</v>
      </c>
      <c r="EX52" s="26">
        <v>0.38899842643356364</v>
      </c>
      <c r="EY52" s="26">
        <f t="shared" si="106"/>
        <v>0.99514739448958955</v>
      </c>
      <c r="EZ52" s="26">
        <f t="shared" si="107"/>
        <v>1.0232203314150135</v>
      </c>
      <c r="FA52" s="23">
        <f t="shared" si="125"/>
        <v>-1.2869430696422555</v>
      </c>
      <c r="FB52" s="190">
        <f t="shared" si="108"/>
        <v>4.9111857706512385E-2</v>
      </c>
      <c r="FC52" s="124">
        <v>6.2646889236044334E-2</v>
      </c>
      <c r="FD52" s="26"/>
      <c r="FE52" s="27">
        <f t="shared" si="109"/>
        <v>0.88818423022188309</v>
      </c>
      <c r="FF52" s="26"/>
      <c r="FG52" s="23">
        <f t="shared" si="130"/>
        <v>-4.6099538777401898</v>
      </c>
      <c r="FH52" s="13">
        <f t="shared" si="50"/>
        <v>13.889654076399594</v>
      </c>
      <c r="FI52" s="13">
        <f t="shared" si="131"/>
        <v>-21.845149910644157</v>
      </c>
      <c r="FJ52" s="13">
        <f t="shared" si="132"/>
        <v>0.12211195298056765</v>
      </c>
      <c r="FK52" s="12">
        <f t="shared" si="53"/>
        <v>0.53049011031863835</v>
      </c>
      <c r="FL52" s="13"/>
      <c r="FM52" s="23">
        <f t="shared" si="133"/>
        <v>-6.0680586727294026</v>
      </c>
      <c r="FN52" s="13">
        <f t="shared" si="134"/>
        <v>11.303713171453705</v>
      </c>
      <c r="FO52" s="13">
        <f t="shared" si="135"/>
        <v>11.825239491891438</v>
      </c>
      <c r="FP52" s="24">
        <f t="shared" si="136"/>
        <v>0.44456309620734791</v>
      </c>
      <c r="FQ52" s="25">
        <f t="shared" si="137"/>
        <v>0.72675005841717577</v>
      </c>
      <c r="FR52" s="13"/>
      <c r="FS52" s="23">
        <f t="shared" si="111"/>
        <v>11.096898246714801</v>
      </c>
      <c r="FT52" s="13">
        <f t="shared" si="126"/>
        <v>-6.1754804361411617</v>
      </c>
      <c r="FU52" s="13">
        <f t="shared" si="138"/>
        <v>-0.19609448418863096</v>
      </c>
      <c r="FV52" s="13">
        <f t="shared" si="58"/>
        <v>0.38899842643356364</v>
      </c>
      <c r="FW52" s="23">
        <f t="shared" si="139"/>
        <v>-0.1961770238711722</v>
      </c>
      <c r="FX52" s="13">
        <f t="shared" si="140"/>
        <v>0.38895325545563697</v>
      </c>
      <c r="FY52" s="13">
        <f t="shared" si="141"/>
        <v>-0.19614467315310691</v>
      </c>
      <c r="FZ52" s="13">
        <f t="shared" si="116"/>
        <v>0.38897095960444283</v>
      </c>
      <c r="GA52" s="13">
        <f t="shared" si="142"/>
        <v>-0.19618533830805518</v>
      </c>
      <c r="GB52" s="12">
        <f t="shared" si="118"/>
        <v>0.38894870537124582</v>
      </c>
      <c r="GC52" s="22"/>
      <c r="GD52" s="11">
        <f t="shared" si="143"/>
        <v>1.5</v>
      </c>
      <c r="GE52" s="10">
        <f t="shared" si="144"/>
        <v>0.74926606198035017</v>
      </c>
      <c r="GF52" s="10">
        <f t="shared" si="145"/>
        <v>5.3414996220710531</v>
      </c>
      <c r="GG52" s="5">
        <f t="shared" si="146"/>
        <v>-8.7342365835222964</v>
      </c>
      <c r="GH52" s="10">
        <f t="shared" si="147"/>
        <v>0.28423876215946919</v>
      </c>
      <c r="GI52" s="9">
        <f t="shared" si="119"/>
        <v>11.096898246714801</v>
      </c>
      <c r="GJ52" s="8">
        <f t="shared" si="120"/>
        <v>-6.1754804361411617</v>
      </c>
      <c r="GK52" s="8">
        <f t="shared" si="121"/>
        <v>0.38899842643356364</v>
      </c>
      <c r="GL52" s="7">
        <f t="shared" si="122"/>
        <v>0.38895325545563697</v>
      </c>
      <c r="GM52" s="6">
        <f t="shared" si="148"/>
        <v>0.44456309620734791</v>
      </c>
      <c r="GN52" s="5">
        <f t="shared" si="149"/>
        <v>0.72675005841717577</v>
      </c>
      <c r="GO52" s="4">
        <f t="shared" si="150"/>
        <v>0.53049011031863835</v>
      </c>
      <c r="GP52" s="4">
        <f t="shared" si="151"/>
        <v>0.88818423022188309</v>
      </c>
      <c r="GQ52" s="4">
        <f t="shared" si="152"/>
        <v>4.9111857706512385E-2</v>
      </c>
      <c r="GR52" s="1"/>
    </row>
    <row r="53" spans="1:200" x14ac:dyDescent="0.4">
      <c r="A53" s="34"/>
      <c r="B53" s="21"/>
      <c r="C53" s="21"/>
      <c r="D53" s="34"/>
      <c r="E53" s="34"/>
      <c r="F53" s="20" t="s">
        <v>84</v>
      </c>
      <c r="G53" s="19">
        <v>1050</v>
      </c>
      <c r="H53" s="18">
        <v>1E-4</v>
      </c>
      <c r="I53" s="17">
        <v>1.5</v>
      </c>
      <c r="J53" s="16">
        <v>49.6</v>
      </c>
      <c r="K53" s="16">
        <v>0.92</v>
      </c>
      <c r="L53" s="16">
        <v>14.6</v>
      </c>
      <c r="M53" s="16">
        <v>0</v>
      </c>
      <c r="N53" s="16">
        <v>9</v>
      </c>
      <c r="O53" s="16">
        <v>0</v>
      </c>
      <c r="P53" s="16">
        <v>8.6999999999999993</v>
      </c>
      <c r="Q53" s="16">
        <v>12.4</v>
      </c>
      <c r="R53" s="16">
        <v>2.2999999999999998</v>
      </c>
      <c r="S53" s="16">
        <v>0.21</v>
      </c>
      <c r="T53" s="16">
        <v>0</v>
      </c>
      <c r="U53" s="15">
        <v>4.4000000000000004</v>
      </c>
      <c r="V53" s="16"/>
      <c r="W53" s="28">
        <f t="shared" si="69"/>
        <v>48.565553706060896</v>
      </c>
      <c r="X53" s="24">
        <f t="shared" si="156"/>
        <v>0.90081268970919404</v>
      </c>
      <c r="Y53" s="24">
        <f t="shared" si="156"/>
        <v>14.295505727993731</v>
      </c>
      <c r="Z53" s="24">
        <f t="shared" si="155"/>
        <v>0</v>
      </c>
      <c r="AA53" s="24">
        <f t="shared" si="155"/>
        <v>8.8122980515029852</v>
      </c>
      <c r="AB53" s="24">
        <f t="shared" si="155"/>
        <v>0</v>
      </c>
      <c r="AC53" s="24">
        <f t="shared" si="155"/>
        <v>8.5185547831195514</v>
      </c>
      <c r="AD53" s="24">
        <f t="shared" si="155"/>
        <v>12.141388426515224</v>
      </c>
      <c r="AE53" s="24">
        <f t="shared" si="155"/>
        <v>2.2520317242729853</v>
      </c>
      <c r="AF53" s="24">
        <f t="shared" si="155"/>
        <v>0.205620287868403</v>
      </c>
      <c r="AG53" s="24">
        <f t="shared" si="155"/>
        <v>0</v>
      </c>
      <c r="AH53" s="24">
        <f t="shared" si="155"/>
        <v>4.3082346029570155</v>
      </c>
      <c r="AI53" s="14">
        <f t="shared" si="123"/>
        <v>99.999999999999972</v>
      </c>
      <c r="AJ53" s="26"/>
      <c r="AK53" s="50">
        <f t="shared" si="70"/>
        <v>0.80821357473890654</v>
      </c>
      <c r="AL53" s="47">
        <f t="shared" si="71"/>
        <v>1.1274251435659499E-2</v>
      </c>
      <c r="AM53" s="47">
        <f t="shared" si="72"/>
        <v>0.14020700007840067</v>
      </c>
      <c r="AN53" s="49">
        <f t="shared" si="73"/>
        <v>0</v>
      </c>
      <c r="AO53" s="49">
        <f t="shared" si="74"/>
        <v>0.12264854629788428</v>
      </c>
      <c r="AP53" s="47">
        <f t="shared" si="75"/>
        <v>0</v>
      </c>
      <c r="AQ53" s="47">
        <f t="shared" si="76"/>
        <v>0.21127368013689363</v>
      </c>
      <c r="AR53" s="47">
        <f t="shared" si="77"/>
        <v>0.21650122015897333</v>
      </c>
      <c r="AS53" s="47">
        <f t="shared" si="78"/>
        <v>3.6334813234478631E-2</v>
      </c>
      <c r="AT53" s="47">
        <f t="shared" si="79"/>
        <v>2.1828056036985455E-3</v>
      </c>
      <c r="AU53" s="47">
        <f t="shared" si="80"/>
        <v>0</v>
      </c>
      <c r="AV53" s="47">
        <f t="shared" si="81"/>
        <v>0.23908072158474006</v>
      </c>
      <c r="AW53" s="47">
        <f t="shared" si="82"/>
        <v>1.7877166132696354</v>
      </c>
      <c r="AX53" s="47">
        <f t="shared" si="83"/>
        <v>8.7803268930079018E-2</v>
      </c>
      <c r="AY53" s="46">
        <f t="shared" si="84"/>
        <v>1.7428173319123649E-2</v>
      </c>
      <c r="AZ53" s="26"/>
      <c r="BA53" s="23">
        <f t="shared" si="85"/>
        <v>0.45209266879314186</v>
      </c>
      <c r="BB53" s="13">
        <f t="shared" si="6"/>
        <v>6.3065092934609544E-3</v>
      </c>
      <c r="BC53" s="13">
        <f t="shared" si="7"/>
        <v>7.8427978482545832E-2</v>
      </c>
      <c r="BD53" s="13">
        <f t="shared" si="8"/>
        <v>0</v>
      </c>
      <c r="BE53" s="13">
        <f t="shared" si="9"/>
        <v>6.860625749489839E-2</v>
      </c>
      <c r="BF53" s="13">
        <f t="shared" si="10"/>
        <v>4.9114758054125629E-2</v>
      </c>
      <c r="BG53" s="13">
        <f t="shared" si="11"/>
        <v>9.7488456446396601E-3</v>
      </c>
      <c r="BH53" s="13">
        <f t="shared" si="12"/>
        <v>0</v>
      </c>
      <c r="BI53" s="13">
        <f t="shared" si="13"/>
        <v>0.11818074440248429</v>
      </c>
      <c r="BJ53" s="13">
        <f t="shared" si="14"/>
        <v>0.1211048879626422</v>
      </c>
      <c r="BK53" s="13">
        <f t="shared" si="15"/>
        <v>2.0324705249577704E-2</v>
      </c>
      <c r="BL53" s="13">
        <f t="shared" si="16"/>
        <v>1.2210020243120716E-3</v>
      </c>
      <c r="BM53" s="13">
        <f t="shared" si="17"/>
        <v>0</v>
      </c>
      <c r="BN53" s="13">
        <f t="shared" si="86"/>
        <v>0.13373524629693662</v>
      </c>
      <c r="BO53" s="12">
        <f t="shared" si="87"/>
        <v>0.86626475370306322</v>
      </c>
      <c r="BP53" s="13"/>
      <c r="BQ53" s="23">
        <f t="shared" si="88"/>
        <v>1.6164271494778131</v>
      </c>
      <c r="BR53" s="13">
        <f t="shared" si="18"/>
        <v>2.2548502871318998E-2</v>
      </c>
      <c r="BS53" s="13">
        <f t="shared" si="19"/>
        <v>0.42045605082334503</v>
      </c>
      <c r="BT53" s="13">
        <f t="shared" si="20"/>
        <v>0</v>
      </c>
      <c r="BU53" s="13">
        <f t="shared" si="21"/>
        <v>0.12264854629788428</v>
      </c>
      <c r="BV53" s="13">
        <f t="shared" si="89"/>
        <v>8.7803268930079018E-2</v>
      </c>
      <c r="BW53" s="24">
        <f t="shared" si="90"/>
        <v>5.2284519957370948E-2</v>
      </c>
      <c r="BX53" s="13">
        <f t="shared" si="22"/>
        <v>0</v>
      </c>
      <c r="BY53" s="13">
        <f t="shared" si="23"/>
        <v>0.21137853059850004</v>
      </c>
      <c r="BZ53" s="13">
        <f t="shared" si="24"/>
        <v>0.21642403612326602</v>
      </c>
      <c r="CA53" s="13">
        <f t="shared" si="25"/>
        <v>3.6323092326983636E-2</v>
      </c>
      <c r="CB53" s="13">
        <f t="shared" si="26"/>
        <v>2.1828056036985455E-3</v>
      </c>
      <c r="CC53" s="13">
        <f t="shared" si="27"/>
        <v>0</v>
      </c>
      <c r="CD53" s="13">
        <f t="shared" si="91"/>
        <v>0.23908072158474006</v>
      </c>
      <c r="CE53" s="12">
        <f t="shared" si="92"/>
        <v>2.8874694357075494</v>
      </c>
      <c r="CF53" s="13"/>
      <c r="CG53" s="23">
        <f t="shared" si="129"/>
        <v>0.55980753579187981</v>
      </c>
      <c r="CH53" s="13">
        <f t="shared" si="129"/>
        <v>7.8090879828806503E-3</v>
      </c>
      <c r="CI53" s="13">
        <f t="shared" si="129"/>
        <v>0.14561402646338867</v>
      </c>
      <c r="CJ53" s="13">
        <f t="shared" si="129"/>
        <v>0</v>
      </c>
      <c r="CK53" s="13">
        <f t="shared" si="129"/>
        <v>4.2476136641020519E-2</v>
      </c>
      <c r="CL53" s="13">
        <f t="shared" si="129"/>
        <v>3.0408380377735005E-2</v>
      </c>
      <c r="CM53" s="13">
        <f t="shared" si="129"/>
        <v>1.8107384726155234E-2</v>
      </c>
      <c r="CN53" s="13">
        <f t="shared" si="129"/>
        <v>0</v>
      </c>
      <c r="CO53" s="13">
        <f t="shared" si="129"/>
        <v>7.3205460804021821E-2</v>
      </c>
      <c r="CP53" s="13">
        <f t="shared" si="157"/>
        <v>7.4952840520797814E-2</v>
      </c>
      <c r="CQ53" s="13">
        <f t="shared" si="157"/>
        <v>1.2579559069196857E-2</v>
      </c>
      <c r="CR53" s="13">
        <f t="shared" si="157"/>
        <v>7.5595799446572074E-4</v>
      </c>
      <c r="CS53" s="13">
        <f t="shared" si="157"/>
        <v>0</v>
      </c>
      <c r="CT53" s="13">
        <f t="shared" si="157"/>
        <v>8.279939473234818E-2</v>
      </c>
      <c r="CU53" s="12">
        <f t="shared" si="29"/>
        <v>1</v>
      </c>
      <c r="CV53" s="26"/>
      <c r="CW53" s="23">
        <f t="shared" si="30"/>
        <v>0.80821357473890654</v>
      </c>
      <c r="CX53" s="13">
        <f t="shared" si="31"/>
        <v>1.1274251435659499E-2</v>
      </c>
      <c r="CY53" s="13">
        <f t="shared" si="32"/>
        <v>0.28030403388223002</v>
      </c>
      <c r="CZ53" s="13">
        <f t="shared" si="33"/>
        <v>0</v>
      </c>
      <c r="DA53" s="13">
        <f t="shared" si="34"/>
        <v>0.17270194986072424</v>
      </c>
      <c r="DB53" s="13">
        <f t="shared" si="35"/>
        <v>8.7803268930079018E-2</v>
      </c>
      <c r="DC53" s="24">
        <f t="shared" si="36"/>
        <v>3.4856346638247299E-2</v>
      </c>
      <c r="DD53" s="13">
        <f t="shared" si="37"/>
        <v>0</v>
      </c>
      <c r="DE53" s="13">
        <f t="shared" si="38"/>
        <v>0.21137853059850004</v>
      </c>
      <c r="DF53" s="13">
        <f t="shared" si="39"/>
        <v>0.21642403612326602</v>
      </c>
      <c r="DG53" s="13">
        <f t="shared" si="40"/>
        <v>7.2646184653967272E-2</v>
      </c>
      <c r="DH53" s="13">
        <f t="shared" si="41"/>
        <v>4.365611207397091E-3</v>
      </c>
      <c r="DI53" s="13">
        <f t="shared" si="42"/>
        <v>0</v>
      </c>
      <c r="DJ53" s="13">
        <f t="shared" si="93"/>
        <v>0.47816144316948012</v>
      </c>
      <c r="DK53" s="12">
        <f t="shared" si="94"/>
        <v>2.255469615670131</v>
      </c>
      <c r="DL53" s="26"/>
      <c r="DM53" s="23">
        <f t="shared" si="154"/>
        <v>0.35833494236577207</v>
      </c>
      <c r="DN53" s="13">
        <f t="shared" si="154"/>
        <v>4.9986270519143143E-3</v>
      </c>
      <c r="DO53" s="13">
        <f t="shared" si="153"/>
        <v>0.12427745952984068</v>
      </c>
      <c r="DP53" s="13">
        <f t="shared" si="153"/>
        <v>0</v>
      </c>
      <c r="DQ53" s="13">
        <f t="shared" si="153"/>
        <v>7.6570284370429037E-2</v>
      </c>
      <c r="DR53" s="13">
        <f t="shared" si="153"/>
        <v>3.8929040905741244E-2</v>
      </c>
      <c r="DS53" s="13">
        <f t="shared" si="153"/>
        <v>1.5454141521605468E-2</v>
      </c>
      <c r="DT53" s="13">
        <f t="shared" si="153"/>
        <v>0</v>
      </c>
      <c r="DU53" s="13">
        <f t="shared" si="153"/>
        <v>9.3718190273956128E-2</v>
      </c>
      <c r="DV53" s="13">
        <f t="shared" si="153"/>
        <v>9.5955199138855821E-2</v>
      </c>
      <c r="DW53" s="13">
        <f t="shared" si="153"/>
        <v>3.2208895278060791E-2</v>
      </c>
      <c r="DX53" s="13">
        <f t="shared" si="153"/>
        <v>1.935566401367818E-3</v>
      </c>
      <c r="DY53" s="13">
        <f t="shared" si="153"/>
        <v>0</v>
      </c>
      <c r="DZ53" s="13">
        <f t="shared" si="153"/>
        <v>0.21200083558980323</v>
      </c>
      <c r="EA53" s="12">
        <f t="shared" si="44"/>
        <v>1</v>
      </c>
      <c r="EB53" s="26"/>
      <c r="EC53" s="30">
        <f t="shared" si="45"/>
        <v>1323</v>
      </c>
      <c r="ED53" s="14">
        <f t="shared" si="96"/>
        <v>100000</v>
      </c>
      <c r="EE53" s="29"/>
      <c r="EF53" s="128">
        <f t="shared" si="124"/>
        <v>-8.7342365835222964</v>
      </c>
      <c r="EG53" s="13">
        <f t="shared" si="97"/>
        <v>1.5</v>
      </c>
      <c r="EH53" s="13">
        <f t="shared" si="98"/>
        <v>0.74926606198035017</v>
      </c>
      <c r="EI53" s="12">
        <f t="shared" si="46"/>
        <v>5.3414996220710531</v>
      </c>
      <c r="EJ53" s="29"/>
      <c r="EK53" s="28">
        <f t="shared" si="99"/>
        <v>-1.6173282971529441</v>
      </c>
      <c r="EL53" s="24">
        <f t="shared" si="100"/>
        <v>-0.70227021152971958</v>
      </c>
      <c r="EM53" s="24">
        <f t="shared" si="101"/>
        <v>0.19842813253088476</v>
      </c>
      <c r="EN53" s="24">
        <f t="shared" si="102"/>
        <v>4.9114758054125629E-2</v>
      </c>
      <c r="EO53" s="24">
        <f t="shared" si="103"/>
        <v>9.7457497203863805E-3</v>
      </c>
      <c r="EP53" s="24">
        <f t="shared" si="104"/>
        <v>0.28410672950965388</v>
      </c>
      <c r="EQ53" s="24">
        <f t="shared" si="105"/>
        <v>-1.6170106784261804</v>
      </c>
      <c r="ER53" s="24">
        <f t="shared" si="47"/>
        <v>-20.109295756269134</v>
      </c>
      <c r="ES53" s="25">
        <f t="shared" si="48"/>
        <v>-8.7317827860482566</v>
      </c>
      <c r="ET53" s="26">
        <v>4.4000000000000004</v>
      </c>
      <c r="EU53" s="26">
        <v>0.29083888041780526</v>
      </c>
      <c r="EV53" s="26">
        <v>0.39334605099689945</v>
      </c>
      <c r="EW53" s="26">
        <v>0.28410672950965388</v>
      </c>
      <c r="EX53" s="26">
        <v>0.3914129410731183</v>
      </c>
      <c r="EY53" s="26">
        <f t="shared" si="106"/>
        <v>0.99508547265472258</v>
      </c>
      <c r="EZ53" s="26">
        <f t="shared" si="107"/>
        <v>1.0236958516250936</v>
      </c>
      <c r="FA53" s="23">
        <f t="shared" si="125"/>
        <v>-1.2891981654125217</v>
      </c>
      <c r="FB53" s="190">
        <f t="shared" si="108"/>
        <v>4.8869933184390368E-2</v>
      </c>
      <c r="FC53" s="124">
        <v>6.2646889236044334E-2</v>
      </c>
      <c r="FD53" s="26"/>
      <c r="FE53" s="27">
        <f t="shared" si="109"/>
        <v>0.88818423022188309</v>
      </c>
      <c r="FF53" s="26"/>
      <c r="FG53" s="23">
        <f t="shared" si="130"/>
        <v>-4.6298361549749441</v>
      </c>
      <c r="FH53" s="13">
        <f t="shared" si="50"/>
        <v>13.860575151598205</v>
      </c>
      <c r="FI53" s="13">
        <f t="shared" si="131"/>
        <v>-21.845149910644157</v>
      </c>
      <c r="FJ53" s="13">
        <f t="shared" si="132"/>
        <v>0.11291530541394224</v>
      </c>
      <c r="FK53" s="12">
        <f t="shared" si="53"/>
        <v>0.52819887173140678</v>
      </c>
      <c r="FL53" s="13"/>
      <c r="FM53" s="23">
        <f t="shared" si="133"/>
        <v>-6.0687386697298527</v>
      </c>
      <c r="FN53" s="13">
        <f t="shared" si="134"/>
        <v>11.299672175632161</v>
      </c>
      <c r="FO53" s="13">
        <f t="shared" si="135"/>
        <v>11.821277397370864</v>
      </c>
      <c r="FP53" s="24">
        <f t="shared" si="136"/>
        <v>0.44265296263128084</v>
      </c>
      <c r="FQ53" s="25">
        <f t="shared" si="137"/>
        <v>0.72524672570928694</v>
      </c>
      <c r="FR53" s="13"/>
      <c r="FS53" s="23">
        <f t="shared" si="111"/>
        <v>11.10296765790747</v>
      </c>
      <c r="FT53" s="13">
        <f t="shared" si="126"/>
        <v>-6.1738179763117698</v>
      </c>
      <c r="FU53" s="13">
        <f t="shared" si="138"/>
        <v>-0.19168753282535178</v>
      </c>
      <c r="FV53" s="13">
        <f t="shared" si="58"/>
        <v>0.3914129410731183</v>
      </c>
      <c r="FW53" s="23">
        <f t="shared" si="139"/>
        <v>-0.19177007250789302</v>
      </c>
      <c r="FX53" s="13">
        <f t="shared" si="140"/>
        <v>0.39136766930957823</v>
      </c>
      <c r="FY53" s="13">
        <f t="shared" si="141"/>
        <v>-0.19173772178982773</v>
      </c>
      <c r="FZ53" s="13">
        <f t="shared" si="116"/>
        <v>0.39138541296488183</v>
      </c>
      <c r="GA53" s="13">
        <f t="shared" si="142"/>
        <v>-0.191778386944776</v>
      </c>
      <c r="GB53" s="12">
        <f t="shared" si="118"/>
        <v>0.39136310907072236</v>
      </c>
      <c r="GC53" s="22"/>
      <c r="GD53" s="11">
        <f t="shared" si="143"/>
        <v>1.5</v>
      </c>
      <c r="GE53" s="10">
        <f t="shared" si="144"/>
        <v>0.74926606198035017</v>
      </c>
      <c r="GF53" s="10">
        <f t="shared" si="145"/>
        <v>5.3414996220710531</v>
      </c>
      <c r="GG53" s="5">
        <f t="shared" si="146"/>
        <v>-8.7342365835222964</v>
      </c>
      <c r="GH53" s="10">
        <f t="shared" si="147"/>
        <v>0.28410672950965388</v>
      </c>
      <c r="GI53" s="9">
        <f t="shared" si="119"/>
        <v>11.10296765790747</v>
      </c>
      <c r="GJ53" s="8">
        <f t="shared" si="120"/>
        <v>-6.1738179763117698</v>
      </c>
      <c r="GK53" s="8">
        <f t="shared" si="121"/>
        <v>0.3914129410731183</v>
      </c>
      <c r="GL53" s="7">
        <f t="shared" si="122"/>
        <v>0.39136766930957823</v>
      </c>
      <c r="GM53" s="6">
        <f t="shared" si="148"/>
        <v>0.44265296263128084</v>
      </c>
      <c r="GN53" s="5">
        <f t="shared" si="149"/>
        <v>0.72524672570928694</v>
      </c>
      <c r="GO53" s="4">
        <f t="shared" si="150"/>
        <v>0.52819887173140678</v>
      </c>
      <c r="GP53" s="4">
        <f t="shared" si="151"/>
        <v>0.88818423022188309</v>
      </c>
      <c r="GQ53" s="4">
        <f t="shared" si="152"/>
        <v>4.8869933184390368E-2</v>
      </c>
      <c r="GR53" s="1"/>
    </row>
    <row r="54" spans="1:200" x14ac:dyDescent="0.4">
      <c r="A54" s="34"/>
      <c r="B54" s="21"/>
      <c r="C54" s="21"/>
      <c r="D54" s="34"/>
      <c r="E54" s="34"/>
      <c r="F54" s="20" t="s">
        <v>84</v>
      </c>
      <c r="G54" s="19">
        <v>1050</v>
      </c>
      <c r="H54" s="18">
        <v>1E-4</v>
      </c>
      <c r="I54" s="17">
        <v>1.5</v>
      </c>
      <c r="J54" s="16">
        <v>49.6</v>
      </c>
      <c r="K54" s="16">
        <v>0.92</v>
      </c>
      <c r="L54" s="16">
        <v>14.6</v>
      </c>
      <c r="M54" s="16">
        <v>0</v>
      </c>
      <c r="N54" s="16">
        <v>9</v>
      </c>
      <c r="O54" s="16">
        <v>0</v>
      </c>
      <c r="P54" s="16">
        <v>8.6999999999999993</v>
      </c>
      <c r="Q54" s="16">
        <v>12.4</v>
      </c>
      <c r="R54" s="16">
        <v>2.2999999999999998</v>
      </c>
      <c r="S54" s="16">
        <v>0.21</v>
      </c>
      <c r="T54" s="16">
        <v>0</v>
      </c>
      <c r="U54" s="15">
        <v>4.5</v>
      </c>
      <c r="V54" s="16"/>
      <c r="W54" s="28">
        <f t="shared" si="69"/>
        <v>48.518047539861101</v>
      </c>
      <c r="X54" s="24">
        <f t="shared" si="156"/>
        <v>0.89993152694903644</v>
      </c>
      <c r="Y54" s="24">
        <f t="shared" si="156"/>
        <v>14.281522058104274</v>
      </c>
      <c r="Z54" s="24">
        <f t="shared" si="155"/>
        <v>0</v>
      </c>
      <c r="AA54" s="24">
        <f t="shared" si="155"/>
        <v>8.8036779810231813</v>
      </c>
      <c r="AB54" s="24">
        <f t="shared" si="155"/>
        <v>0</v>
      </c>
      <c r="AC54" s="24">
        <f t="shared" si="155"/>
        <v>8.5102220483224098</v>
      </c>
      <c r="AD54" s="24">
        <f t="shared" si="155"/>
        <v>12.129511884965275</v>
      </c>
      <c r="AE54" s="24">
        <f t="shared" si="155"/>
        <v>2.2498288173725909</v>
      </c>
      <c r="AF54" s="24">
        <f t="shared" si="155"/>
        <v>0.20541915289054094</v>
      </c>
      <c r="AG54" s="24">
        <f t="shared" si="155"/>
        <v>0</v>
      </c>
      <c r="AH54" s="24">
        <f t="shared" si="155"/>
        <v>4.4018389905115907</v>
      </c>
      <c r="AI54" s="14">
        <f t="shared" si="123"/>
        <v>100</v>
      </c>
      <c r="AJ54" s="26"/>
      <c r="AK54" s="50">
        <f t="shared" si="70"/>
        <v>0.8074229911775852</v>
      </c>
      <c r="AL54" s="47">
        <f t="shared" si="71"/>
        <v>1.1263223115757651E-2</v>
      </c>
      <c r="AM54" s="47">
        <f t="shared" si="72"/>
        <v>0.1400698514918034</v>
      </c>
      <c r="AN54" s="49">
        <f t="shared" si="73"/>
        <v>0</v>
      </c>
      <c r="AO54" s="49">
        <f t="shared" si="74"/>
        <v>0.12252857315272347</v>
      </c>
      <c r="AP54" s="47">
        <f t="shared" si="75"/>
        <v>0</v>
      </c>
      <c r="AQ54" s="47">
        <f t="shared" si="76"/>
        <v>0.21106701508736136</v>
      </c>
      <c r="AR54" s="47">
        <f t="shared" si="77"/>
        <v>0.21628944160066468</v>
      </c>
      <c r="AS54" s="47">
        <f t="shared" si="78"/>
        <v>3.6299271012787848E-2</v>
      </c>
      <c r="AT54" s="47">
        <f t="shared" si="79"/>
        <v>2.1806704128507532E-3</v>
      </c>
      <c r="AU54" s="47">
        <f t="shared" si="80"/>
        <v>0</v>
      </c>
      <c r="AV54" s="47">
        <f t="shared" si="81"/>
        <v>0.24427519370208606</v>
      </c>
      <c r="AW54" s="47">
        <f t="shared" si="82"/>
        <v>1.7913962307536209</v>
      </c>
      <c r="AX54" s="47">
        <f t="shared" si="83"/>
        <v>8.7733456198156298E-2</v>
      </c>
      <c r="AY54" s="46">
        <f t="shared" si="84"/>
        <v>1.7403085145296111E-2</v>
      </c>
      <c r="AZ54" s="26"/>
      <c r="BA54" s="23">
        <f t="shared" si="85"/>
        <v>0.45072272527776347</v>
      </c>
      <c r="BB54" s="13">
        <f t="shared" si="6"/>
        <v>6.2873991372748034E-3</v>
      </c>
      <c r="BC54" s="13">
        <f t="shared" si="7"/>
        <v>7.819032388656838E-2</v>
      </c>
      <c r="BD54" s="13">
        <f t="shared" si="8"/>
        <v>0</v>
      </c>
      <c r="BE54" s="13">
        <f t="shared" si="9"/>
        <v>6.8398364945301368E-2</v>
      </c>
      <c r="BF54" s="13">
        <f t="shared" si="10"/>
        <v>4.8974902755739187E-2</v>
      </c>
      <c r="BG54" s="13">
        <f t="shared" si="11"/>
        <v>9.7148162123657164E-3</v>
      </c>
      <c r="BH54" s="13">
        <f t="shared" si="12"/>
        <v>0</v>
      </c>
      <c r="BI54" s="13">
        <f t="shared" si="13"/>
        <v>0.11782262989275565</v>
      </c>
      <c r="BJ54" s="13">
        <f t="shared" si="14"/>
        <v>0.12073791263347365</v>
      </c>
      <c r="BK54" s="13">
        <f t="shared" si="15"/>
        <v>2.0263116774292385E-2</v>
      </c>
      <c r="BL54" s="13">
        <f t="shared" si="16"/>
        <v>1.2173021107303374E-3</v>
      </c>
      <c r="BM54" s="13">
        <f t="shared" si="17"/>
        <v>0</v>
      </c>
      <c r="BN54" s="13">
        <f t="shared" si="86"/>
        <v>0.13636022534183972</v>
      </c>
      <c r="BO54" s="12">
        <f t="shared" si="87"/>
        <v>0.86363977465816</v>
      </c>
      <c r="BP54" s="13"/>
      <c r="BQ54" s="23">
        <f t="shared" si="88"/>
        <v>1.6148459823551704</v>
      </c>
      <c r="BR54" s="13">
        <f t="shared" si="18"/>
        <v>2.2526446231515302E-2</v>
      </c>
      <c r="BS54" s="13">
        <f t="shared" si="19"/>
        <v>0.42004476641483157</v>
      </c>
      <c r="BT54" s="13">
        <f t="shared" si="20"/>
        <v>0</v>
      </c>
      <c r="BU54" s="13">
        <f t="shared" si="21"/>
        <v>0.12252857315272347</v>
      </c>
      <c r="BV54" s="13">
        <f t="shared" si="89"/>
        <v>8.7733456198156298E-2</v>
      </c>
      <c r="BW54" s="24">
        <f t="shared" si="90"/>
        <v>5.2209255435888335E-2</v>
      </c>
      <c r="BX54" s="13">
        <f t="shared" si="22"/>
        <v>0</v>
      </c>
      <c r="BY54" s="13">
        <f t="shared" si="23"/>
        <v>0.21117176298566775</v>
      </c>
      <c r="BZ54" s="13">
        <f t="shared" si="24"/>
        <v>0.21621233306533466</v>
      </c>
      <c r="CA54" s="13">
        <f t="shared" si="25"/>
        <v>3.6287561570525657E-2</v>
      </c>
      <c r="CB54" s="13">
        <f t="shared" si="26"/>
        <v>2.1806704128507532E-3</v>
      </c>
      <c r="CC54" s="13">
        <f t="shared" si="27"/>
        <v>0</v>
      </c>
      <c r="CD54" s="13">
        <f t="shared" si="91"/>
        <v>0.24427519370208606</v>
      </c>
      <c r="CE54" s="12">
        <f t="shared" si="92"/>
        <v>2.8900732898907053</v>
      </c>
      <c r="CF54" s="13"/>
      <c r="CG54" s="23">
        <f t="shared" si="129"/>
        <v>0.55875606615368545</v>
      </c>
      <c r="CH54" s="13">
        <f t="shared" si="129"/>
        <v>7.7944204080607213E-3</v>
      </c>
      <c r="CI54" s="13">
        <f t="shared" si="129"/>
        <v>0.14534052402204531</v>
      </c>
      <c r="CJ54" s="13">
        <f t="shared" si="129"/>
        <v>0</v>
      </c>
      <c r="CK54" s="13">
        <f t="shared" si="129"/>
        <v>4.2396354992560475E-2</v>
      </c>
      <c r="CL54" s="13">
        <f t="shared" si="129"/>
        <v>3.0356827456605482E-2</v>
      </c>
      <c r="CM54" s="13">
        <f t="shared" si="129"/>
        <v>1.8065028184064753E-2</v>
      </c>
      <c r="CN54" s="13">
        <f t="shared" si="129"/>
        <v>0</v>
      </c>
      <c r="CO54" s="13">
        <f t="shared" si="129"/>
        <v>7.3067961191272665E-2</v>
      </c>
      <c r="CP54" s="13">
        <f t="shared" si="157"/>
        <v>7.4812058857341712E-2</v>
      </c>
      <c r="CQ54" s="13">
        <f t="shared" si="157"/>
        <v>1.2555931262178461E-2</v>
      </c>
      <c r="CR54" s="13">
        <f t="shared" si="157"/>
        <v>7.5453810132725737E-4</v>
      </c>
      <c r="CS54" s="13">
        <f t="shared" si="157"/>
        <v>0</v>
      </c>
      <c r="CT54" s="13">
        <f t="shared" si="157"/>
        <v>8.4522145011528022E-2</v>
      </c>
      <c r="CU54" s="12">
        <f t="shared" si="29"/>
        <v>1.0000000000000002</v>
      </c>
      <c r="CV54" s="26"/>
      <c r="CW54" s="23">
        <f t="shared" si="30"/>
        <v>0.8074229911775852</v>
      </c>
      <c r="CX54" s="13">
        <f t="shared" si="31"/>
        <v>1.1263223115757651E-2</v>
      </c>
      <c r="CY54" s="13">
        <f t="shared" si="32"/>
        <v>0.28002984427655442</v>
      </c>
      <c r="CZ54" s="13">
        <f t="shared" si="33"/>
        <v>0</v>
      </c>
      <c r="DA54" s="13">
        <f t="shared" si="34"/>
        <v>0.17270194986072424</v>
      </c>
      <c r="DB54" s="13">
        <f t="shared" si="35"/>
        <v>8.7733456198156298E-2</v>
      </c>
      <c r="DC54" s="24">
        <f t="shared" si="36"/>
        <v>3.4806170290592221E-2</v>
      </c>
      <c r="DD54" s="13">
        <f t="shared" si="37"/>
        <v>0</v>
      </c>
      <c r="DE54" s="13">
        <f t="shared" si="38"/>
        <v>0.21117176298566775</v>
      </c>
      <c r="DF54" s="13">
        <f t="shared" si="39"/>
        <v>0.21621233306533466</v>
      </c>
      <c r="DG54" s="13">
        <f t="shared" si="40"/>
        <v>7.2575123141051315E-2</v>
      </c>
      <c r="DH54" s="13">
        <f t="shared" si="41"/>
        <v>4.3613408257015063E-3</v>
      </c>
      <c r="DI54" s="13">
        <f t="shared" si="42"/>
        <v>0</v>
      </c>
      <c r="DJ54" s="13">
        <f t="shared" si="93"/>
        <v>0.48855038740417212</v>
      </c>
      <c r="DK54" s="12">
        <f t="shared" si="94"/>
        <v>2.2642889558525492</v>
      </c>
      <c r="DL54" s="26"/>
      <c r="DM54" s="23">
        <f t="shared" si="154"/>
        <v>0.35659008497595868</v>
      </c>
      <c r="DN54" s="13">
        <f t="shared" si="154"/>
        <v>4.9742869993007702E-3</v>
      </c>
      <c r="DO54" s="13">
        <f t="shared" si="153"/>
        <v>0.12367230938116627</v>
      </c>
      <c r="DP54" s="13">
        <f t="shared" si="153"/>
        <v>0</v>
      </c>
      <c r="DQ54" s="13">
        <f t="shared" si="153"/>
        <v>7.6272045321043647E-2</v>
      </c>
      <c r="DR54" s="13">
        <f t="shared" si="153"/>
        <v>3.8746581336887249E-2</v>
      </c>
      <c r="DS54" s="13">
        <f t="shared" si="153"/>
        <v>1.5371788216617881E-2</v>
      </c>
      <c r="DT54" s="13">
        <f t="shared" si="153"/>
        <v>0</v>
      </c>
      <c r="DU54" s="13">
        <f t="shared" si="153"/>
        <v>9.3261843829537838E-2</v>
      </c>
      <c r="DV54" s="13">
        <f t="shared" si="153"/>
        <v>9.5487959920701235E-2</v>
      </c>
      <c r="DW54" s="13">
        <f t="shared" si="153"/>
        <v>3.205205897130093E-2</v>
      </c>
      <c r="DX54" s="13">
        <f t="shared" si="153"/>
        <v>1.9261414557663538E-3</v>
      </c>
      <c r="DY54" s="13">
        <f t="shared" si="153"/>
        <v>0</v>
      </c>
      <c r="DZ54" s="13">
        <f t="shared" si="153"/>
        <v>0.21576326914522415</v>
      </c>
      <c r="EA54" s="12">
        <f t="shared" si="44"/>
        <v>1</v>
      </c>
      <c r="EB54" s="26"/>
      <c r="EC54" s="30">
        <f t="shared" si="45"/>
        <v>1323</v>
      </c>
      <c r="ED54" s="14">
        <f t="shared" si="96"/>
        <v>100000</v>
      </c>
      <c r="EE54" s="29"/>
      <c r="EF54" s="128">
        <f t="shared" si="124"/>
        <v>-8.7342365835222964</v>
      </c>
      <c r="EG54" s="13">
        <f t="shared" si="97"/>
        <v>1.5</v>
      </c>
      <c r="EH54" s="13">
        <f t="shared" si="98"/>
        <v>0.74926606198035017</v>
      </c>
      <c r="EI54" s="12">
        <f t="shared" si="46"/>
        <v>5.3414996220710531</v>
      </c>
      <c r="EJ54" s="29"/>
      <c r="EK54" s="28">
        <f t="shared" si="99"/>
        <v>-1.6179734322394024</v>
      </c>
      <c r="EL54" s="24">
        <f t="shared" si="100"/>
        <v>-0.70255033966105185</v>
      </c>
      <c r="EM54" s="24">
        <f t="shared" si="101"/>
        <v>0.19830016086439325</v>
      </c>
      <c r="EN54" s="24">
        <f t="shared" si="102"/>
        <v>4.8974902755739173E-2</v>
      </c>
      <c r="EO54" s="24">
        <f t="shared" si="103"/>
        <v>9.7117310947810939E-3</v>
      </c>
      <c r="EP54" s="24">
        <f t="shared" si="104"/>
        <v>0.28397553370018808</v>
      </c>
      <c r="EQ54" s="24">
        <f t="shared" si="105"/>
        <v>-1.6176558135126387</v>
      </c>
      <c r="ER54" s="24">
        <f t="shared" si="47"/>
        <v>-20.109295756269134</v>
      </c>
      <c r="ES54" s="25">
        <f t="shared" si="48"/>
        <v>-8.7317827860482566</v>
      </c>
      <c r="ET54" s="26">
        <v>4.5</v>
      </c>
      <c r="EU54" s="26">
        <v>0.29083888041780526</v>
      </c>
      <c r="EV54" s="26">
        <v>0.39579202610161002</v>
      </c>
      <c r="EW54" s="26">
        <v>0.28397553370018808</v>
      </c>
      <c r="EX54" s="26">
        <v>0.39382307411875017</v>
      </c>
      <c r="EY54" s="26">
        <f t="shared" si="106"/>
        <v>0.99502528638019005</v>
      </c>
      <c r="EZ54" s="26">
        <f t="shared" si="107"/>
        <v>1.024168795910648</v>
      </c>
      <c r="FA54" s="23">
        <f t="shared" si="125"/>
        <v>-1.2914395942775698</v>
      </c>
      <c r="FB54" s="190">
        <f t="shared" si="108"/>
        <v>4.863059535791614E-2</v>
      </c>
      <c r="FC54" s="124">
        <v>6.2646889236044334E-2</v>
      </c>
      <c r="FD54" s="26"/>
      <c r="FE54" s="27">
        <f t="shared" si="109"/>
        <v>0.88818423022188309</v>
      </c>
      <c r="FF54" s="26"/>
      <c r="FG54" s="23">
        <f t="shared" si="130"/>
        <v>-4.6495244551835651</v>
      </c>
      <c r="FH54" s="13">
        <f t="shared" si="50"/>
        <v>13.831778852811105</v>
      </c>
      <c r="FI54" s="13">
        <f t="shared" si="131"/>
        <v>-21.845149910644157</v>
      </c>
      <c r="FJ54" s="13">
        <f t="shared" si="132"/>
        <v>0.10380730683546346</v>
      </c>
      <c r="FK54" s="12">
        <f t="shared" si="53"/>
        <v>0.52592854714721182</v>
      </c>
      <c r="FL54" s="13"/>
      <c r="FM54" s="23">
        <f t="shared" si="133"/>
        <v>-6.0694167890768611</v>
      </c>
      <c r="FN54" s="13">
        <f t="shared" si="134"/>
        <v>11.295646359972167</v>
      </c>
      <c r="FO54" s="13">
        <f t="shared" si="135"/>
        <v>11.817330186616005</v>
      </c>
      <c r="FP54" s="24">
        <f t="shared" si="136"/>
        <v>0.44075207376336312</v>
      </c>
      <c r="FQ54" s="25">
        <f t="shared" si="137"/>
        <v>0.7237442539097958</v>
      </c>
      <c r="FR54" s="13"/>
      <c r="FS54" s="23">
        <f t="shared" si="111"/>
        <v>11.109014269115562</v>
      </c>
      <c r="FT54" s="13">
        <f t="shared" si="126"/>
        <v>-6.1721606548866399</v>
      </c>
      <c r="FU54" s="13">
        <f t="shared" si="138"/>
        <v>-0.18729824304239173</v>
      </c>
      <c r="FV54" s="13">
        <f t="shared" si="58"/>
        <v>0.39382307411875017</v>
      </c>
      <c r="FW54" s="23">
        <f t="shared" si="139"/>
        <v>-0.18738078272493297</v>
      </c>
      <c r="FX54" s="13">
        <f t="shared" si="140"/>
        <v>0.39377770396231748</v>
      </c>
      <c r="FY54" s="13">
        <f t="shared" si="141"/>
        <v>-0.18734843200686768</v>
      </c>
      <c r="FZ54" s="13">
        <f t="shared" si="116"/>
        <v>0.3937954861863372</v>
      </c>
      <c r="GA54" s="13">
        <f t="shared" si="142"/>
        <v>-0.18738909716181595</v>
      </c>
      <c r="GB54" s="12">
        <f t="shared" si="118"/>
        <v>0.39377313381001078</v>
      </c>
      <c r="GC54" s="22"/>
      <c r="GD54" s="11">
        <f t="shared" si="143"/>
        <v>1.5</v>
      </c>
      <c r="GE54" s="10">
        <f t="shared" si="144"/>
        <v>0.74926606198035017</v>
      </c>
      <c r="GF54" s="10">
        <f t="shared" si="145"/>
        <v>5.3414996220710531</v>
      </c>
      <c r="GG54" s="5">
        <f t="shared" si="146"/>
        <v>-8.7342365835222964</v>
      </c>
      <c r="GH54" s="10">
        <f t="shared" si="147"/>
        <v>0.28397553370018808</v>
      </c>
      <c r="GI54" s="9">
        <f t="shared" si="119"/>
        <v>11.109014269115562</v>
      </c>
      <c r="GJ54" s="8">
        <f t="shared" si="120"/>
        <v>-6.1721606548866399</v>
      </c>
      <c r="GK54" s="8">
        <f t="shared" si="121"/>
        <v>0.39382307411875017</v>
      </c>
      <c r="GL54" s="7">
        <f t="shared" si="122"/>
        <v>0.39377770396231748</v>
      </c>
      <c r="GM54" s="6">
        <f t="shared" si="148"/>
        <v>0.44075207376336312</v>
      </c>
      <c r="GN54" s="5">
        <f t="shared" si="149"/>
        <v>0.7237442539097958</v>
      </c>
      <c r="GO54" s="4">
        <f t="shared" si="150"/>
        <v>0.52592854714721182</v>
      </c>
      <c r="GP54" s="4">
        <f t="shared" si="151"/>
        <v>0.88818423022188309</v>
      </c>
      <c r="GQ54" s="4">
        <f t="shared" si="152"/>
        <v>4.863059535791614E-2</v>
      </c>
      <c r="GR54" s="1"/>
    </row>
    <row r="55" spans="1:200" x14ac:dyDescent="0.4">
      <c r="A55" s="34"/>
      <c r="B55" s="21"/>
      <c r="C55" s="21"/>
      <c r="D55" s="34"/>
      <c r="E55" s="34"/>
      <c r="F55" s="20" t="s">
        <v>84</v>
      </c>
      <c r="G55" s="19">
        <v>1050</v>
      </c>
      <c r="H55" s="18">
        <v>1E-4</v>
      </c>
      <c r="I55" s="17">
        <v>1.5</v>
      </c>
      <c r="J55" s="16">
        <v>49.6</v>
      </c>
      <c r="K55" s="16">
        <v>0.92</v>
      </c>
      <c r="L55" s="16">
        <v>14.6</v>
      </c>
      <c r="M55" s="16">
        <v>0</v>
      </c>
      <c r="N55" s="16">
        <v>9</v>
      </c>
      <c r="O55" s="16">
        <v>0</v>
      </c>
      <c r="P55" s="16">
        <v>8.6999999999999993</v>
      </c>
      <c r="Q55" s="16">
        <v>12.4</v>
      </c>
      <c r="R55" s="16">
        <v>2.2999999999999998</v>
      </c>
      <c r="S55" s="16">
        <v>0.21</v>
      </c>
      <c r="T55" s="16">
        <v>0</v>
      </c>
      <c r="U55" s="15">
        <v>4.5999999999999996</v>
      </c>
      <c r="V55" s="16"/>
      <c r="W55" s="28">
        <f t="shared" si="69"/>
        <v>48.470634222613121</v>
      </c>
      <c r="X55" s="24">
        <f t="shared" si="156"/>
        <v>0.89905208638717882</v>
      </c>
      <c r="Y55" s="24">
        <f t="shared" si="156"/>
        <v>14.267565718753053</v>
      </c>
      <c r="Z55" s="24">
        <f t="shared" si="155"/>
        <v>0</v>
      </c>
      <c r="AA55" s="24">
        <f t="shared" si="155"/>
        <v>8.7950747581354438</v>
      </c>
      <c r="AB55" s="24">
        <f t="shared" si="155"/>
        <v>0</v>
      </c>
      <c r="AC55" s="24">
        <f t="shared" si="155"/>
        <v>8.5019055995309287</v>
      </c>
      <c r="AD55" s="24">
        <f t="shared" si="155"/>
        <v>12.11765855565328</v>
      </c>
      <c r="AE55" s="24">
        <f t="shared" si="155"/>
        <v>2.2476302159679467</v>
      </c>
      <c r="AF55" s="24">
        <f t="shared" si="155"/>
        <v>0.20521841102316035</v>
      </c>
      <c r="AG55" s="24">
        <f t="shared" si="155"/>
        <v>0</v>
      </c>
      <c r="AH55" s="24">
        <f t="shared" si="155"/>
        <v>4.4952604319358933</v>
      </c>
      <c r="AI55" s="14">
        <f t="shared" si="123"/>
        <v>100</v>
      </c>
      <c r="AJ55" s="26"/>
      <c r="AK55" s="50">
        <f t="shared" si="70"/>
        <v>0.8066339527810471</v>
      </c>
      <c r="AL55" s="47">
        <f t="shared" si="71"/>
        <v>1.1252216350277582E-2</v>
      </c>
      <c r="AM55" s="47">
        <f t="shared" si="72"/>
        <v>0.1399329709567777</v>
      </c>
      <c r="AN55" s="49">
        <f t="shared" si="73"/>
        <v>0</v>
      </c>
      <c r="AO55" s="49">
        <f t="shared" si="74"/>
        <v>0.12240883449040285</v>
      </c>
      <c r="AP55" s="47">
        <f t="shared" si="75"/>
        <v>0</v>
      </c>
      <c r="AQ55" s="47">
        <f t="shared" si="76"/>
        <v>0.21086075395662027</v>
      </c>
      <c r="AR55" s="47">
        <f t="shared" si="77"/>
        <v>0.21607807695530101</v>
      </c>
      <c r="AS55" s="47">
        <f t="shared" si="78"/>
        <v>3.6263798256985266E-2</v>
      </c>
      <c r="AT55" s="47">
        <f t="shared" si="79"/>
        <v>2.1785393951503224E-3</v>
      </c>
      <c r="AU55" s="47">
        <f t="shared" si="80"/>
        <v>0</v>
      </c>
      <c r="AV55" s="47">
        <f t="shared" si="81"/>
        <v>0.24945951342596523</v>
      </c>
      <c r="AW55" s="47">
        <f t="shared" si="82"/>
        <v>1.7950686565685274</v>
      </c>
      <c r="AX55" s="47">
        <f t="shared" si="83"/>
        <v>8.7663678443346146E-2</v>
      </c>
      <c r="AY55" s="46">
        <f t="shared" si="84"/>
        <v>1.7378096756020783E-2</v>
      </c>
      <c r="AZ55" s="26"/>
      <c r="BA55" s="23">
        <f>IF(OR(AW55="",$AK55=""),"",AK55/$AW55)</f>
        <v>0.44936105916027591</v>
      </c>
      <c r="BB55" s="13">
        <f t="shared" si="6"/>
        <v>6.2684044474306845E-3</v>
      </c>
      <c r="BC55" s="13">
        <f t="shared" si="7"/>
        <v>7.7954105234211535E-2</v>
      </c>
      <c r="BD55" s="13">
        <f t="shared" si="8"/>
        <v>0</v>
      </c>
      <c r="BE55" s="13">
        <f t="shared" si="9"/>
        <v>6.8191728512713767E-2</v>
      </c>
      <c r="BF55" s="13">
        <f t="shared" si="10"/>
        <v>4.8835835956784507E-2</v>
      </c>
      <c r="BG55" s="13">
        <f t="shared" si="11"/>
        <v>9.6810206631544327E-3</v>
      </c>
      <c r="BH55" s="13">
        <f t="shared" si="12"/>
        <v>0</v>
      </c>
      <c r="BI55" s="13">
        <f t="shared" si="13"/>
        <v>0.11746667916295968</v>
      </c>
      <c r="BJ55" s="13">
        <f t="shared" si="14"/>
        <v>0.12037315462259711</v>
      </c>
      <c r="BK55" s="13">
        <f t="shared" si="15"/>
        <v>2.0201900425528867E-2</v>
      </c>
      <c r="BL55" s="13">
        <f t="shared" si="16"/>
        <v>1.2136245525643803E-3</v>
      </c>
      <c r="BM55" s="13">
        <f t="shared" si="17"/>
        <v>0</v>
      </c>
      <c r="BN55" s="13">
        <f t="shared" si="86"/>
        <v>0.138969343881718</v>
      </c>
      <c r="BO55" s="12">
        <f t="shared" si="87"/>
        <v>0.861030656118282</v>
      </c>
      <c r="BP55" s="13"/>
      <c r="BQ55" s="23">
        <f>IF(W55="","",W55/(60.09/2))</f>
        <v>1.6132679055620942</v>
      </c>
      <c r="BR55" s="13">
        <f t="shared" si="18"/>
        <v>2.2504432700555164E-2</v>
      </c>
      <c r="BS55" s="13">
        <f t="shared" si="19"/>
        <v>0.41963428584567802</v>
      </c>
      <c r="BT55" s="13">
        <f t="shared" si="20"/>
        <v>0</v>
      </c>
      <c r="BU55" s="13">
        <f t="shared" si="21"/>
        <v>0.12240883449040285</v>
      </c>
      <c r="BV55" s="13">
        <f t="shared" si="89"/>
        <v>8.7663678443346146E-2</v>
      </c>
      <c r="BW55" s="24">
        <f t="shared" si="90"/>
        <v>5.213429026806235E-2</v>
      </c>
      <c r="BX55" s="13">
        <f t="shared" si="22"/>
        <v>0</v>
      </c>
      <c r="BY55" s="13">
        <f t="shared" si="23"/>
        <v>0.21096539949208262</v>
      </c>
      <c r="BZ55" s="13">
        <f t="shared" si="24"/>
        <v>0.21600104377278573</v>
      </c>
      <c r="CA55" s="13">
        <f t="shared" si="25"/>
        <v>3.6252100257547527E-2</v>
      </c>
      <c r="CB55" s="13">
        <f t="shared" si="26"/>
        <v>2.1785393951503224E-3</v>
      </c>
      <c r="CC55" s="13">
        <f t="shared" si="27"/>
        <v>0</v>
      </c>
      <c r="CD55" s="13">
        <f t="shared" si="91"/>
        <v>0.24945951342596523</v>
      </c>
      <c r="CE55" s="12">
        <f t="shared" si="92"/>
        <v>2.8926720549422615</v>
      </c>
      <c r="CF55" s="13"/>
      <c r="CG55" s="23">
        <f t="shared" si="129"/>
        <v>0.55770853899796646</v>
      </c>
      <c r="CH55" s="13">
        <f t="shared" si="129"/>
        <v>7.7798078292716658E-3</v>
      </c>
      <c r="CI55" s="13">
        <f t="shared" si="129"/>
        <v>0.14506804707734283</v>
      </c>
      <c r="CJ55" s="13">
        <f t="shared" si="129"/>
        <v>0</v>
      </c>
      <c r="CK55" s="13">
        <f t="shared" si="129"/>
        <v>4.2316872485168792E-2</v>
      </c>
      <c r="CL55" s="13">
        <f t="shared" si="129"/>
        <v>3.030543275500891E-2</v>
      </c>
      <c r="CM55" s="13">
        <f t="shared" si="129"/>
        <v>1.8022883091427026E-2</v>
      </c>
      <c r="CN55" s="13">
        <f t="shared" si="129"/>
        <v>0</v>
      </c>
      <c r="CO55" s="13">
        <f t="shared" si="129"/>
        <v>7.2930977132937919E-2</v>
      </c>
      <c r="CP55" s="13">
        <f t="shared" si="157"/>
        <v>7.4671805054340026E-2</v>
      </c>
      <c r="CQ55" s="13">
        <f t="shared" si="157"/>
        <v>1.2532392047556573E-2</v>
      </c>
      <c r="CR55" s="13">
        <f t="shared" si="157"/>
        <v>7.5312353207415575E-4</v>
      </c>
      <c r="CS55" s="13">
        <f t="shared" si="157"/>
        <v>0</v>
      </c>
      <c r="CT55" s="13">
        <f t="shared" si="157"/>
        <v>8.6238435843341565E-2</v>
      </c>
      <c r="CU55" s="12">
        <f t="shared" si="29"/>
        <v>0.99999999999999989</v>
      </c>
      <c r="CV55" s="26"/>
      <c r="CW55" s="23">
        <f t="shared" si="30"/>
        <v>0.8066339527810471</v>
      </c>
      <c r="CX55" s="13">
        <f t="shared" si="31"/>
        <v>1.1252216350277582E-2</v>
      </c>
      <c r="CY55" s="13">
        <f t="shared" si="32"/>
        <v>0.27975619056378537</v>
      </c>
      <c r="CZ55" s="13">
        <f t="shared" si="33"/>
        <v>0</v>
      </c>
      <c r="DA55" s="13">
        <f t="shared" si="34"/>
        <v>0.17270194986072424</v>
      </c>
      <c r="DB55" s="13">
        <f t="shared" si="35"/>
        <v>8.7663678443346146E-2</v>
      </c>
      <c r="DC55" s="24">
        <f t="shared" si="36"/>
        <v>3.4756193512041567E-2</v>
      </c>
      <c r="DD55" s="13">
        <f t="shared" si="37"/>
        <v>0</v>
      </c>
      <c r="DE55" s="13">
        <f t="shared" si="38"/>
        <v>0.21096539949208262</v>
      </c>
      <c r="DF55" s="13">
        <f t="shared" si="39"/>
        <v>0.21600104377278573</v>
      </c>
      <c r="DG55" s="13">
        <f t="shared" si="40"/>
        <v>7.2504200515095055E-2</v>
      </c>
      <c r="DH55" s="13">
        <f t="shared" si="41"/>
        <v>4.3570787903006447E-3</v>
      </c>
      <c r="DI55" s="13">
        <f t="shared" si="42"/>
        <v>0</v>
      </c>
      <c r="DJ55" s="13">
        <f t="shared" si="93"/>
        <v>0.49891902685193046</v>
      </c>
      <c r="DK55" s="12">
        <f t="shared" si="94"/>
        <v>2.2730910589780291</v>
      </c>
      <c r="DL55" s="26"/>
      <c r="DM55" s="23">
        <f t="shared" si="154"/>
        <v>0.3548621378783241</v>
      </c>
      <c r="DN55" s="13">
        <f t="shared" si="154"/>
        <v>4.9501828384017864E-3</v>
      </c>
      <c r="DO55" s="13">
        <f t="shared" si="153"/>
        <v>0.12307302404751107</v>
      </c>
      <c r="DP55" s="13">
        <f t="shared" si="153"/>
        <v>0</v>
      </c>
      <c r="DQ55" s="13">
        <f t="shared" si="153"/>
        <v>7.5976696656565187E-2</v>
      </c>
      <c r="DR55" s="13">
        <f t="shared" si="153"/>
        <v>3.8565845436372141E-2</v>
      </c>
      <c r="DS55" s="13">
        <f t="shared" si="153"/>
        <v>1.5290277692468593E-2</v>
      </c>
      <c r="DT55" s="13">
        <f t="shared" si="153"/>
        <v>0</v>
      </c>
      <c r="DU55" s="13">
        <f t="shared" si="153"/>
        <v>9.2809920068460283E-2</v>
      </c>
      <c r="DV55" s="13">
        <f t="shared" si="153"/>
        <v>9.5025248953246405E-2</v>
      </c>
      <c r="DW55" s="13">
        <f t="shared" si="153"/>
        <v>3.1896742644217956E-2</v>
      </c>
      <c r="DX55" s="13">
        <f t="shared" si="153"/>
        <v>1.9168078520618379E-3</v>
      </c>
      <c r="DY55" s="13">
        <f t="shared" si="153"/>
        <v>0</v>
      </c>
      <c r="DZ55" s="13">
        <f t="shared" si="153"/>
        <v>0.21948923906121123</v>
      </c>
      <c r="EA55" s="12">
        <f t="shared" si="44"/>
        <v>1</v>
      </c>
      <c r="EB55" s="26"/>
      <c r="EC55" s="30">
        <f t="shared" si="45"/>
        <v>1323</v>
      </c>
      <c r="ED55" s="14">
        <f t="shared" si="96"/>
        <v>100000</v>
      </c>
      <c r="EE55" s="29"/>
      <c r="EF55" s="128">
        <f t="shared" si="124"/>
        <v>-8.7342365835222964</v>
      </c>
      <c r="EG55" s="13">
        <f t="shared" si="97"/>
        <v>1.5</v>
      </c>
      <c r="EH55" s="13">
        <f t="shared" si="98"/>
        <v>0.74926606198035017</v>
      </c>
      <c r="EI55" s="12">
        <f t="shared" si="46"/>
        <v>5.3414996220710531</v>
      </c>
      <c r="EJ55" s="29"/>
      <c r="EK55" s="28">
        <f t="shared" si="99"/>
        <v>-1.6186146693258749</v>
      </c>
      <c r="EL55" s="24">
        <f t="shared" si="100"/>
        <v>-0.7028287752174881</v>
      </c>
      <c r="EM55" s="24">
        <f t="shared" si="101"/>
        <v>0.19817304420730664</v>
      </c>
      <c r="EN55" s="24">
        <f t="shared" si="102"/>
        <v>4.8835835956784507E-2</v>
      </c>
      <c r="EO55" s="24">
        <f t="shared" si="103"/>
        <v>9.6779462779646303E-3</v>
      </c>
      <c r="EP55" s="24">
        <f t="shared" si="104"/>
        <v>0.28384516682724237</v>
      </c>
      <c r="EQ55" s="24">
        <f t="shared" si="105"/>
        <v>-1.6182970505991114</v>
      </c>
      <c r="ER55" s="24">
        <f t="shared" si="47"/>
        <v>-20.109295756269134</v>
      </c>
      <c r="ES55" s="25">
        <f t="shared" si="48"/>
        <v>-8.7317827860482566</v>
      </c>
      <c r="ET55" s="26">
        <v>4.5999999999999996</v>
      </c>
      <c r="EU55" s="26">
        <v>0.29083888041780526</v>
      </c>
      <c r="EV55" s="26">
        <v>0.39823309802461915</v>
      </c>
      <c r="EW55" s="26">
        <v>0.28384516682724237</v>
      </c>
      <c r="EX55" s="26">
        <v>0.39622871271903215</v>
      </c>
      <c r="EY55" s="26">
        <f t="shared" si="106"/>
        <v>0.99496680382537395</v>
      </c>
      <c r="EZ55" s="26">
        <f t="shared" si="107"/>
        <v>1.024639185048444</v>
      </c>
      <c r="FA55" s="23">
        <f t="shared" si="125"/>
        <v>-1.2936674801035437</v>
      </c>
      <c r="FB55" s="190">
        <f t="shared" si="108"/>
        <v>4.8393806098596559E-2</v>
      </c>
      <c r="FC55" s="124">
        <v>6.2646889236044334E-2</v>
      </c>
      <c r="FD55" s="26"/>
      <c r="FE55" s="27">
        <f t="shared" si="109"/>
        <v>0.88818423022188309</v>
      </c>
      <c r="FF55" s="26"/>
      <c r="FG55" s="23">
        <f t="shared" si="130"/>
        <v>-4.6690215900967509</v>
      </c>
      <c r="FH55" s="13">
        <f t="shared" si="50"/>
        <v>13.803261076739936</v>
      </c>
      <c r="FI55" s="13">
        <f t="shared" si="131"/>
        <v>-21.845149910644157</v>
      </c>
      <c r="FJ55" s="13">
        <f t="shared" si="132"/>
        <v>9.4786665677474957E-2</v>
      </c>
      <c r="FK55" s="12">
        <f t="shared" si="53"/>
        <v>0.5236789404298372</v>
      </c>
      <c r="FL55" s="13"/>
      <c r="FM55" s="23">
        <f t="shared" si="133"/>
        <v>-6.0700930349506868</v>
      </c>
      <c r="FN55" s="13">
        <f t="shared" si="134"/>
        <v>11.291635639096761</v>
      </c>
      <c r="FO55" s="13">
        <f t="shared" si="135"/>
        <v>11.813397775916826</v>
      </c>
      <c r="FP55" s="24">
        <f t="shared" si="136"/>
        <v>0.43886041736821657</v>
      </c>
      <c r="FQ55" s="25">
        <f t="shared" si="137"/>
        <v>0.72224268371203759</v>
      </c>
      <c r="FR55" s="13"/>
      <c r="FS55" s="23">
        <f t="shared" si="111"/>
        <v>11.115038208571804</v>
      </c>
      <c r="FT55" s="13">
        <f t="shared" si="126"/>
        <v>-6.1705084459371715</v>
      </c>
      <c r="FU55" s="13">
        <f t="shared" si="138"/>
        <v>-0.18292651253561587</v>
      </c>
      <c r="FV55" s="13">
        <f t="shared" si="58"/>
        <v>0.39622871271903215</v>
      </c>
      <c r="FW55" s="23">
        <f t="shared" si="139"/>
        <v>-0.18300905221815711</v>
      </c>
      <c r="FX55" s="13">
        <f t="shared" si="140"/>
        <v>0.39618324655484238</v>
      </c>
      <c r="FY55" s="13">
        <f t="shared" si="141"/>
        <v>-0.18297670150009182</v>
      </c>
      <c r="FZ55" s="13">
        <f t="shared" si="116"/>
        <v>0.39620106641276809</v>
      </c>
      <c r="GA55" s="13">
        <f t="shared" si="142"/>
        <v>-0.18301736665504009</v>
      </c>
      <c r="GB55" s="12">
        <f t="shared" si="118"/>
        <v>0.39617866672933466</v>
      </c>
      <c r="GC55" s="22"/>
      <c r="GD55" s="11">
        <f t="shared" si="143"/>
        <v>1.5</v>
      </c>
      <c r="GE55" s="10">
        <f t="shared" si="144"/>
        <v>0.74926606198035017</v>
      </c>
      <c r="GF55" s="10">
        <f t="shared" si="145"/>
        <v>5.3414996220710531</v>
      </c>
      <c r="GG55" s="5">
        <f t="shared" si="146"/>
        <v>-8.7342365835222964</v>
      </c>
      <c r="GH55" s="10">
        <f t="shared" si="147"/>
        <v>0.28384516682724237</v>
      </c>
      <c r="GI55" s="9">
        <f t="shared" si="119"/>
        <v>11.115038208571804</v>
      </c>
      <c r="GJ55" s="8">
        <f t="shared" si="120"/>
        <v>-6.1705084459371715</v>
      </c>
      <c r="GK55" s="8">
        <f t="shared" si="121"/>
        <v>0.39622871271903215</v>
      </c>
      <c r="GL55" s="7">
        <f t="shared" si="122"/>
        <v>0.39618324655484238</v>
      </c>
      <c r="GM55" s="6">
        <f t="shared" si="148"/>
        <v>0.43886041736821657</v>
      </c>
      <c r="GN55" s="5">
        <f t="shared" si="149"/>
        <v>0.72224268371203759</v>
      </c>
      <c r="GO55" s="4">
        <f t="shared" si="150"/>
        <v>0.5236789404298372</v>
      </c>
      <c r="GP55" s="4">
        <f t="shared" si="151"/>
        <v>0.88818423022188309</v>
      </c>
      <c r="GQ55" s="4">
        <f t="shared" si="152"/>
        <v>4.8393806098596559E-2</v>
      </c>
      <c r="GR55" s="1"/>
    </row>
    <row r="56" spans="1:200" x14ac:dyDescent="0.4">
      <c r="A56" s="34"/>
      <c r="B56" s="21"/>
      <c r="C56" s="21"/>
      <c r="D56" s="34"/>
      <c r="E56" s="34"/>
      <c r="F56" s="20" t="s">
        <v>84</v>
      </c>
      <c r="G56" s="19">
        <v>1050</v>
      </c>
      <c r="H56" s="18">
        <v>1E-4</v>
      </c>
      <c r="I56" s="17">
        <v>1.5</v>
      </c>
      <c r="J56" s="16">
        <v>49.6</v>
      </c>
      <c r="K56" s="16">
        <v>0.92</v>
      </c>
      <c r="L56" s="16">
        <v>14.6</v>
      </c>
      <c r="M56" s="16">
        <v>0</v>
      </c>
      <c r="N56" s="16">
        <v>9</v>
      </c>
      <c r="O56" s="16">
        <v>0</v>
      </c>
      <c r="P56" s="16">
        <v>8.6999999999999993</v>
      </c>
      <c r="Q56" s="16">
        <v>12.4</v>
      </c>
      <c r="R56" s="16">
        <v>2.2999999999999998</v>
      </c>
      <c r="S56" s="16">
        <v>0.21</v>
      </c>
      <c r="T56" s="16">
        <v>0</v>
      </c>
      <c r="U56" s="15">
        <v>4.7</v>
      </c>
      <c r="V56" s="16"/>
      <c r="W56" s="28">
        <f t="shared" si="69"/>
        <v>48.423313482378205</v>
      </c>
      <c r="X56" s="24">
        <f t="shared" si="156"/>
        <v>0.89817436297959585</v>
      </c>
      <c r="Y56" s="24">
        <f t="shared" si="156"/>
        <v>14.253636629893585</v>
      </c>
      <c r="Z56" s="24">
        <f t="shared" si="155"/>
        <v>0</v>
      </c>
      <c r="AA56" s="24">
        <f t="shared" si="155"/>
        <v>8.7864883334960453</v>
      </c>
      <c r="AB56" s="24">
        <f t="shared" si="155"/>
        <v>0</v>
      </c>
      <c r="AC56" s="24">
        <f t="shared" si="155"/>
        <v>8.4936053890461771</v>
      </c>
      <c r="AD56" s="24">
        <f t="shared" si="155"/>
        <v>12.105828370594551</v>
      </c>
      <c r="AE56" s="24">
        <f t="shared" si="155"/>
        <v>2.2454359074489894</v>
      </c>
      <c r="AF56" s="24">
        <f t="shared" si="155"/>
        <v>0.2050180611149077</v>
      </c>
      <c r="AG56" s="24">
        <f t="shared" si="155"/>
        <v>0</v>
      </c>
      <c r="AH56" s="24">
        <f t="shared" si="155"/>
        <v>4.5884994630479348</v>
      </c>
      <c r="AI56" s="14">
        <f t="shared" si="123"/>
        <v>100</v>
      </c>
      <c r="AJ56" s="26"/>
      <c r="AK56" s="50">
        <f t="shared" si="70"/>
        <v>0.80584645502376773</v>
      </c>
      <c r="AL56" s="47">
        <f t="shared" si="71"/>
        <v>1.124123107609006E-2</v>
      </c>
      <c r="AM56" s="47">
        <f t="shared" si="72"/>
        <v>0.13979635768824622</v>
      </c>
      <c r="AN56" s="49">
        <f t="shared" si="73"/>
        <v>0</v>
      </c>
      <c r="AO56" s="49">
        <f t="shared" si="74"/>
        <v>0.12228932962416209</v>
      </c>
      <c r="AP56" s="47">
        <f t="shared" si="75"/>
        <v>0</v>
      </c>
      <c r="AQ56" s="47">
        <f t="shared" si="76"/>
        <v>0.21065489556166114</v>
      </c>
      <c r="AR56" s="47">
        <f t="shared" si="77"/>
        <v>0.21586712501060185</v>
      </c>
      <c r="AS56" s="47">
        <f t="shared" si="78"/>
        <v>3.6228394763617125E-2</v>
      </c>
      <c r="AT56" s="47">
        <f t="shared" si="79"/>
        <v>2.176412538374816E-3</v>
      </c>
      <c r="AU56" s="47">
        <f t="shared" si="80"/>
        <v>0</v>
      </c>
      <c r="AV56" s="47">
        <f t="shared" si="81"/>
        <v>0.25463371049100636</v>
      </c>
      <c r="AW56" s="47">
        <f t="shared" si="82"/>
        <v>1.7987339117775274</v>
      </c>
      <c r="AX56" s="47">
        <f t="shared" si="83"/>
        <v>8.759393651766649E-2</v>
      </c>
      <c r="AY56" s="46">
        <f t="shared" si="84"/>
        <v>1.7353207381664151E-2</v>
      </c>
      <c r="AZ56" s="26"/>
      <c r="BA56" s="23">
        <f t="shared" si="85"/>
        <v>0.44800759564677467</v>
      </c>
      <c r="BB56" s="13">
        <f t="shared" si="6"/>
        <v>6.2495241805839751E-3</v>
      </c>
      <c r="BC56" s="13">
        <f t="shared" si="7"/>
        <v>7.7719309550403723E-2</v>
      </c>
      <c r="BD56" s="13">
        <f t="shared" si="8"/>
        <v>0</v>
      </c>
      <c r="BE56" s="13">
        <f t="shared" si="9"/>
        <v>6.7986336846962828E-2</v>
      </c>
      <c r="BF56" s="13">
        <f t="shared" si="10"/>
        <v>4.8697551063072615E-2</v>
      </c>
      <c r="BG56" s="13">
        <f t="shared" si="11"/>
        <v>9.6474566182585247E-3</v>
      </c>
      <c r="BH56" s="13">
        <f t="shared" si="12"/>
        <v>0</v>
      </c>
      <c r="BI56" s="13">
        <f t="shared" si="13"/>
        <v>0.11711287266135423</v>
      </c>
      <c r="BJ56" s="13">
        <f t="shared" si="14"/>
        <v>0.12001059389450201</v>
      </c>
      <c r="BK56" s="13">
        <f t="shared" si="15"/>
        <v>2.0141052840781687E-2</v>
      </c>
      <c r="BL56" s="13">
        <f t="shared" si="16"/>
        <v>1.2099691478124537E-3</v>
      </c>
      <c r="BM56" s="13">
        <f t="shared" si="17"/>
        <v>0</v>
      </c>
      <c r="BN56" s="13">
        <f t="shared" si="86"/>
        <v>0.14156274523082443</v>
      </c>
      <c r="BO56" s="12">
        <f t="shared" si="87"/>
        <v>0.85843725476917565</v>
      </c>
      <c r="BP56" s="13"/>
      <c r="BQ56" s="23">
        <f t="shared" si="88"/>
        <v>1.6116929100475355</v>
      </c>
      <c r="BR56" s="13">
        <f t="shared" si="18"/>
        <v>2.2482462152180121E-2</v>
      </c>
      <c r="BS56" s="13">
        <f t="shared" si="19"/>
        <v>0.41922460676157602</v>
      </c>
      <c r="BT56" s="13">
        <f t="shared" si="20"/>
        <v>0</v>
      </c>
      <c r="BU56" s="13">
        <f t="shared" si="21"/>
        <v>0.12228932962416209</v>
      </c>
      <c r="BV56" s="13">
        <f t="shared" si="89"/>
        <v>8.759393651766649E-2</v>
      </c>
      <c r="BW56" s="24">
        <f t="shared" si="90"/>
        <v>5.2059622144992448E-2</v>
      </c>
      <c r="BX56" s="13">
        <f t="shared" si="22"/>
        <v>0</v>
      </c>
      <c r="BY56" s="13">
        <f t="shared" si="23"/>
        <v>0.21075943893414834</v>
      </c>
      <c r="BZ56" s="13">
        <f t="shared" si="24"/>
        <v>0.21579016703377096</v>
      </c>
      <c r="CA56" s="13">
        <f t="shared" si="25"/>
        <v>3.621670818466112E-2</v>
      </c>
      <c r="CB56" s="13">
        <f t="shared" si="26"/>
        <v>2.176412538374816E-3</v>
      </c>
      <c r="CC56" s="13">
        <f t="shared" si="27"/>
        <v>0</v>
      </c>
      <c r="CD56" s="13">
        <f t="shared" si="91"/>
        <v>0.25463371049100636</v>
      </c>
      <c r="CE56" s="12">
        <f t="shared" si="92"/>
        <v>2.895265745767416</v>
      </c>
      <c r="CF56" s="13"/>
      <c r="CG56" s="23">
        <f t="shared" si="129"/>
        <v>0.55666493219272406</v>
      </c>
      <c r="CH56" s="13">
        <f t="shared" si="129"/>
        <v>7.7652499377810803E-3</v>
      </c>
      <c r="CI56" s="13">
        <f t="shared" si="129"/>
        <v>0.14479658987242872</v>
      </c>
      <c r="CJ56" s="13">
        <f t="shared" si="129"/>
        <v>0</v>
      </c>
      <c r="CK56" s="13">
        <f t="shared" si="129"/>
        <v>4.2237687439550808E-2</v>
      </c>
      <c r="CL56" s="13">
        <f t="shared" si="129"/>
        <v>3.0254195714407187E-2</v>
      </c>
      <c r="CM56" s="13">
        <f t="shared" si="129"/>
        <v>1.7980947766573181E-2</v>
      </c>
      <c r="CN56" s="13">
        <f t="shared" si="129"/>
        <v>0</v>
      </c>
      <c r="CO56" s="13">
        <f t="shared" si="129"/>
        <v>7.2794505734838741E-2</v>
      </c>
      <c r="CP56" s="13">
        <f t="shared" si="157"/>
        <v>7.4532076148531176E-2</v>
      </c>
      <c r="CQ56" s="13">
        <f t="shared" si="157"/>
        <v>1.2508940927998152E-2</v>
      </c>
      <c r="CR56" s="13">
        <f t="shared" si="157"/>
        <v>7.5171425681960617E-4</v>
      </c>
      <c r="CS56" s="13">
        <f t="shared" si="157"/>
        <v>0</v>
      </c>
      <c r="CT56" s="13">
        <f t="shared" si="157"/>
        <v>8.7948303489327334E-2</v>
      </c>
      <c r="CU56" s="12">
        <f t="shared" si="29"/>
        <v>0.99999999999999967</v>
      </c>
      <c r="CV56" s="26"/>
      <c r="CW56" s="23">
        <f t="shared" si="30"/>
        <v>0.80584645502376773</v>
      </c>
      <c r="CX56" s="13">
        <f t="shared" si="31"/>
        <v>1.124123107609006E-2</v>
      </c>
      <c r="CY56" s="13">
        <f t="shared" si="32"/>
        <v>0.27948307117438403</v>
      </c>
      <c r="CZ56" s="13">
        <f t="shared" si="33"/>
        <v>0</v>
      </c>
      <c r="DA56" s="13">
        <f t="shared" si="34"/>
        <v>0.17270194986072424</v>
      </c>
      <c r="DB56" s="13">
        <f t="shared" si="35"/>
        <v>8.759393651766649E-2</v>
      </c>
      <c r="DC56" s="24">
        <f t="shared" si="36"/>
        <v>3.4706414763328301E-2</v>
      </c>
      <c r="DD56" s="13">
        <f t="shared" si="37"/>
        <v>0</v>
      </c>
      <c r="DE56" s="13">
        <f t="shared" si="38"/>
        <v>0.21075943893414834</v>
      </c>
      <c r="DF56" s="13">
        <f t="shared" si="39"/>
        <v>0.21579016703377096</v>
      </c>
      <c r="DG56" s="13">
        <f t="shared" si="40"/>
        <v>7.243341636932224E-2</v>
      </c>
      <c r="DH56" s="13">
        <f t="shared" si="41"/>
        <v>4.3528250767496321E-3</v>
      </c>
      <c r="DI56" s="13">
        <f t="shared" si="42"/>
        <v>0</v>
      </c>
      <c r="DJ56" s="13">
        <f t="shared" si="93"/>
        <v>0.50926742098201272</v>
      </c>
      <c r="DK56" s="12">
        <f t="shared" si="94"/>
        <v>2.2818759755309701</v>
      </c>
      <c r="DL56" s="26"/>
      <c r="DM56" s="23">
        <f t="shared" si="154"/>
        <v>0.35315085642910771</v>
      </c>
      <c r="DN56" s="13">
        <f t="shared" si="154"/>
        <v>4.9263111565361634E-3</v>
      </c>
      <c r="DO56" s="13">
        <f t="shared" si="153"/>
        <v>0.12247951868170709</v>
      </c>
      <c r="DP56" s="13">
        <f t="shared" si="153"/>
        <v>0</v>
      </c>
      <c r="DQ56" s="13">
        <f t="shared" si="153"/>
        <v>7.5684196561357012E-2</v>
      </c>
      <c r="DR56" s="13">
        <f t="shared" si="153"/>
        <v>3.8386808685903377E-2</v>
      </c>
      <c r="DS56" s="13">
        <f t="shared" si="153"/>
        <v>1.5209597338107939E-2</v>
      </c>
      <c r="DT56" s="13">
        <f t="shared" si="153"/>
        <v>0</v>
      </c>
      <c r="DU56" s="13">
        <f t="shared" si="153"/>
        <v>9.2362355007093097E-2</v>
      </c>
      <c r="DV56" s="13">
        <f t="shared" si="153"/>
        <v>9.456700072560198E-2</v>
      </c>
      <c r="DW56" s="13">
        <f t="shared" si="153"/>
        <v>3.1742924307035437E-2</v>
      </c>
      <c r="DX56" s="13">
        <f t="shared" si="153"/>
        <v>1.9075642687971998E-3</v>
      </c>
      <c r="DY56" s="13">
        <f t="shared" si="153"/>
        <v>0</v>
      </c>
      <c r="DZ56" s="13">
        <f t="shared" si="153"/>
        <v>0.22317927286276423</v>
      </c>
      <c r="EA56" s="12">
        <f t="shared" si="44"/>
        <v>1</v>
      </c>
      <c r="EB56" s="26"/>
      <c r="EC56" s="30">
        <f t="shared" si="45"/>
        <v>1323</v>
      </c>
      <c r="ED56" s="14">
        <f t="shared" si="96"/>
        <v>100000</v>
      </c>
      <c r="EE56" s="29"/>
      <c r="EF56" s="128">
        <f t="shared" si="124"/>
        <v>-8.7342365835222964</v>
      </c>
      <c r="EG56" s="13">
        <f t="shared" si="97"/>
        <v>1.5</v>
      </c>
      <c r="EH56" s="13">
        <f t="shared" si="98"/>
        <v>0.74926606198035017</v>
      </c>
      <c r="EI56" s="12">
        <f t="shared" si="46"/>
        <v>5.3414996220710531</v>
      </c>
      <c r="EJ56" s="29"/>
      <c r="EK56" s="28">
        <f t="shared" si="99"/>
        <v>-1.6192520436343769</v>
      </c>
      <c r="EL56" s="24">
        <f t="shared" si="100"/>
        <v>-0.70310553349299909</v>
      </c>
      <c r="EM56" s="24">
        <f t="shared" si="101"/>
        <v>0.19804677404524462</v>
      </c>
      <c r="EN56" s="24">
        <f t="shared" si="102"/>
        <v>4.8697551063072615E-2</v>
      </c>
      <c r="EO56" s="24">
        <f t="shared" si="103"/>
        <v>9.6443928919451045E-3</v>
      </c>
      <c r="EP56" s="24">
        <f t="shared" si="104"/>
        <v>0.28371562108588444</v>
      </c>
      <c r="EQ56" s="24">
        <f t="shared" si="105"/>
        <v>-1.618934424907613</v>
      </c>
      <c r="ER56" s="24">
        <f t="shared" si="47"/>
        <v>-20.109295756269134</v>
      </c>
      <c r="ES56" s="25">
        <f t="shared" si="48"/>
        <v>-8.7317827860482566</v>
      </c>
      <c r="ET56" s="26">
        <v>4.7</v>
      </c>
      <c r="EU56" s="26">
        <v>0.29083888041780526</v>
      </c>
      <c r="EV56" s="26">
        <v>0.40066915444649809</v>
      </c>
      <c r="EW56" s="26">
        <v>0.28371562108588444</v>
      </c>
      <c r="EX56" s="26">
        <v>0.3986297459090774</v>
      </c>
      <c r="EY56" s="26">
        <f t="shared" si="106"/>
        <v>0.99490999365739041</v>
      </c>
      <c r="EZ56" s="26">
        <f t="shared" si="107"/>
        <v>1.0251070395935813</v>
      </c>
      <c r="FA56" s="23">
        <f t="shared" si="125"/>
        <v>-1.2958819452642594</v>
      </c>
      <c r="FB56" s="190">
        <f t="shared" si="108"/>
        <v>4.8159527981087913E-2</v>
      </c>
      <c r="FC56" s="124">
        <v>6.2646889236044334E-2</v>
      </c>
      <c r="FD56" s="26"/>
      <c r="FE56" s="27">
        <f t="shared" si="109"/>
        <v>0.88818423022188309</v>
      </c>
      <c r="FF56" s="26"/>
      <c r="FG56" s="23">
        <f t="shared" si="130"/>
        <v>-4.688330317434132</v>
      </c>
      <c r="FH56" s="13">
        <f t="shared" si="50"/>
        <v>13.775017799170989</v>
      </c>
      <c r="FI56" s="13">
        <f t="shared" si="131"/>
        <v>-21.845149910644157</v>
      </c>
      <c r="FJ56" s="13">
        <f t="shared" si="132"/>
        <v>8.585211544590976E-2</v>
      </c>
      <c r="FK56" s="12">
        <f t="shared" si="53"/>
        <v>0.52144985564630886</v>
      </c>
      <c r="FL56" s="13"/>
      <c r="FM56" s="23">
        <f t="shared" si="133"/>
        <v>-6.0707674115799852</v>
      </c>
      <c r="FN56" s="13">
        <f t="shared" si="134"/>
        <v>11.287639928268025</v>
      </c>
      <c r="FO56" s="13">
        <f t="shared" si="135"/>
        <v>11.809480082189964</v>
      </c>
      <c r="FP56" s="24">
        <f t="shared" si="136"/>
        <v>0.43697798037260038</v>
      </c>
      <c r="FQ56" s="25">
        <f t="shared" si="137"/>
        <v>0.7207420553885715</v>
      </c>
      <c r="FR56" s="13"/>
      <c r="FS56" s="23">
        <f t="shared" si="111"/>
        <v>11.121039603549093</v>
      </c>
      <c r="FT56" s="13">
        <f t="shared" si="126"/>
        <v>-6.168861323747012</v>
      </c>
      <c r="FU56" s="13">
        <f t="shared" si="138"/>
        <v>-0.17857223974848679</v>
      </c>
      <c r="FV56" s="13">
        <f t="shared" si="58"/>
        <v>0.3986297459090774</v>
      </c>
      <c r="FW56" s="23">
        <f t="shared" si="139"/>
        <v>-0.17865477943102803</v>
      </c>
      <c r="FX56" s="13">
        <f t="shared" si="140"/>
        <v>0.39858418611421664</v>
      </c>
      <c r="FY56" s="13">
        <f t="shared" si="141"/>
        <v>-0.17862242871296274</v>
      </c>
      <c r="FZ56" s="13">
        <f t="shared" si="116"/>
        <v>0.39860204267439225</v>
      </c>
      <c r="GA56" s="13">
        <f t="shared" si="142"/>
        <v>-0.17866309386791102</v>
      </c>
      <c r="GB56" s="12">
        <f t="shared" si="118"/>
        <v>0.39857959685494759</v>
      </c>
      <c r="GC56" s="22"/>
      <c r="GD56" s="11">
        <f t="shared" si="143"/>
        <v>1.5</v>
      </c>
      <c r="GE56" s="10">
        <f t="shared" si="144"/>
        <v>0.74926606198035017</v>
      </c>
      <c r="GF56" s="10">
        <f t="shared" si="145"/>
        <v>5.3414996220710531</v>
      </c>
      <c r="GG56" s="5">
        <f t="shared" si="146"/>
        <v>-8.7342365835222964</v>
      </c>
      <c r="GH56" s="10">
        <f t="shared" si="147"/>
        <v>0.28371562108588444</v>
      </c>
      <c r="GI56" s="9">
        <f t="shared" si="119"/>
        <v>11.121039603549093</v>
      </c>
      <c r="GJ56" s="8">
        <f t="shared" si="120"/>
        <v>-6.168861323747012</v>
      </c>
      <c r="GK56" s="8">
        <f t="shared" si="121"/>
        <v>0.3986297459090774</v>
      </c>
      <c r="GL56" s="7">
        <f t="shared" si="122"/>
        <v>0.39858418611421664</v>
      </c>
      <c r="GM56" s="6">
        <f t="shared" si="148"/>
        <v>0.43697798037260038</v>
      </c>
      <c r="GN56" s="5">
        <f t="shared" si="149"/>
        <v>0.7207420553885715</v>
      </c>
      <c r="GO56" s="4">
        <f t="shared" si="150"/>
        <v>0.52144985564630886</v>
      </c>
      <c r="GP56" s="4">
        <f t="shared" si="151"/>
        <v>0.88818423022188309</v>
      </c>
      <c r="GQ56" s="4">
        <f t="shared" si="152"/>
        <v>4.8159527981087913E-2</v>
      </c>
      <c r="GR56" s="1"/>
    </row>
    <row r="57" spans="1:200" x14ac:dyDescent="0.4">
      <c r="A57" s="34"/>
      <c r="B57" s="21"/>
      <c r="C57" s="21"/>
      <c r="D57" s="34"/>
      <c r="E57" s="34"/>
      <c r="F57" s="20" t="s">
        <v>84</v>
      </c>
      <c r="G57" s="19">
        <v>1050</v>
      </c>
      <c r="H57" s="18">
        <v>1E-4</v>
      </c>
      <c r="I57" s="17">
        <v>1.5</v>
      </c>
      <c r="J57" s="16">
        <v>49.6</v>
      </c>
      <c r="K57" s="16">
        <v>0.92</v>
      </c>
      <c r="L57" s="16">
        <v>14.6</v>
      </c>
      <c r="M57" s="16">
        <v>0</v>
      </c>
      <c r="N57" s="16">
        <v>9</v>
      </c>
      <c r="O57" s="16">
        <v>0</v>
      </c>
      <c r="P57" s="16">
        <v>8.6999999999999993</v>
      </c>
      <c r="Q57" s="16">
        <v>12.4</v>
      </c>
      <c r="R57" s="16">
        <v>2.2999999999999998</v>
      </c>
      <c r="S57" s="16">
        <v>0.21</v>
      </c>
      <c r="T57" s="16">
        <v>0</v>
      </c>
      <c r="U57" s="15">
        <v>4.8</v>
      </c>
      <c r="V57" s="16"/>
      <c r="W57" s="28">
        <f t="shared" si="69"/>
        <v>48.376085048278554</v>
      </c>
      <c r="X57" s="24">
        <f t="shared" si="156"/>
        <v>0.89729835170194083</v>
      </c>
      <c r="Y57" s="24">
        <f t="shared" si="156"/>
        <v>14.239734711791671</v>
      </c>
      <c r="Z57" s="24">
        <f t="shared" si="155"/>
        <v>0</v>
      </c>
      <c r="AA57" s="24">
        <f t="shared" si="155"/>
        <v>8.7779186579537694</v>
      </c>
      <c r="AB57" s="24">
        <f t="shared" si="155"/>
        <v>0</v>
      </c>
      <c r="AC57" s="24">
        <f t="shared" si="155"/>
        <v>8.4853213693553098</v>
      </c>
      <c r="AD57" s="24">
        <f t="shared" si="155"/>
        <v>12.094021262069639</v>
      </c>
      <c r="AE57" s="24">
        <f t="shared" si="155"/>
        <v>2.243245879254852</v>
      </c>
      <c r="AF57" s="24">
        <f t="shared" si="155"/>
        <v>0.20481810201892128</v>
      </c>
      <c r="AG57" s="24">
        <f t="shared" si="155"/>
        <v>0</v>
      </c>
      <c r="AH57" s="24">
        <f t="shared" si="155"/>
        <v>4.6815566175753434</v>
      </c>
      <c r="AI57" s="14">
        <f t="shared" si="123"/>
        <v>99.999999999999986</v>
      </c>
      <c r="AJ57" s="26"/>
      <c r="AK57" s="50">
        <f t="shared" si="70"/>
        <v>0.805060493397879</v>
      </c>
      <c r="AL57" s="47">
        <f t="shared" si="71"/>
        <v>1.123026723031215E-2</v>
      </c>
      <c r="AM57" s="47">
        <f t="shared" si="72"/>
        <v>0.1396600109041945</v>
      </c>
      <c r="AN57" s="49">
        <f t="shared" si="73"/>
        <v>0</v>
      </c>
      <c r="AO57" s="49">
        <f t="shared" si="74"/>
        <v>0.12217005786992025</v>
      </c>
      <c r="AP57" s="47">
        <f t="shared" si="75"/>
        <v>0</v>
      </c>
      <c r="AQ57" s="47">
        <f t="shared" si="76"/>
        <v>0.21044943872409003</v>
      </c>
      <c r="AR57" s="47">
        <f t="shared" si="77"/>
        <v>0.21565658455901637</v>
      </c>
      <c r="AS57" s="47">
        <f t="shared" si="78"/>
        <v>3.6193060330023431E-2</v>
      </c>
      <c r="AT57" s="47">
        <f t="shared" si="79"/>
        <v>2.1742898303494826E-3</v>
      </c>
      <c r="AU57" s="47">
        <f t="shared" si="80"/>
        <v>0</v>
      </c>
      <c r="AV57" s="47">
        <f t="shared" si="81"/>
        <v>0.25979781451583484</v>
      </c>
      <c r="AW57" s="47">
        <f t="shared" si="82"/>
        <v>1.8023920173616199</v>
      </c>
      <c r="AX57" s="47">
        <f t="shared" si="83"/>
        <v>8.7524231257916946E-2</v>
      </c>
      <c r="AY57" s="46">
        <f t="shared" si="84"/>
        <v>1.7328416261544348E-2</v>
      </c>
      <c r="AZ57" s="26"/>
      <c r="BA57" s="23">
        <f>IF(OR(AW57="",$AK57=""),"",AK57/$AW57)</f>
        <v>0.44666226084175842</v>
      </c>
      <c r="BB57" s="13">
        <f t="shared" si="6"/>
        <v>6.2307573059224132E-3</v>
      </c>
      <c r="BC57" s="13">
        <f t="shared" si="7"/>
        <v>7.7485924015926244E-2</v>
      </c>
      <c r="BD57" s="13">
        <f t="shared" si="8"/>
        <v>0</v>
      </c>
      <c r="BE57" s="13">
        <f t="shared" si="9"/>
        <v>6.7782178734210885E-2</v>
      </c>
      <c r="BF57" s="13">
        <f t="shared" si="10"/>
        <v>4.8560041553022848E-2</v>
      </c>
      <c r="BG57" s="13">
        <f t="shared" si="11"/>
        <v>9.6141217308041878E-3</v>
      </c>
      <c r="BH57" s="13">
        <f t="shared" si="12"/>
        <v>0</v>
      </c>
      <c r="BI57" s="13">
        <f t="shared" si="13"/>
        <v>0.11676119107104703</v>
      </c>
      <c r="BJ57" s="13">
        <f t="shared" si="14"/>
        <v>0.11965021065433873</v>
      </c>
      <c r="BK57" s="13">
        <f t="shared" si="15"/>
        <v>2.0080570697934851E-2</v>
      </c>
      <c r="BL57" s="13">
        <f t="shared" si="16"/>
        <v>1.2063356968991987E-3</v>
      </c>
      <c r="BM57" s="13">
        <f t="shared" si="17"/>
        <v>0</v>
      </c>
      <c r="BN57" s="13">
        <f t="shared" si="86"/>
        <v>0.14414057098196231</v>
      </c>
      <c r="BO57" s="12">
        <f t="shared" si="87"/>
        <v>0.8558594290180378</v>
      </c>
      <c r="BP57" s="13"/>
      <c r="BQ57" s="23">
        <f t="shared" si="88"/>
        <v>1.610120986795758</v>
      </c>
      <c r="BR57" s="13">
        <f t="shared" si="18"/>
        <v>2.24605344606243E-2</v>
      </c>
      <c r="BS57" s="13">
        <f t="shared" si="19"/>
        <v>0.41881572681740209</v>
      </c>
      <c r="BT57" s="13">
        <f t="shared" si="20"/>
        <v>0</v>
      </c>
      <c r="BU57" s="13">
        <f t="shared" si="21"/>
        <v>0.12217005786992025</v>
      </c>
      <c r="BV57" s="13">
        <f t="shared" si="89"/>
        <v>8.7524231257916946E-2</v>
      </c>
      <c r="BW57" s="24">
        <f t="shared" si="90"/>
        <v>5.1985248784633044E-2</v>
      </c>
      <c r="BX57" s="13">
        <f t="shared" si="22"/>
        <v>0</v>
      </c>
      <c r="BY57" s="13">
        <f t="shared" si="23"/>
        <v>0.21055388013288612</v>
      </c>
      <c r="BZ57" s="13">
        <f t="shared" si="24"/>
        <v>0.21557970164117002</v>
      </c>
      <c r="CA57" s="13">
        <f t="shared" si="25"/>
        <v>3.6181385149271807E-2</v>
      </c>
      <c r="CB57" s="13">
        <f t="shared" si="26"/>
        <v>2.1742898303494826E-3</v>
      </c>
      <c r="CC57" s="13">
        <f t="shared" si="27"/>
        <v>0</v>
      </c>
      <c r="CD57" s="13">
        <f t="shared" si="91"/>
        <v>0.25979781451583484</v>
      </c>
      <c r="CE57" s="12">
        <f t="shared" si="92"/>
        <v>2.8978543772132168</v>
      </c>
      <c r="CF57" s="13"/>
      <c r="CG57" s="23">
        <f t="shared" si="129"/>
        <v>0.55562522377130796</v>
      </c>
      <c r="CH57" s="13">
        <f t="shared" si="129"/>
        <v>7.7507464271631028E-3</v>
      </c>
      <c r="CI57" s="13">
        <f t="shared" si="129"/>
        <v>0.14452614669345984</v>
      </c>
      <c r="CJ57" s="13">
        <f t="shared" si="129"/>
        <v>0</v>
      </c>
      <c r="CK57" s="13">
        <f t="shared" si="129"/>
        <v>4.2158798188957888E-2</v>
      </c>
      <c r="CL57" s="13">
        <f t="shared" si="129"/>
        <v>3.0203115776330513E-2</v>
      </c>
      <c r="CM57" s="13">
        <f t="shared" si="129"/>
        <v>1.7939220546556851E-2</v>
      </c>
      <c r="CN57" s="13">
        <f t="shared" si="129"/>
        <v>0</v>
      </c>
      <c r="CO57" s="13">
        <f t="shared" si="129"/>
        <v>7.2658544124418606E-2</v>
      </c>
      <c r="CP57" s="13">
        <f t="shared" si="157"/>
        <v>7.4392869198792108E-2</v>
      </c>
      <c r="CQ57" s="13">
        <f t="shared" si="157"/>
        <v>1.2485577409885725E-2</v>
      </c>
      <c r="CR57" s="13">
        <f t="shared" si="157"/>
        <v>7.5031024590008373E-4</v>
      </c>
      <c r="CS57" s="13">
        <f t="shared" si="157"/>
        <v>0</v>
      </c>
      <c r="CT57" s="13">
        <f t="shared" si="157"/>
        <v>8.9651783940114652E-2</v>
      </c>
      <c r="CU57" s="12">
        <f t="shared" si="29"/>
        <v>1</v>
      </c>
      <c r="CV57" s="26"/>
      <c r="CW57" s="23">
        <f t="shared" si="30"/>
        <v>0.805060493397879</v>
      </c>
      <c r="CX57" s="13">
        <f t="shared" si="31"/>
        <v>1.123026723031215E-2</v>
      </c>
      <c r="CY57" s="13">
        <f t="shared" si="32"/>
        <v>0.27921048454493474</v>
      </c>
      <c r="CZ57" s="13">
        <f t="shared" si="33"/>
        <v>0</v>
      </c>
      <c r="DA57" s="13">
        <f t="shared" si="34"/>
        <v>0.17270194986072424</v>
      </c>
      <c r="DB57" s="13">
        <f t="shared" si="35"/>
        <v>8.7524231257916946E-2</v>
      </c>
      <c r="DC57" s="24">
        <f t="shared" si="36"/>
        <v>3.4656832523088696E-2</v>
      </c>
      <c r="DD57" s="13">
        <f t="shared" si="37"/>
        <v>0</v>
      </c>
      <c r="DE57" s="13">
        <f t="shared" si="38"/>
        <v>0.21055388013288612</v>
      </c>
      <c r="DF57" s="13">
        <f t="shared" si="39"/>
        <v>0.21557970164117002</v>
      </c>
      <c r="DG57" s="13">
        <f t="shared" si="40"/>
        <v>7.2362770298543613E-2</v>
      </c>
      <c r="DH57" s="13">
        <f t="shared" si="41"/>
        <v>4.3485796606989651E-3</v>
      </c>
      <c r="DI57" s="13">
        <f t="shared" si="42"/>
        <v>0</v>
      </c>
      <c r="DJ57" s="13">
        <f t="shared" si="93"/>
        <v>0.51959562903166967</v>
      </c>
      <c r="DK57" s="12">
        <f t="shared" si="94"/>
        <v>2.2906437557988184</v>
      </c>
      <c r="DL57" s="26"/>
      <c r="DM57" s="23">
        <f t="shared" si="154"/>
        <v>0.35145600068096555</v>
      </c>
      <c r="DN57" s="13">
        <f t="shared" si="154"/>
        <v>4.9026686065358109E-3</v>
      </c>
      <c r="DO57" s="13">
        <f t="shared" si="153"/>
        <v>0.121891710065394</v>
      </c>
      <c r="DP57" s="13">
        <f t="shared" si="153"/>
        <v>0</v>
      </c>
      <c r="DQ57" s="13">
        <f t="shared" si="153"/>
        <v>7.5394504022515588E-2</v>
      </c>
      <c r="DR57" s="13">
        <f t="shared" si="153"/>
        <v>3.8209447032672497E-2</v>
      </c>
      <c r="DS57" s="13">
        <f t="shared" si="153"/>
        <v>1.5129734789774321E-2</v>
      </c>
      <c r="DT57" s="13">
        <f t="shared" si="153"/>
        <v>0</v>
      </c>
      <c r="DU57" s="13">
        <f t="shared" si="153"/>
        <v>9.1919085890097063E-2</v>
      </c>
      <c r="DV57" s="13">
        <f t="shared" si="153"/>
        <v>9.4113150984488511E-2</v>
      </c>
      <c r="DW57" s="13">
        <f t="shared" si="153"/>
        <v>3.159058239211382E-2</v>
      </c>
      <c r="DX57" s="13">
        <f t="shared" si="153"/>
        <v>1.898409409883328E-3</v>
      </c>
      <c r="DY57" s="13">
        <f t="shared" si="153"/>
        <v>0</v>
      </c>
      <c r="DZ57" s="13">
        <f t="shared" si="153"/>
        <v>0.22683388794800638</v>
      </c>
      <c r="EA57" s="12">
        <f t="shared" si="44"/>
        <v>1</v>
      </c>
      <c r="EB57" s="26"/>
      <c r="EC57" s="30">
        <f t="shared" si="45"/>
        <v>1323</v>
      </c>
      <c r="ED57" s="14">
        <f t="shared" si="96"/>
        <v>100000</v>
      </c>
      <c r="EE57" s="29"/>
      <c r="EF57" s="128">
        <f t="shared" si="124"/>
        <v>-8.7342365835222964</v>
      </c>
      <c r="EG57" s="13">
        <f t="shared" si="97"/>
        <v>1.5</v>
      </c>
      <c r="EH57" s="13">
        <f t="shared" si="98"/>
        <v>0.74926606198035017</v>
      </c>
      <c r="EI57" s="12">
        <f t="shared" si="46"/>
        <v>5.3414996220710531</v>
      </c>
      <c r="EJ57" s="29"/>
      <c r="EK57" s="28">
        <f t="shared" si="99"/>
        <v>-1.6198855899638471</v>
      </c>
      <c r="EL57" s="24">
        <f t="shared" si="100"/>
        <v>-0.70338062959784942</v>
      </c>
      <c r="EM57" s="24">
        <f t="shared" si="101"/>
        <v>0.19792134197619382</v>
      </c>
      <c r="EN57" s="24">
        <f t="shared" si="102"/>
        <v>4.8560041553022848E-2</v>
      </c>
      <c r="EO57" s="24">
        <f t="shared" si="103"/>
        <v>9.6110685905940168E-3</v>
      </c>
      <c r="EP57" s="24">
        <f t="shared" si="104"/>
        <v>0.2835868887685411</v>
      </c>
      <c r="EQ57" s="24">
        <f t="shared" si="105"/>
        <v>-1.6195679712370834</v>
      </c>
      <c r="ER57" s="24">
        <f t="shared" si="47"/>
        <v>-20.10929575626913</v>
      </c>
      <c r="ES57" s="25">
        <f t="shared" si="48"/>
        <v>-8.7317827860482549</v>
      </c>
      <c r="ET57" s="26">
        <v>4.8</v>
      </c>
      <c r="EU57" s="26">
        <v>0.29083888041780526</v>
      </c>
      <c r="EV57" s="26">
        <v>0.40310008507296158</v>
      </c>
      <c r="EW57" s="26">
        <v>0.2835868887685411</v>
      </c>
      <c r="EX57" s="26">
        <v>0.40102606461030588</v>
      </c>
      <c r="EY57" s="26">
        <f t="shared" si="106"/>
        <v>0.99485482504356137</v>
      </c>
      <c r="EZ57" s="26">
        <f t="shared" si="107"/>
        <v>1.025572379882425</v>
      </c>
      <c r="FA57" s="23">
        <f t="shared" si="125"/>
        <v>-1.2980831106636082</v>
      </c>
      <c r="FB57" s="190">
        <f t="shared" si="108"/>
        <v>4.7927724267815219E-2</v>
      </c>
      <c r="FC57" s="124">
        <v>6.2646889236044334E-2</v>
      </c>
      <c r="FD57" s="26"/>
      <c r="FE57" s="27">
        <f t="shared" si="109"/>
        <v>0.88818423022188309</v>
      </c>
      <c r="FF57" s="26"/>
      <c r="FG57" s="23">
        <f t="shared" si="130"/>
        <v>-4.707453342197562</v>
      </c>
      <c r="FH57" s="13">
        <f t="shared" si="50"/>
        <v>13.747045073078418</v>
      </c>
      <c r="FI57" s="13">
        <f t="shared" si="131"/>
        <v>-21.845149910644157</v>
      </c>
      <c r="FJ57" s="13">
        <f t="shared" si="132"/>
        <v>7.7002414116769557E-2</v>
      </c>
      <c r="FK57" s="12">
        <f t="shared" si="53"/>
        <v>0.51924109716705225</v>
      </c>
      <c r="FL57" s="13"/>
      <c r="FM57" s="23">
        <f t="shared" si="133"/>
        <v>-6.0714399232401153</v>
      </c>
      <c r="FN57" s="13">
        <f t="shared" si="134"/>
        <v>11.283659143381119</v>
      </c>
      <c r="FO57" s="13">
        <f t="shared" si="135"/>
        <v>11.805577022972784</v>
      </c>
      <c r="FP57" s="24">
        <f t="shared" si="136"/>
        <v>0.43510474888508632</v>
      </c>
      <c r="FQ57" s="25">
        <f t="shared" si="137"/>
        <v>0.7192424087910203</v>
      </c>
      <c r="FR57" s="13"/>
      <c r="FS57" s="23">
        <f t="shared" si="111"/>
        <v>11.127018580369452</v>
      </c>
      <c r="FT57" s="13">
        <f t="shared" si="126"/>
        <v>-6.167219262809267</v>
      </c>
      <c r="FU57" s="13">
        <f t="shared" si="138"/>
        <v>-0.17423532386587226</v>
      </c>
      <c r="FV57" s="13">
        <f t="shared" si="58"/>
        <v>0.40102606461030588</v>
      </c>
      <c r="FW57" s="23">
        <f t="shared" si="139"/>
        <v>-0.1743178635484135</v>
      </c>
      <c r="FX57" s="13">
        <f t="shared" si="140"/>
        <v>0.40098041355335901</v>
      </c>
      <c r="FY57" s="13">
        <f t="shared" si="141"/>
        <v>-0.17428551283034821</v>
      </c>
      <c r="FZ57" s="13">
        <f t="shared" si="116"/>
        <v>0.40099830588745944</v>
      </c>
      <c r="GA57" s="13">
        <f t="shared" si="142"/>
        <v>-0.17432617798529648</v>
      </c>
      <c r="GB57" s="12">
        <f t="shared" si="118"/>
        <v>0.40097581509891256</v>
      </c>
      <c r="GC57" s="22"/>
      <c r="GD57" s="11">
        <f t="shared" si="143"/>
        <v>1.5</v>
      </c>
      <c r="GE57" s="10">
        <f t="shared" si="144"/>
        <v>0.74926606198035017</v>
      </c>
      <c r="GF57" s="10">
        <f t="shared" si="145"/>
        <v>5.3414996220710531</v>
      </c>
      <c r="GG57" s="5">
        <f t="shared" si="146"/>
        <v>-8.7342365835222964</v>
      </c>
      <c r="GH57" s="10">
        <f t="shared" si="147"/>
        <v>0.2835868887685411</v>
      </c>
      <c r="GI57" s="9">
        <f t="shared" si="119"/>
        <v>11.127018580369452</v>
      </c>
      <c r="GJ57" s="8">
        <f t="shared" si="120"/>
        <v>-6.167219262809267</v>
      </c>
      <c r="GK57" s="8">
        <f t="shared" si="121"/>
        <v>0.40102606461030588</v>
      </c>
      <c r="GL57" s="7">
        <f t="shared" si="122"/>
        <v>0.40098041355335901</v>
      </c>
      <c r="GM57" s="6">
        <f t="shared" si="148"/>
        <v>0.43510474888508632</v>
      </c>
      <c r="GN57" s="5">
        <f t="shared" si="149"/>
        <v>0.7192424087910203</v>
      </c>
      <c r="GO57" s="4">
        <f t="shared" si="150"/>
        <v>0.51924109716705225</v>
      </c>
      <c r="GP57" s="4">
        <f t="shared" si="151"/>
        <v>0.88818423022188309</v>
      </c>
      <c r="GQ57" s="4">
        <f t="shared" si="152"/>
        <v>4.7927724267815219E-2</v>
      </c>
      <c r="GR57" s="1"/>
    </row>
    <row r="58" spans="1:200" x14ac:dyDescent="0.4">
      <c r="A58" s="34"/>
      <c r="B58" s="21"/>
      <c r="C58" s="21"/>
      <c r="D58" s="34"/>
      <c r="E58" s="34"/>
      <c r="F58" s="20" t="s">
        <v>84</v>
      </c>
      <c r="G58" s="19">
        <v>1050</v>
      </c>
      <c r="H58" s="18">
        <v>1E-4</v>
      </c>
      <c r="I58" s="17">
        <v>1.5</v>
      </c>
      <c r="J58" s="16">
        <v>49.6</v>
      </c>
      <c r="K58" s="16">
        <v>0.92</v>
      </c>
      <c r="L58" s="16">
        <v>14.6</v>
      </c>
      <c r="M58" s="16">
        <v>0</v>
      </c>
      <c r="N58" s="16">
        <v>9</v>
      </c>
      <c r="O58" s="16">
        <v>0</v>
      </c>
      <c r="P58" s="16">
        <v>8.6999999999999993</v>
      </c>
      <c r="Q58" s="16">
        <v>12.4</v>
      </c>
      <c r="R58" s="16">
        <v>2.2999999999999998</v>
      </c>
      <c r="S58" s="16">
        <v>0.21</v>
      </c>
      <c r="T58" s="16">
        <v>0</v>
      </c>
      <c r="U58" s="15">
        <v>4.9000000000000004</v>
      </c>
      <c r="V58" s="16"/>
      <c r="W58" s="28">
        <f t="shared" si="69"/>
        <v>48.328948650492052</v>
      </c>
      <c r="X58" s="24">
        <f t="shared" si="156"/>
        <v>0.89642404754944949</v>
      </c>
      <c r="Y58" s="24">
        <f t="shared" si="156"/>
        <v>14.225859885023869</v>
      </c>
      <c r="Z58" s="24">
        <f t="shared" si="155"/>
        <v>0</v>
      </c>
      <c r="AA58" s="24">
        <f t="shared" si="155"/>
        <v>8.7693656825489619</v>
      </c>
      <c r="AB58" s="24">
        <f t="shared" si="155"/>
        <v>0</v>
      </c>
      <c r="AC58" s="24">
        <f t="shared" si="155"/>
        <v>8.4770534931306631</v>
      </c>
      <c r="AD58" s="24">
        <f t="shared" si="155"/>
        <v>12.082237162623013</v>
      </c>
      <c r="AE58" s="24">
        <f t="shared" si="155"/>
        <v>2.2410601188736234</v>
      </c>
      <c r="AF58" s="24">
        <f t="shared" si="155"/>
        <v>0.20461853259280907</v>
      </c>
      <c r="AG58" s="24">
        <f t="shared" si="155"/>
        <v>0</v>
      </c>
      <c r="AH58" s="24">
        <f t="shared" si="155"/>
        <v>4.7744324271655456</v>
      </c>
      <c r="AI58" s="14">
        <f t="shared" si="123"/>
        <v>100</v>
      </c>
      <c r="AJ58" s="26"/>
      <c r="AK58" s="50">
        <f t="shared" si="70"/>
        <v>0.80427606341308122</v>
      </c>
      <c r="AL58" s="47">
        <f t="shared" si="71"/>
        <v>1.1219324750306001E-2</v>
      </c>
      <c r="AM58" s="47">
        <f t="shared" si="72"/>
        <v>0.13952392982565584</v>
      </c>
      <c r="AN58" s="49">
        <f t="shared" si="73"/>
        <v>0</v>
      </c>
      <c r="AO58" s="49">
        <f t="shared" si="74"/>
        <v>0.12205101854626253</v>
      </c>
      <c r="AP58" s="47">
        <f t="shared" si="75"/>
        <v>0</v>
      </c>
      <c r="AQ58" s="47">
        <f t="shared" si="76"/>
        <v>0.21024438227010572</v>
      </c>
      <c r="AR58" s="47">
        <f t="shared" si="77"/>
        <v>0.21544645439769997</v>
      </c>
      <c r="AS58" s="47">
        <f t="shared" si="78"/>
        <v>3.6157794754334033E-2</v>
      </c>
      <c r="AT58" s="47">
        <f t="shared" si="79"/>
        <v>2.1721712589470176E-3</v>
      </c>
      <c r="AU58" s="47">
        <f t="shared" si="80"/>
        <v>0</v>
      </c>
      <c r="AV58" s="47">
        <f t="shared" si="81"/>
        <v>0.26495185500363738</v>
      </c>
      <c r="AW58" s="47">
        <f t="shared" si="82"/>
        <v>1.8060429942200298</v>
      </c>
      <c r="AX58" s="47">
        <f t="shared" si="83"/>
        <v>8.7454563485936984E-2</v>
      </c>
      <c r="AY58" s="46">
        <f t="shared" si="84"/>
        <v>1.7303722643795479E-2</v>
      </c>
      <c r="AZ58" s="26"/>
      <c r="BA58" s="23">
        <f t="shared" si="85"/>
        <v>0.44532498173467983</v>
      </c>
      <c r="BB58" s="13">
        <f t="shared" si="6"/>
        <v>6.2121028049784916E-3</v>
      </c>
      <c r="BC58" s="13">
        <f t="shared" si="7"/>
        <v>7.7253935965080178E-2</v>
      </c>
      <c r="BD58" s="13">
        <f t="shared" si="8"/>
        <v>0</v>
      </c>
      <c r="BE58" s="13">
        <f t="shared" si="9"/>
        <v>6.7579243094914435E-2</v>
      </c>
      <c r="BF58" s="13">
        <f t="shared" si="10"/>
        <v>4.8423300976677866E-2</v>
      </c>
      <c r="BG58" s="13">
        <f t="shared" si="11"/>
        <v>9.5810136852630054E-3</v>
      </c>
      <c r="BH58" s="13">
        <f t="shared" si="12"/>
        <v>0</v>
      </c>
      <c r="BI58" s="13">
        <f t="shared" si="13"/>
        <v>0.11641161530648018</v>
      </c>
      <c r="BJ58" s="13">
        <f t="shared" si="14"/>
        <v>0.11929198534431577</v>
      </c>
      <c r="BK58" s="13">
        <f t="shared" si="15"/>
        <v>2.0020450714657204E-2</v>
      </c>
      <c r="BL58" s="13">
        <f t="shared" si="16"/>
        <v>1.2027240026393207E-3</v>
      </c>
      <c r="BM58" s="13">
        <f t="shared" si="17"/>
        <v>0</v>
      </c>
      <c r="BN58" s="13">
        <f t="shared" si="86"/>
        <v>0.14670296103225455</v>
      </c>
      <c r="BO58" s="12">
        <f t="shared" si="87"/>
        <v>0.85329703896774534</v>
      </c>
      <c r="BP58" s="13"/>
      <c r="BQ58" s="23">
        <f t="shared" si="88"/>
        <v>1.6085521268261624</v>
      </c>
      <c r="BR58" s="13">
        <f t="shared" si="18"/>
        <v>2.2438649500612001E-2</v>
      </c>
      <c r="BS58" s="13">
        <f t="shared" si="19"/>
        <v>0.41840764367717265</v>
      </c>
      <c r="BT58" s="13">
        <f t="shared" si="20"/>
        <v>0</v>
      </c>
      <c r="BU58" s="13">
        <f t="shared" si="21"/>
        <v>0.12205101854626253</v>
      </c>
      <c r="BV58" s="13">
        <f t="shared" si="89"/>
        <v>8.7454563485936984E-2</v>
      </c>
      <c r="BW58" s="24">
        <f t="shared" si="90"/>
        <v>5.1911167931386434E-2</v>
      </c>
      <c r="BX58" s="13">
        <f t="shared" si="22"/>
        <v>0</v>
      </c>
      <c r="BY58" s="13">
        <f t="shared" si="23"/>
        <v>0.21034872191391224</v>
      </c>
      <c r="BZ58" s="13">
        <f t="shared" si="24"/>
        <v>0.21536964639256706</v>
      </c>
      <c r="CA58" s="13">
        <f t="shared" si="25"/>
        <v>3.614613094957457E-2</v>
      </c>
      <c r="CB58" s="13">
        <f t="shared" si="26"/>
        <v>2.1721712589470176E-3</v>
      </c>
      <c r="CC58" s="13">
        <f t="shared" si="27"/>
        <v>0</v>
      </c>
      <c r="CD58" s="13">
        <f t="shared" si="91"/>
        <v>0.26495185500363738</v>
      </c>
      <c r="CE58" s="12">
        <f t="shared" si="92"/>
        <v>2.900437964068848</v>
      </c>
      <c r="CF58" s="13"/>
      <c r="CG58" s="23">
        <f t="shared" si="129"/>
        <v>0.55458939193087331</v>
      </c>
      <c r="CH58" s="13">
        <f t="shared" si="129"/>
        <v>7.7362969932768992E-3</v>
      </c>
      <c r="CI58" s="13">
        <f t="shared" si="129"/>
        <v>0.1442567118692013</v>
      </c>
      <c r="CJ58" s="13">
        <f t="shared" si="129"/>
        <v>0</v>
      </c>
      <c r="CK58" s="13">
        <f t="shared" si="129"/>
        <v>4.2080203079070372E-2</v>
      </c>
      <c r="CL58" s="13">
        <f t="shared" si="129"/>
        <v>3.0152192382440168E-2</v>
      </c>
      <c r="CM58" s="13">
        <f t="shared" si="129"/>
        <v>1.7897699786884397E-2</v>
      </c>
      <c r="CN58" s="13">
        <f t="shared" si="129"/>
        <v>0</v>
      </c>
      <c r="CO58" s="13">
        <f t="shared" si="129"/>
        <v>7.2523089450541742E-2</v>
      </c>
      <c r="CP58" s="13">
        <f t="shared" si="157"/>
        <v>7.4254181285931753E-2</v>
      </c>
      <c r="CQ58" s="13">
        <f t="shared" si="157"/>
        <v>1.2462301003282746E-2</v>
      </c>
      <c r="CR58" s="13">
        <f t="shared" si="157"/>
        <v>7.4891146987326378E-4</v>
      </c>
      <c r="CS58" s="13">
        <f t="shared" si="157"/>
        <v>0</v>
      </c>
      <c r="CT58" s="13">
        <f t="shared" si="157"/>
        <v>9.1348912917948624E-2</v>
      </c>
      <c r="CU58" s="12">
        <f t="shared" si="29"/>
        <v>1</v>
      </c>
      <c r="CV58" s="26"/>
      <c r="CW58" s="23">
        <f t="shared" si="30"/>
        <v>0.80427606341308122</v>
      </c>
      <c r="CX58" s="13">
        <f t="shared" si="31"/>
        <v>1.1219324750306001E-2</v>
      </c>
      <c r="CY58" s="13">
        <f t="shared" si="32"/>
        <v>0.27893842911811506</v>
      </c>
      <c r="CZ58" s="13">
        <f t="shared" si="33"/>
        <v>0</v>
      </c>
      <c r="DA58" s="13">
        <f t="shared" si="34"/>
        <v>0.17270194986072424</v>
      </c>
      <c r="DB58" s="13">
        <f t="shared" si="35"/>
        <v>8.7454563485936984E-2</v>
      </c>
      <c r="DC58" s="24">
        <f t="shared" si="36"/>
        <v>3.4607445287590959E-2</v>
      </c>
      <c r="DD58" s="13">
        <f t="shared" si="37"/>
        <v>0</v>
      </c>
      <c r="DE58" s="13">
        <f t="shared" si="38"/>
        <v>0.21034872191391224</v>
      </c>
      <c r="DF58" s="13">
        <f t="shared" si="39"/>
        <v>0.21536964639256706</v>
      </c>
      <c r="DG58" s="13">
        <f t="shared" si="40"/>
        <v>7.2292261899149141E-2</v>
      </c>
      <c r="DH58" s="13">
        <f t="shared" si="41"/>
        <v>4.3443425178940351E-3</v>
      </c>
      <c r="DI58" s="13">
        <f t="shared" si="42"/>
        <v>0</v>
      </c>
      <c r="DJ58" s="13">
        <f t="shared" si="93"/>
        <v>0.52990371000727476</v>
      </c>
      <c r="DK58" s="12">
        <f t="shared" si="94"/>
        <v>2.2993944498730237</v>
      </c>
      <c r="DL58" s="26"/>
      <c r="DM58" s="23">
        <f t="shared" si="154"/>
        <v>0.34977733527081212</v>
      </c>
      <c r="DN58" s="13">
        <f t="shared" si="154"/>
        <v>4.8792519051811881E-3</v>
      </c>
      <c r="DO58" s="13">
        <f t="shared" si="153"/>
        <v>0.12130951657012067</v>
      </c>
      <c r="DP58" s="13">
        <f t="shared" si="153"/>
        <v>0</v>
      </c>
      <c r="DQ58" s="13">
        <f t="shared" si="153"/>
        <v>7.5107578810699974E-2</v>
      </c>
      <c r="DR58" s="13">
        <f t="shared" si="153"/>
        <v>3.8033736878318708E-2</v>
      </c>
      <c r="DS58" s="13">
        <f t="shared" si="153"/>
        <v>1.505067792500849E-2</v>
      </c>
      <c r="DT58" s="13">
        <f t="shared" si="153"/>
        <v>0</v>
      </c>
      <c r="DU58" s="13">
        <f t="shared" si="153"/>
        <v>9.1480051161090717E-2</v>
      </c>
      <c r="DV58" s="13">
        <f t="shared" si="153"/>
        <v>9.366363670420276E-2</v>
      </c>
      <c r="DW58" s="13">
        <f t="shared" si="153"/>
        <v>3.1439695743869102E-2</v>
      </c>
      <c r="DX58" s="13">
        <f t="shared" si="153"/>
        <v>1.8893420039932413E-3</v>
      </c>
      <c r="DY58" s="13">
        <f t="shared" si="153"/>
        <v>0</v>
      </c>
      <c r="DZ58" s="13">
        <f t="shared" si="153"/>
        <v>0.23045359183003025</v>
      </c>
      <c r="EA58" s="12">
        <f t="shared" si="44"/>
        <v>1</v>
      </c>
      <c r="EB58" s="26"/>
      <c r="EC58" s="30">
        <f t="shared" si="45"/>
        <v>1323</v>
      </c>
      <c r="ED58" s="14">
        <f t="shared" si="96"/>
        <v>100000</v>
      </c>
      <c r="EE58" s="29"/>
      <c r="EF58" s="128">
        <f t="shared" si="124"/>
        <v>-8.7342365835222964</v>
      </c>
      <c r="EG58" s="13">
        <f t="shared" si="97"/>
        <v>1.5</v>
      </c>
      <c r="EH58" s="13">
        <f t="shared" si="98"/>
        <v>0.74926606198035017</v>
      </c>
      <c r="EI58" s="12">
        <f t="shared" si="46"/>
        <v>5.3414996220710531</v>
      </c>
      <c r="EJ58" s="29"/>
      <c r="EK58" s="28">
        <f t="shared" si="99"/>
        <v>-1.6205153426964816</v>
      </c>
      <c r="EL58" s="24">
        <f t="shared" si="100"/>
        <v>-0.70365407846134675</v>
      </c>
      <c r="EM58" s="24">
        <f t="shared" si="101"/>
        <v>0.19779673970866485</v>
      </c>
      <c r="EN58" s="24">
        <f t="shared" si="102"/>
        <v>4.8423300976677859E-2</v>
      </c>
      <c r="EO58" s="24">
        <f t="shared" si="103"/>
        <v>9.577971059118286E-3</v>
      </c>
      <c r="EP58" s="24">
        <f t="shared" si="104"/>
        <v>0.28345896226349004</v>
      </c>
      <c r="EQ58" s="24">
        <f t="shared" si="105"/>
        <v>-1.6201977239697183</v>
      </c>
      <c r="ER58" s="24">
        <f t="shared" si="47"/>
        <v>-20.109295756269134</v>
      </c>
      <c r="ES58" s="25">
        <f t="shared" si="48"/>
        <v>-8.7317827860482566</v>
      </c>
      <c r="ET58" s="26">
        <v>4.9000000000000004</v>
      </c>
      <c r="EU58" s="26">
        <v>0.29083888041780526</v>
      </c>
      <c r="EV58" s="26">
        <v>0.4055257816316904</v>
      </c>
      <c r="EW58" s="26">
        <v>0.28345896226349004</v>
      </c>
      <c r="EX58" s="26">
        <v>0.4034175616295258</v>
      </c>
      <c r="EY58" s="26">
        <f t="shared" si="106"/>
        <v>0.99480126764399079</v>
      </c>
      <c r="EZ58" s="26">
        <f t="shared" si="107"/>
        <v>1.0260352260354895</v>
      </c>
      <c r="FA58" s="23">
        <f t="shared" si="125"/>
        <v>-1.3002710957575836</v>
      </c>
      <c r="FB58" s="190">
        <f t="shared" si="108"/>
        <v>4.7698358893970783E-2</v>
      </c>
      <c r="FC58" s="124">
        <v>6.2646889236044334E-2</v>
      </c>
      <c r="FD58" s="26"/>
      <c r="FE58" s="27">
        <f t="shared" si="109"/>
        <v>0.88818423022188309</v>
      </c>
      <c r="FF58" s="26"/>
      <c r="FG58" s="23">
        <f t="shared" si="130"/>
        <v>-4.7263933179272346</v>
      </c>
      <c r="FH58" s="13">
        <f t="shared" si="50"/>
        <v>13.719339026781963</v>
      </c>
      <c r="FI58" s="13">
        <f t="shared" si="131"/>
        <v>-21.845149910644157</v>
      </c>
      <c r="FJ58" s="13">
        <f t="shared" si="132"/>
        <v>6.8236343549983758E-2</v>
      </c>
      <c r="FK58" s="12">
        <f t="shared" si="53"/>
        <v>0.51705246976045371</v>
      </c>
      <c r="FL58" s="13"/>
      <c r="FM58" s="23">
        <f t="shared" si="133"/>
        <v>-6.0721105742514974</v>
      </c>
      <c r="FN58" s="13">
        <f t="shared" si="134"/>
        <v>11.279693200958373</v>
      </c>
      <c r="FO58" s="13">
        <f t="shared" si="135"/>
        <v>11.801688516417471</v>
      </c>
      <c r="FP58" s="24">
        <f t="shared" si="136"/>
        <v>0.43324070821548444</v>
      </c>
      <c r="FQ58" s="25">
        <f t="shared" si="137"/>
        <v>0.7177437833499829</v>
      </c>
      <c r="FR58" s="13"/>
      <c r="FS58" s="23">
        <f t="shared" si="111"/>
        <v>11.132975264412948</v>
      </c>
      <c r="FT58" s="13">
        <f t="shared" si="126"/>
        <v>-6.1655822378237906</v>
      </c>
      <c r="FU58" s="13">
        <f t="shared" si="138"/>
        <v>-0.16991566480785281</v>
      </c>
      <c r="FV58" s="13">
        <f t="shared" si="58"/>
        <v>0.4034175616295258</v>
      </c>
      <c r="FW58" s="23">
        <f t="shared" si="139"/>
        <v>-0.16999820449039404</v>
      </c>
      <c r="FX58" s="13">
        <f t="shared" si="140"/>
        <v>0.40337182167013508</v>
      </c>
      <c r="FY58" s="13">
        <f t="shared" si="141"/>
        <v>-0.16996585377232876</v>
      </c>
      <c r="FZ58" s="13">
        <f t="shared" si="116"/>
        <v>0.40338974885333911</v>
      </c>
      <c r="GA58" s="13">
        <f t="shared" si="142"/>
        <v>-0.17000651892727703</v>
      </c>
      <c r="GB58" s="12">
        <f t="shared" si="118"/>
        <v>0.40336721425819477</v>
      </c>
      <c r="GC58" s="22"/>
      <c r="GD58" s="11">
        <f t="shared" si="143"/>
        <v>1.5</v>
      </c>
      <c r="GE58" s="10">
        <f t="shared" si="144"/>
        <v>0.74926606198035017</v>
      </c>
      <c r="GF58" s="10">
        <f t="shared" si="145"/>
        <v>5.3414996220710531</v>
      </c>
      <c r="GG58" s="5">
        <f t="shared" si="146"/>
        <v>-8.7342365835222964</v>
      </c>
      <c r="GH58" s="10">
        <f t="shared" si="147"/>
        <v>0.28345896226349004</v>
      </c>
      <c r="GI58" s="9">
        <f t="shared" si="119"/>
        <v>11.132975264412948</v>
      </c>
      <c r="GJ58" s="8">
        <f t="shared" si="120"/>
        <v>-6.1655822378237906</v>
      </c>
      <c r="GK58" s="8">
        <f t="shared" si="121"/>
        <v>0.4034175616295258</v>
      </c>
      <c r="GL58" s="7">
        <f t="shared" si="122"/>
        <v>0.40337182167013508</v>
      </c>
      <c r="GM58" s="6">
        <f t="shared" si="148"/>
        <v>0.43324070821548444</v>
      </c>
      <c r="GN58" s="5">
        <f t="shared" si="149"/>
        <v>0.7177437833499829</v>
      </c>
      <c r="GO58" s="4">
        <f t="shared" si="150"/>
        <v>0.51705246976045371</v>
      </c>
      <c r="GP58" s="4">
        <f t="shared" si="151"/>
        <v>0.88818423022188309</v>
      </c>
      <c r="GQ58" s="4">
        <f t="shared" si="152"/>
        <v>4.7698358893970783E-2</v>
      </c>
      <c r="GR58" s="1"/>
    </row>
    <row r="59" spans="1:200" x14ac:dyDescent="0.4">
      <c r="A59" s="34"/>
      <c r="B59" s="33"/>
      <c r="C59" s="33"/>
      <c r="D59" s="34"/>
      <c r="E59" s="34"/>
      <c r="F59" s="20" t="s">
        <v>84</v>
      </c>
      <c r="G59" s="19">
        <v>1050</v>
      </c>
      <c r="H59" s="18">
        <v>1E-4</v>
      </c>
      <c r="I59" s="17">
        <v>1.5</v>
      </c>
      <c r="J59" s="16">
        <v>49.6</v>
      </c>
      <c r="K59" s="16">
        <v>0.92</v>
      </c>
      <c r="L59" s="16">
        <v>14.6</v>
      </c>
      <c r="M59" s="16">
        <v>0</v>
      </c>
      <c r="N59" s="16">
        <v>9</v>
      </c>
      <c r="O59" s="16">
        <v>0</v>
      </c>
      <c r="P59" s="16">
        <v>8.6999999999999993</v>
      </c>
      <c r="Q59" s="16">
        <v>12.4</v>
      </c>
      <c r="R59" s="16">
        <v>2.2999999999999998</v>
      </c>
      <c r="S59" s="16">
        <v>0.21</v>
      </c>
      <c r="T59" s="16">
        <v>0</v>
      </c>
      <c r="U59" s="15">
        <v>5</v>
      </c>
      <c r="V59" s="16"/>
      <c r="W59" s="28">
        <f t="shared" si="69"/>
        <v>48.281904020247254</v>
      </c>
      <c r="X59" s="24">
        <f t="shared" si="156"/>
        <v>0.89555144553684418</v>
      </c>
      <c r="Y59" s="24">
        <f t="shared" si="156"/>
        <v>14.212012070476005</v>
      </c>
      <c r="Z59" s="24">
        <f t="shared" si="155"/>
        <v>0</v>
      </c>
      <c r="AA59" s="24">
        <f t="shared" si="155"/>
        <v>8.7608293585126056</v>
      </c>
      <c r="AB59" s="24">
        <f t="shared" si="155"/>
        <v>0</v>
      </c>
      <c r="AC59" s="24">
        <f t="shared" si="155"/>
        <v>8.4688017132288511</v>
      </c>
      <c r="AD59" s="24">
        <f t="shared" si="155"/>
        <v>12.070476005061813</v>
      </c>
      <c r="AE59" s="24">
        <f t="shared" si="155"/>
        <v>2.2388786138421102</v>
      </c>
      <c r="AF59" s="24">
        <f t="shared" si="155"/>
        <v>0.20441935169862746</v>
      </c>
      <c r="AG59" s="24">
        <f t="shared" si="155"/>
        <v>0</v>
      </c>
      <c r="AH59" s="24">
        <f t="shared" si="155"/>
        <v>4.8671274213958924</v>
      </c>
      <c r="AI59" s="14">
        <f t="shared" si="123"/>
        <v>100</v>
      </c>
      <c r="AJ59" s="26"/>
      <c r="AK59" s="50">
        <f t="shared" si="70"/>
        <v>0.8034931605965594</v>
      </c>
      <c r="AL59" s="47">
        <f t="shared" si="71"/>
        <v>1.1208403573677649E-2</v>
      </c>
      <c r="AM59" s="47">
        <f t="shared" si="72"/>
        <v>0.13938811367669679</v>
      </c>
      <c r="AN59" s="49">
        <f t="shared" si="73"/>
        <v>0</v>
      </c>
      <c r="AO59" s="49">
        <f t="shared" si="74"/>
        <v>0.12193221097442737</v>
      </c>
      <c r="AP59" s="47">
        <f t="shared" si="75"/>
        <v>0</v>
      </c>
      <c r="AQ59" s="47">
        <f t="shared" si="76"/>
        <v>0.21003972503047746</v>
      </c>
      <c r="AR59" s="47">
        <f t="shared" si="77"/>
        <v>0.21523673332849169</v>
      </c>
      <c r="AS59" s="47">
        <f t="shared" si="78"/>
        <v>3.6122597835464829E-2</v>
      </c>
      <c r="AT59" s="47">
        <f t="shared" si="79"/>
        <v>2.1700568120873402E-3</v>
      </c>
      <c r="AU59" s="47">
        <f t="shared" si="80"/>
        <v>0</v>
      </c>
      <c r="AV59" s="47">
        <f t="shared" si="81"/>
        <v>0.27009586134272434</v>
      </c>
      <c r="AW59" s="47">
        <f t="shared" si="82"/>
        <v>1.8096868631706071</v>
      </c>
      <c r="AX59" s="47">
        <f t="shared" si="83"/>
        <v>8.7384934008859258E-2</v>
      </c>
      <c r="AY59" s="46">
        <f t="shared" si="84"/>
        <v>1.7279125785234418E-2</v>
      </c>
      <c r="AZ59" s="26"/>
      <c r="BA59" s="23">
        <f t="shared" si="85"/>
        <v>0.44399568618673813</v>
      </c>
      <c r="BB59" s="13">
        <f t="shared" si="6"/>
        <v>6.1935596714452054E-3</v>
      </c>
      <c r="BC59" s="13">
        <f t="shared" si="7"/>
        <v>7.7023332883395121E-2</v>
      </c>
      <c r="BD59" s="13">
        <f t="shared" si="8"/>
        <v>0</v>
      </c>
      <c r="BE59" s="13">
        <f t="shared" si="9"/>
        <v>6.737751898181972E-2</v>
      </c>
      <c r="BF59" s="13">
        <f t="shared" si="10"/>
        <v>4.8287322954734348E-2</v>
      </c>
      <c r="BG59" s="13">
        <f t="shared" si="11"/>
        <v>9.5481301969342087E-3</v>
      </c>
      <c r="BH59" s="13">
        <f t="shared" si="12"/>
        <v>0</v>
      </c>
      <c r="BI59" s="13">
        <f t="shared" si="13"/>
        <v>0.11606412650997738</v>
      </c>
      <c r="BJ59" s="13">
        <f t="shared" si="14"/>
        <v>0.11893589864016181</v>
      </c>
      <c r="BK59" s="13">
        <f t="shared" si="15"/>
        <v>1.996068964780864E-2</v>
      </c>
      <c r="BL59" s="13">
        <f t="shared" si="16"/>
        <v>1.1991338702019186E-3</v>
      </c>
      <c r="BM59" s="13">
        <f t="shared" si="17"/>
        <v>0</v>
      </c>
      <c r="BN59" s="13">
        <f t="shared" si="86"/>
        <v>0.14925005360845195</v>
      </c>
      <c r="BO59" s="12">
        <f t="shared" si="87"/>
        <v>0.85074994639154788</v>
      </c>
      <c r="BP59" s="13"/>
      <c r="BQ59" s="23">
        <f t="shared" si="88"/>
        <v>1.6069863211931188</v>
      </c>
      <c r="BR59" s="13">
        <f t="shared" si="18"/>
        <v>2.2416807147355299E-2</v>
      </c>
      <c r="BS59" s="13">
        <f t="shared" si="19"/>
        <v>0.41800035501400012</v>
      </c>
      <c r="BT59" s="13">
        <f t="shared" si="20"/>
        <v>0</v>
      </c>
      <c r="BU59" s="13">
        <f t="shared" si="21"/>
        <v>0.12193221097442737</v>
      </c>
      <c r="BV59" s="13">
        <f t="shared" si="89"/>
        <v>8.7384934008859258E-2</v>
      </c>
      <c r="BW59" s="24">
        <f t="shared" si="90"/>
        <v>5.1837377355703255E-2</v>
      </c>
      <c r="BX59" s="13">
        <f t="shared" si="22"/>
        <v>0</v>
      </c>
      <c r="BY59" s="13">
        <f t="shared" si="23"/>
        <v>0.21014396310741568</v>
      </c>
      <c r="BZ59" s="13">
        <f t="shared" si="24"/>
        <v>0.2151600000902284</v>
      </c>
      <c r="CA59" s="13">
        <f t="shared" si="25"/>
        <v>3.6110945384550161E-2</v>
      </c>
      <c r="CB59" s="13">
        <f t="shared" si="26"/>
        <v>2.1700568120873402E-3</v>
      </c>
      <c r="CC59" s="13">
        <f t="shared" si="27"/>
        <v>0</v>
      </c>
      <c r="CD59" s="13">
        <f t="shared" si="91"/>
        <v>0.27009586134272434</v>
      </c>
      <c r="CE59" s="12">
        <f t="shared" si="92"/>
        <v>2.9030165210659074</v>
      </c>
      <c r="CF59" s="13"/>
      <c r="CG59" s="23">
        <f t="shared" si="129"/>
        <v>0.55355741503085831</v>
      </c>
      <c r="CH59" s="13">
        <f t="shared" si="129"/>
        <v>7.7219013342454098E-3</v>
      </c>
      <c r="CI59" s="13">
        <f t="shared" si="129"/>
        <v>0.14398827977063045</v>
      </c>
      <c r="CJ59" s="13">
        <f t="shared" si="129"/>
        <v>0</v>
      </c>
      <c r="CK59" s="13">
        <f t="shared" si="129"/>
        <v>4.200190046788202E-2</v>
      </c>
      <c r="CL59" s="13">
        <f t="shared" si="129"/>
        <v>3.0101424974589511E-2</v>
      </c>
      <c r="CM59" s="13">
        <f t="shared" si="129"/>
        <v>1.7856383861249953E-2</v>
      </c>
      <c r="CN59" s="13">
        <f t="shared" si="129"/>
        <v>0</v>
      </c>
      <c r="CO59" s="13">
        <f t="shared" si="129"/>
        <v>7.2388138883293929E-2</v>
      </c>
      <c r="CP59" s="13">
        <f t="shared" si="157"/>
        <v>7.4116009512487244E-2</v>
      </c>
      <c r="CQ59" s="13">
        <f t="shared" si="157"/>
        <v>1.2439111221899357E-2</v>
      </c>
      <c r="CR59" s="13">
        <f t="shared" si="157"/>
        <v>7.4751789951596806E-4</v>
      </c>
      <c r="CS59" s="13">
        <f t="shared" si="157"/>
        <v>0</v>
      </c>
      <c r="CT59" s="13">
        <f t="shared" si="157"/>
        <v>9.3039725879187421E-2</v>
      </c>
      <c r="CU59" s="12">
        <f t="shared" si="29"/>
        <v>1</v>
      </c>
      <c r="CV59" s="26"/>
      <c r="CW59" s="23">
        <f t="shared" si="30"/>
        <v>0.8034931605965594</v>
      </c>
      <c r="CX59" s="13">
        <f t="shared" si="31"/>
        <v>1.1208403573677649E-2</v>
      </c>
      <c r="CY59" s="13">
        <f t="shared" si="32"/>
        <v>0.27866690334266675</v>
      </c>
      <c r="CZ59" s="13">
        <f t="shared" si="33"/>
        <v>0</v>
      </c>
      <c r="DA59" s="13">
        <f t="shared" si="34"/>
        <v>0.17270194986072424</v>
      </c>
      <c r="DB59" s="13">
        <f t="shared" si="35"/>
        <v>8.7384934008859258E-2</v>
      </c>
      <c r="DC59" s="24">
        <f t="shared" si="36"/>
        <v>3.4558251570468837E-2</v>
      </c>
      <c r="DD59" s="13">
        <f t="shared" si="37"/>
        <v>0</v>
      </c>
      <c r="DE59" s="13">
        <f t="shared" si="38"/>
        <v>0.21014396310741568</v>
      </c>
      <c r="DF59" s="13">
        <f t="shared" si="39"/>
        <v>0.2151600000902284</v>
      </c>
      <c r="DG59" s="13">
        <f t="shared" si="40"/>
        <v>7.2221890769100322E-2</v>
      </c>
      <c r="DH59" s="13">
        <f t="shared" si="41"/>
        <v>4.3401136241746803E-3</v>
      </c>
      <c r="DI59" s="13">
        <f t="shared" si="42"/>
        <v>0</v>
      </c>
      <c r="DJ59" s="13">
        <f t="shared" si="93"/>
        <v>0.54019172268544868</v>
      </c>
      <c r="DK59" s="12">
        <f t="shared" si="94"/>
        <v>2.3081281076499955</v>
      </c>
      <c r="DL59" s="26"/>
      <c r="DM59" s="23">
        <f t="shared" si="154"/>
        <v>0.3481146293108619</v>
      </c>
      <c r="DN59" s="13">
        <f t="shared" si="154"/>
        <v>4.8560578316813648E-3</v>
      </c>
      <c r="DO59" s="13">
        <f t="shared" si="153"/>
        <v>0.12073285811955624</v>
      </c>
      <c r="DP59" s="13">
        <f t="shared" si="153"/>
        <v>0</v>
      </c>
      <c r="DQ59" s="13">
        <f t="shared" si="153"/>
        <v>7.4823381461508007E-2</v>
      </c>
      <c r="DR59" s="13">
        <f t="shared" si="153"/>
        <v>3.7859655068205732E-2</v>
      </c>
      <c r="DS59" s="13">
        <f t="shared" si="153"/>
        <v>1.4972414856840021E-2</v>
      </c>
      <c r="DT59" s="13">
        <f t="shared" si="153"/>
        <v>0</v>
      </c>
      <c r="DU59" s="13">
        <f t="shared" si="153"/>
        <v>9.1045190434153281E-2</v>
      </c>
      <c r="DV59" s="13">
        <f t="shared" si="153"/>
        <v>9.32183960574407E-2</v>
      </c>
      <c r="DW59" s="13">
        <f t="shared" si="153"/>
        <v>3.1290243608979112E-2</v>
      </c>
      <c r="DX59" s="13">
        <f t="shared" si="153"/>
        <v>1.880360803973544E-3</v>
      </c>
      <c r="DY59" s="13">
        <f t="shared" si="153"/>
        <v>0</v>
      </c>
      <c r="DZ59" s="13">
        <f t="shared" si="153"/>
        <v>0.23403888237184595</v>
      </c>
      <c r="EA59" s="12">
        <f t="shared" si="44"/>
        <v>1</v>
      </c>
      <c r="EB59" s="26"/>
      <c r="EC59" s="30">
        <f t="shared" si="45"/>
        <v>1323</v>
      </c>
      <c r="ED59" s="14">
        <f t="shared" si="96"/>
        <v>100000</v>
      </c>
      <c r="EE59" s="29"/>
      <c r="EF59" s="128">
        <f t="shared" si="124"/>
        <v>-8.7342365835222964</v>
      </c>
      <c r="EG59" s="13">
        <f t="shared" si="97"/>
        <v>1.5</v>
      </c>
      <c r="EH59" s="13">
        <f t="shared" si="98"/>
        <v>0.74926606198035017</v>
      </c>
      <c r="EI59" s="12">
        <f t="shared" si="46"/>
        <v>5.3414996220710531</v>
      </c>
      <c r="EJ59" s="29"/>
      <c r="EK59" s="28">
        <f t="shared" si="99"/>
        <v>-1.6211413358039517</v>
      </c>
      <c r="EL59" s="24">
        <f t="shared" si="100"/>
        <v>-0.70392589483454271</v>
      </c>
      <c r="EM59" s="24">
        <f t="shared" si="101"/>
        <v>0.1976729590598858</v>
      </c>
      <c r="EN59" s="24">
        <f t="shared" si="102"/>
        <v>4.8287322954734348E-2</v>
      </c>
      <c r="EO59" s="24">
        <f t="shared" si="103"/>
        <v>9.5450980135426862E-3</v>
      </c>
      <c r="EP59" s="24">
        <f t="shared" si="104"/>
        <v>0.28333183405337953</v>
      </c>
      <c r="EQ59" s="24">
        <f t="shared" si="105"/>
        <v>-1.6208237170771878</v>
      </c>
      <c r="ER59" s="24">
        <f t="shared" si="47"/>
        <v>-20.10929575626913</v>
      </c>
      <c r="ES59" s="25">
        <f t="shared" si="48"/>
        <v>-8.7317827860482549</v>
      </c>
      <c r="ET59" s="26">
        <v>5</v>
      </c>
      <c r="EU59" s="26">
        <v>0.29083888041780526</v>
      </c>
      <c r="EV59" s="26">
        <v>0.40794613786841416</v>
      </c>
      <c r="EW59" s="26">
        <v>0.28333183405337953</v>
      </c>
      <c r="EX59" s="26">
        <v>0.40580413165728413</v>
      </c>
      <c r="EY59" s="26">
        <f t="shared" si="106"/>
        <v>0.9947492916042241</v>
      </c>
      <c r="EZ59" s="26">
        <f t="shared" si="107"/>
        <v>1.026495597960275</v>
      </c>
      <c r="FA59" s="23">
        <f t="shared" si="125"/>
        <v>-1.3024460185758535</v>
      </c>
      <c r="FB59" s="190">
        <f t="shared" si="108"/>
        <v>4.7471396452898995E-2</v>
      </c>
      <c r="FC59" s="124">
        <v>6.2646889236044334E-2</v>
      </c>
      <c r="FD59" s="26"/>
      <c r="FE59" s="27">
        <f t="shared" si="109"/>
        <v>0.88818423022188309</v>
      </c>
      <c r="FF59" s="26"/>
      <c r="FG59" s="23">
        <f t="shared" si="130"/>
        <v>-4.7451528479218741</v>
      </c>
      <c r="FH59" s="13">
        <f t="shared" si="50"/>
        <v>13.691895862157033</v>
      </c>
      <c r="FI59" s="13">
        <f t="shared" si="131"/>
        <v>-21.845149910644157</v>
      </c>
      <c r="FJ59" s="13">
        <f t="shared" si="132"/>
        <v>5.9552708919696329E-2</v>
      </c>
      <c r="FK59" s="12">
        <f t="shared" si="53"/>
        <v>0.5148837786819711</v>
      </c>
      <c r="FL59" s="13"/>
      <c r="FM59" s="23">
        <f t="shared" si="133"/>
        <v>-6.0727793689780016</v>
      </c>
      <c r="FN59" s="13">
        <f t="shared" si="134"/>
        <v>11.275742018143465</v>
      </c>
      <c r="FO59" s="13">
        <f t="shared" si="135"/>
        <v>11.797814481285542</v>
      </c>
      <c r="FP59" s="24">
        <f t="shared" si="136"/>
        <v>0.43138584289404036</v>
      </c>
      <c r="FQ59" s="25">
        <f t="shared" si="137"/>
        <v>0.71624621807517896</v>
      </c>
      <c r="FR59" s="13"/>
      <c r="FS59" s="23">
        <f t="shared" si="111"/>
        <v>11.138909780126454</v>
      </c>
      <c r="FT59" s="13">
        <f t="shared" si="126"/>
        <v>-6.163950223694501</v>
      </c>
      <c r="FU59" s="13">
        <f t="shared" si="138"/>
        <v>-0.1656131632236395</v>
      </c>
      <c r="FV59" s="13">
        <f t="shared" si="58"/>
        <v>0.40580413165728413</v>
      </c>
      <c r="FW59" s="23">
        <f t="shared" si="139"/>
        <v>-0.16569570290618074</v>
      </c>
      <c r="FX59" s="13">
        <f t="shared" si="140"/>
        <v>0.40575830514571753</v>
      </c>
      <c r="FY59" s="13">
        <f t="shared" si="141"/>
        <v>-0.16566335218811545</v>
      </c>
      <c r="FZ59" s="13">
        <f t="shared" si="116"/>
        <v>0.40577626625687668</v>
      </c>
      <c r="GA59" s="13">
        <f t="shared" si="142"/>
        <v>-0.16570401734306373</v>
      </c>
      <c r="GB59" s="12">
        <f t="shared" si="118"/>
        <v>0.40575368901302289</v>
      </c>
      <c r="GC59" s="22"/>
      <c r="GD59" s="11">
        <f t="shared" si="143"/>
        <v>1.5</v>
      </c>
      <c r="GE59" s="10">
        <f t="shared" si="144"/>
        <v>0.74926606198035017</v>
      </c>
      <c r="GF59" s="10">
        <f t="shared" si="145"/>
        <v>5.3414996220710531</v>
      </c>
      <c r="GG59" s="5">
        <f t="shared" si="146"/>
        <v>-8.7342365835222964</v>
      </c>
      <c r="GH59" s="10">
        <f t="shared" si="147"/>
        <v>0.28333183405337953</v>
      </c>
      <c r="GI59" s="9">
        <f t="shared" si="119"/>
        <v>11.138909780126454</v>
      </c>
      <c r="GJ59" s="8">
        <f t="shared" si="120"/>
        <v>-6.163950223694501</v>
      </c>
      <c r="GK59" s="8">
        <f t="shared" si="121"/>
        <v>0.40580413165728413</v>
      </c>
      <c r="GL59" s="7">
        <f t="shared" si="122"/>
        <v>0.40575830514571753</v>
      </c>
      <c r="GM59" s="6">
        <f t="shared" si="148"/>
        <v>0.43138584289404036</v>
      </c>
      <c r="GN59" s="5">
        <f t="shared" si="149"/>
        <v>0.71624621807517896</v>
      </c>
      <c r="GO59" s="4">
        <f t="shared" si="150"/>
        <v>0.5148837786819711</v>
      </c>
      <c r="GP59" s="4">
        <f t="shared" si="151"/>
        <v>0.88818423022188309</v>
      </c>
      <c r="GQ59" s="4">
        <f t="shared" si="152"/>
        <v>4.7471396452898995E-2</v>
      </c>
      <c r="GR59" s="1"/>
    </row>
    <row r="60" spans="1:200" x14ac:dyDescent="0.4">
      <c r="A60" s="34"/>
      <c r="B60" s="33"/>
      <c r="C60" s="33"/>
      <c r="D60" s="34"/>
      <c r="E60" s="34"/>
      <c r="F60" s="20" t="s">
        <v>84</v>
      </c>
      <c r="G60" s="19">
        <v>1050</v>
      </c>
      <c r="H60" s="18">
        <v>1E-4</v>
      </c>
      <c r="I60" s="17">
        <v>1.5</v>
      </c>
      <c r="J60" s="16">
        <v>49.6</v>
      </c>
      <c r="K60" s="16">
        <v>0.92</v>
      </c>
      <c r="L60" s="16">
        <v>14.6</v>
      </c>
      <c r="M60" s="16">
        <v>0</v>
      </c>
      <c r="N60" s="16">
        <v>9</v>
      </c>
      <c r="O60" s="16">
        <v>0</v>
      </c>
      <c r="P60" s="16">
        <v>8.6999999999999993</v>
      </c>
      <c r="Q60" s="16">
        <v>12.4</v>
      </c>
      <c r="R60" s="16">
        <v>2.2999999999999998</v>
      </c>
      <c r="S60" s="16">
        <v>0.21</v>
      </c>
      <c r="T60" s="16">
        <v>0</v>
      </c>
      <c r="U60" s="15">
        <v>5.0999999999999996</v>
      </c>
      <c r="V60" s="16"/>
      <c r="W60" s="28">
        <f t="shared" ref="W60:W61" si="158">IF(J60="","",J60/SUM($J60:$U60)*100)</f>
        <v>48.234950889818151</v>
      </c>
      <c r="X60" s="24">
        <f t="shared" ref="X60:X61" si="159">IF(K60="","",K60/SUM($J60:$U60)*100)</f>
        <v>0.89468054069823977</v>
      </c>
      <c r="Y60" s="24">
        <f t="shared" ref="Y60:Y61" si="160">IF(L60="","",L60/SUM($J60:$U60)*100)</f>
        <v>14.198191189341633</v>
      </c>
      <c r="Z60" s="24">
        <f t="shared" ref="Z60:Z61" si="161">IF(M60="","",M60/SUM($J60:$U60)*100)</f>
        <v>0</v>
      </c>
      <c r="AA60" s="24">
        <f t="shared" ref="AA60:AA61" si="162">IF(N60="","",N60/SUM($J60:$U60)*100)</f>
        <v>8.752309637265391</v>
      </c>
      <c r="AB60" s="24">
        <f t="shared" ref="AB60:AB61" si="163">IF(O60="","",O60/SUM($J60:$U60)*100)</f>
        <v>0</v>
      </c>
      <c r="AC60" s="24">
        <f t="shared" ref="AC60:AC61" si="164">IF(P60="","",P60/SUM($J60:$U60)*100)</f>
        <v>8.4605659826898751</v>
      </c>
      <c r="AD60" s="24">
        <f t="shared" ref="AD60:AD61" si="165">IF(Q60="","",Q60/SUM($J60:$U60)*100)</f>
        <v>12.058737722454538</v>
      </c>
      <c r="AE60" s="24">
        <f t="shared" ref="AE60:AE61" si="166">IF(R60="","",R60/SUM($J60:$U60)*100)</f>
        <v>2.2367013517455994</v>
      </c>
      <c r="AF60" s="24">
        <f t="shared" ref="AF60:AF61" si="167">IF(S60="","",S60/SUM($J60:$U60)*100)</f>
        <v>0.20422055820285909</v>
      </c>
      <c r="AG60" s="24">
        <f t="shared" ref="AG60:AG61" si="168">IF(T60="","",T60/SUM($J60:$U60)*100)</f>
        <v>0</v>
      </c>
      <c r="AH60" s="24">
        <f t="shared" ref="AH60:AH61" si="169">IF(U60="","",U60/SUM($J60:$U60)*100)</f>
        <v>4.959642127783721</v>
      </c>
      <c r="AI60" s="14">
        <f t="shared" ref="AI60:AI61" si="170">SUM(W60:AH60)</f>
        <v>100</v>
      </c>
      <c r="AJ60" s="26"/>
      <c r="AK60" s="50">
        <f t="shared" si="70"/>
        <v>0.80271178049289649</v>
      </c>
      <c r="AL60" s="47">
        <f t="shared" si="71"/>
        <v>1.1197503638275841E-2</v>
      </c>
      <c r="AM60" s="47">
        <f t="shared" si="72"/>
        <v>0.13925256168440206</v>
      </c>
      <c r="AN60" s="49">
        <f t="shared" si="73"/>
        <v>0</v>
      </c>
      <c r="AO60" s="49">
        <f t="shared" si="74"/>
        <v>0.12181363447829355</v>
      </c>
      <c r="AP60" s="47">
        <f t="shared" si="75"/>
        <v>0</v>
      </c>
      <c r="AQ60" s="47">
        <f t="shared" si="76"/>
        <v>0.20983546584052271</v>
      </c>
      <c r="AR60" s="47">
        <f t="shared" si="77"/>
        <v>0.2150274201578912</v>
      </c>
      <c r="AS60" s="47">
        <f t="shared" si="78"/>
        <v>3.6087469373113898E-2</v>
      </c>
      <c r="AT60" s="47">
        <f t="shared" si="79"/>
        <v>2.1679464777373575E-3</v>
      </c>
      <c r="AU60" s="47">
        <f t="shared" si="80"/>
        <v>0</v>
      </c>
      <c r="AV60" s="47">
        <f t="shared" si="81"/>
        <v>0.27522986280708772</v>
      </c>
      <c r="AW60" s="47">
        <f t="shared" si="82"/>
        <v>1.8133236449502208</v>
      </c>
      <c r="AX60" s="47">
        <f t="shared" si="83"/>
        <v>8.7315343619358318E-2</v>
      </c>
      <c r="AY60" s="46">
        <f t="shared" si="84"/>
        <v>1.7254624951229987E-2</v>
      </c>
      <c r="AZ60" s="26"/>
      <c r="BA60" s="23">
        <f t="shared" ref="BA60:BA61" si="171">IF(OR(AW60="",$AK60=""),"",AK60/$AW60)</f>
        <v>0.44267430291790655</v>
      </c>
      <c r="BB60" s="13">
        <f t="shared" ref="BB60:BB61" si="172">IF(OR(AW60="",$AL60=""),"",AL60/$AW60)</f>
        <v>6.1751269109951044E-3</v>
      </c>
      <c r="BC60" s="13">
        <f t="shared" ref="BC60:BC61" si="173">IF(OR(AW60="",$AM60=""),"",AM60/$AW60)</f>
        <v>7.6794102405378831E-2</v>
      </c>
      <c r="BD60" s="13">
        <f t="shared" ref="BD60:BD61" si="174">IF(OR(AW60="",$AN60=""),"",AN60/$AW60)</f>
        <v>0</v>
      </c>
      <c r="BE60" s="13">
        <f t="shared" ref="BE60:BE61" si="175">IF(OR(AW60="",$AO60=""),"",AO60/$AW60)</f>
        <v>6.7176995577994336E-2</v>
      </c>
      <c r="BF60" s="13">
        <f t="shared" ref="BF60:BF61" si="176">IF(OR(AW60="",$AX60=""),"",AX60/$AW60)</f>
        <v>4.8152101177589446E-2</v>
      </c>
      <c r="BG60" s="13">
        <f t="shared" ref="BG60:BG61" si="177">IF(OR(AW60="",$AY60=""),"",AY60/$AW60)</f>
        <v>9.5154690114370947E-3</v>
      </c>
      <c r="BH60" s="13">
        <f t="shared" ref="BH60:BH61" si="178">IF(OR(AW60="",$AP60=""),"",AP60/$AW60)</f>
        <v>0</v>
      </c>
      <c r="BI60" s="13">
        <f t="shared" ref="BI60:BI61" si="179">IF(OR(AW60="",$AQ60=""),"",AQ60/$AW60)</f>
        <v>0.11571870604835305</v>
      </c>
      <c r="BJ60" s="13">
        <f t="shared" ref="BJ60:BJ61" si="180">IF(OR(AW60="",$AR60=""),"",AR60/$AW60)</f>
        <v>0.11858193144765071</v>
      </c>
      <c r="BK60" s="13">
        <f t="shared" ref="BK60:BK61" si="181">IF(OR(AW60="",$AS60=""),"",AS60/$AW60)</f>
        <v>1.9901284292856924E-2</v>
      </c>
      <c r="BL60" s="13">
        <f t="shared" ref="BL60:BL61" si="182">IF(OR(AW60="",$AT60=""),"",AT60/$AW60)</f>
        <v>1.1955651070754509E-3</v>
      </c>
      <c r="BM60" s="13">
        <f t="shared" ref="BM60:BM61" si="183">IF(OR(AW60="",$AU60=""),"",AU60/$AW60)</f>
        <v>0</v>
      </c>
      <c r="BN60" s="13">
        <f t="shared" ref="BN60:BN61" si="184">IF(OR(AV60="",AW60=""),"",AV60/AW60)</f>
        <v>0.15178198529178905</v>
      </c>
      <c r="BO60" s="12">
        <f t="shared" ref="BO60:BO61" si="185">IF(SUM(BA60:BE60,BH60:BM60)=0,"",SUM(BA60:BE60,BH60:BM60))</f>
        <v>0.84821801470821101</v>
      </c>
      <c r="BP60" s="13"/>
      <c r="BQ60" s="23">
        <f t="shared" ref="BQ60:BQ61" si="186">IF(W60="","",W60/(60.09/2))</f>
        <v>1.605423560985793</v>
      </c>
      <c r="BR60" s="13">
        <f t="shared" ref="BR60:BR61" si="187">IF(X60="","",X60/(79.9/2))</f>
        <v>2.2395007276551682E-2</v>
      </c>
      <c r="BS60" s="13">
        <f t="shared" ref="BS60:BS61" si="188">IF(Y60="","",Y60/(102/3))</f>
        <v>0.41759385851004804</v>
      </c>
      <c r="BT60" s="13">
        <f t="shared" ref="BT60:BT61" si="189">IF(Z60="","",Z60/(151.9922/3))</f>
        <v>0</v>
      </c>
      <c r="BU60" s="13">
        <f t="shared" ref="BU60:BU61" si="190">IF(AA60="","",AA60/(71.85))</f>
        <v>0.12181363447829355</v>
      </c>
      <c r="BV60" s="13">
        <f t="shared" si="89"/>
        <v>8.7315343619358318E-2</v>
      </c>
      <c r="BW60" s="24">
        <f t="shared" ref="BW60:BW61" si="191">IF(AA60="","",$AA60*$EP60*1.111/(159.6/3))</f>
        <v>5.176387485368996E-2</v>
      </c>
      <c r="BX60" s="13">
        <f t="shared" ref="BX60:BX61" si="192">IF(AB60="","",AB60/71)</f>
        <v>0</v>
      </c>
      <c r="BY60" s="13">
        <f t="shared" ref="BY60:BY61" si="193">IF(AC60="","",AC60/40.3)</f>
        <v>0.20993960254813587</v>
      </c>
      <c r="BZ60" s="13">
        <f t="shared" ref="BZ60:BZ61" si="194">IF(AD60="","",AD60/56.1)</f>
        <v>0.21495076154107909</v>
      </c>
      <c r="CA60" s="13">
        <f t="shared" ref="CA60:CA61" si="195">IF(AE60="","",AE60/62)</f>
        <v>3.607582825396128E-2</v>
      </c>
      <c r="CB60" s="13">
        <f t="shared" ref="CB60:CB61" si="196">IF(AF60="","",AF60/94.2)</f>
        <v>2.1679464777373575E-3</v>
      </c>
      <c r="CC60" s="13">
        <f t="shared" ref="CC60:CC61" si="197">IF(AG60="","",AG60/(70.97/5))</f>
        <v>0</v>
      </c>
      <c r="CD60" s="13">
        <f t="shared" ref="CD60:CD61" si="198">IF(AH60="","",AH60/(18.02))</f>
        <v>0.27522986280708772</v>
      </c>
      <c r="CE60" s="12">
        <f t="shared" ref="CE60:CE61" si="199">IF(SUM(BQ60:BU60,BX60:CD60)=0,"",SUM(BQ60:BU60,BX60:CD60))</f>
        <v>2.9055900628786873</v>
      </c>
      <c r="CF60" s="13"/>
      <c r="CG60" s="23">
        <f t="shared" ref="CG60:CG61" si="200">IF(OR($CE60="",BQ60=""),"",BQ60/$CE60)</f>
        <v>0.55252927159147636</v>
      </c>
      <c r="CH60" s="13">
        <f t="shared" ref="CH60:CH61" si="201">IF(OR($CE60="",BR60=""),"",BR60/$CE60)</f>
        <v>7.7075591504343283E-3</v>
      </c>
      <c r="CI60" s="13">
        <f t="shared" ref="CI60:CI61" si="202">IF(OR($CE60="",BS60=""),"",BS60/$CE60)</f>
        <v>0.14372084481054451</v>
      </c>
      <c r="CJ60" s="13">
        <f t="shared" ref="CJ60:CJ61" si="203">IF(OR($CE60="",BT60=""),"",BT60/$CE60)</f>
        <v>0</v>
      </c>
      <c r="CK60" s="13">
        <f t="shared" ref="CK60:CK61" si="204">IF(OR($CE60="",BU60=""),"",BU60/$CE60)</f>
        <v>4.1923888725585667E-2</v>
      </c>
      <c r="CL60" s="13">
        <f t="shared" ref="CL60:CL61" si="205">IF(OR($CE60="",BV60=""),"",BV60/$CE60)</f>
        <v>3.0050812994883189E-2</v>
      </c>
      <c r="CM60" s="13">
        <f t="shared" ref="CM60:CM61" si="206">IF(OR($CE60="",BW60=""),"",BW60/$CE60)</f>
        <v>1.7815271161275025E-2</v>
      </c>
      <c r="CN60" s="13">
        <f t="shared" ref="CN60:CN61" si="207">IF(OR($CE60="",BX60=""),"",BX60/$CE60)</f>
        <v>0</v>
      </c>
      <c r="CO60" s="13">
        <f t="shared" ref="CO60:CO61" si="208">IF(OR($CE60="",BY60=""),"",BY60/$CE60)</f>
        <v>7.2253689613785393E-2</v>
      </c>
      <c r="CP60" s="13">
        <f t="shared" ref="CP60:CP61" si="209">IF(OR($CE60="",BZ60=""),"",BZ60/$CE60)</f>
        <v>7.3978351002521855E-2</v>
      </c>
      <c r="CQ60" s="13">
        <f t="shared" ref="CQ60:CQ61" si="210">IF(OR($CE60="",CA60=""),"",CA60/$CE60)</f>
        <v>1.2416007583058527E-2</v>
      </c>
      <c r="CR60" s="13">
        <f t="shared" ref="CR60:CR61" si="211">IF(OR($CE60="",CB60=""),"",CB60/$CE60)</f>
        <v>7.4612950582212691E-4</v>
      </c>
      <c r="CS60" s="13">
        <f t="shared" ref="CS60:CS61" si="212">IF(OR($CE60="",CC60=""),"",CC60/$CE60)</f>
        <v>0</v>
      </c>
      <c r="CT60" s="13">
        <f t="shared" ref="CT60:CT61" si="213">IF(OR($CE60="",CD60=""),"",CD60/$CE60)</f>
        <v>9.4724258016771368E-2</v>
      </c>
      <c r="CU60" s="12">
        <f t="shared" ref="CU60:CU61" si="214">IF(SUM(CG60:CK60,CN60:CT60)=0,"",SUM(CG60:CK60,CN60:CT60))</f>
        <v>1</v>
      </c>
      <c r="CV60" s="26"/>
      <c r="CW60" s="23">
        <f t="shared" ref="CW60:CW61" si="215">IF(W60="","",W60/60.09)</f>
        <v>0.80271178049289649</v>
      </c>
      <c r="CX60" s="13">
        <f t="shared" ref="CX60:CX61" si="216">IF(X60="","",X60/79.9)</f>
        <v>1.1197503638275841E-2</v>
      </c>
      <c r="CY60" s="13">
        <f t="shared" ref="CY60:CY61" si="217">IF(Y60="","",Y60/(102/2))</f>
        <v>0.27839590567336536</v>
      </c>
      <c r="CZ60" s="13">
        <f t="shared" ref="CZ60:CZ61" si="218">IF(Z60="","",Z60/(151.9922/2))</f>
        <v>0</v>
      </c>
      <c r="DA60" s="13">
        <f t="shared" ref="DA60:DA61" si="219">IF(Q60="","",Q60/71.8)</f>
        <v>0.17270194986072424</v>
      </c>
      <c r="DB60" s="13">
        <f t="shared" si="35"/>
        <v>8.7315343619358318E-2</v>
      </c>
      <c r="DC60" s="24">
        <f t="shared" si="36"/>
        <v>3.4509249902459974E-2</v>
      </c>
      <c r="DD60" s="13">
        <f t="shared" ref="DD60:DD61" si="220">IF(AB60="","",AB60/71)</f>
        <v>0</v>
      </c>
      <c r="DE60" s="13">
        <f t="shared" ref="DE60:DE61" si="221">IF(AC60="","",AC60/40.3)</f>
        <v>0.20993960254813587</v>
      </c>
      <c r="DF60" s="13">
        <f t="shared" ref="DF60:DF61" si="222">IF(AD60="","",AD60/56.1)</f>
        <v>0.21495076154107909</v>
      </c>
      <c r="DG60" s="13">
        <f t="shared" ref="DG60:DG61" si="223">IF(AE60="","",AE60/(62/2))</f>
        <v>7.215165650792256E-2</v>
      </c>
      <c r="DH60" s="13">
        <f t="shared" ref="DH60:DH61" si="224">IF(AF60="","",AF60/(94.2/2))</f>
        <v>4.335892955474715E-3</v>
      </c>
      <c r="DI60" s="13">
        <f t="shared" ref="DI60:DI61" si="225">IF(AG60="","",AG60/(70.97/2))</f>
        <v>0</v>
      </c>
      <c r="DJ60" s="13">
        <f t="shared" ref="DJ60:DJ61" si="226">IF(AH60="","",AH60/(18.02/2))</f>
        <v>0.55045972561417544</v>
      </c>
      <c r="DK60" s="12">
        <f t="shared" ref="DK60:DK61" si="227">IF(SUM(CW60:DA60,DD60:DJ60)=0,"",SUM(CW60:DA60,DD60:DJ60))</f>
        <v>2.3168447788320496</v>
      </c>
      <c r="DL60" s="26"/>
      <c r="DM60" s="23">
        <f t="shared" ref="DM60:DM61" si="228">IF(OR($DK60="",CW60=""),"",CW60/$DK60)</f>
        <v>0.34646765628276294</v>
      </c>
      <c r="DN60" s="13">
        <f t="shared" ref="DN60:DN61" si="229">IF(OR($DK60="",CX60=""),"",CX60/$DK60)</f>
        <v>4.8330832261972434E-3</v>
      </c>
      <c r="DO60" s="13">
        <f t="shared" ref="DO60:DO61" si="230">IF(OR($DK60="",CY60=""),"",CY60/$DK60)</f>
        <v>0.12016165615277352</v>
      </c>
      <c r="DP60" s="13">
        <f t="shared" ref="DP60:DP61" si="231">IF(OR($DK60="",CZ60=""),"",CZ60/$DK60)</f>
        <v>0</v>
      </c>
      <c r="DQ60" s="13">
        <f t="shared" ref="DQ60:DQ61" si="232">IF(OR($DK60="",DA60=""),"",DA60/$DK60)</f>
        <v>7.4541873257381291E-2</v>
      </c>
      <c r="DR60" s="13">
        <f t="shared" ref="DR60:DR61" si="233">IF(OR($DK60="",DB60=""),"",DB60/$DK60)</f>
        <v>3.7687178881001718E-2</v>
      </c>
      <c r="DS60" s="13">
        <f t="shared" ref="DS60:DS61" si="234">IF(OR($DK60="",DC60=""),"",DC60/$DK60)</f>
        <v>1.4894933928140199E-2</v>
      </c>
      <c r="DT60" s="13">
        <f t="shared" ref="DT60:DT61" si="235">IF(OR($DK60="",DD60=""),"",DD60/$DK60)</f>
        <v>0</v>
      </c>
      <c r="DU60" s="13">
        <f t="shared" ref="DU60:DU61" si="236">IF(OR($DK60="",DE60=""),"",DE60/$DK60)</f>
        <v>9.0614444466136854E-2</v>
      </c>
      <c r="DV60" s="13">
        <f t="shared" ref="DV60:DV61" si="237">IF(OR($DK60="",DF60=""),"",DF60/$DK60)</f>
        <v>9.2777368386948417E-2</v>
      </c>
      <c r="DW60" s="13">
        <f t="shared" ref="DW60:DW61" si="238">IF(OR($DK60="",DG60=""),"",DG60/$DK60)</f>
        <v>3.1142205626867724E-2</v>
      </c>
      <c r="DX60" s="13">
        <f t="shared" ref="DX60:DX61" si="239">IF(OR($DK60="",DH60=""),"",DH60/$DK60)</f>
        <v>1.8714645862725825E-3</v>
      </c>
      <c r="DY60" s="13">
        <f t="shared" ref="DY60:DY61" si="240">IF(OR($DK60="",DI60=""),"",DI60/$DK60)</f>
        <v>0</v>
      </c>
      <c r="DZ60" s="13">
        <f t="shared" ref="DZ60:DZ61" si="241">IF(OR($DK60="",DJ60=""),"",DJ60/$DK60)</f>
        <v>0.23759024801465942</v>
      </c>
      <c r="EA60" s="12">
        <f t="shared" ref="EA60:EA61" si="242">IF($DK60="","",DK60/$DK60)</f>
        <v>1</v>
      </c>
      <c r="EB60" s="26"/>
      <c r="EC60" s="30">
        <f t="shared" ref="EC60:EC61" si="243">IF(G60="","",G60+273)</f>
        <v>1323</v>
      </c>
      <c r="ED60" s="14">
        <f t="shared" ref="ED60:ED61" si="244">IF(H60="","",H60*1000000000)</f>
        <v>100000</v>
      </c>
      <c r="EE60" s="29"/>
      <c r="EF60" s="128">
        <f t="shared" ref="EF60:EF61" si="245">IF(I60="","",-25096.3/(G60+273)+8.735+0.11*(H60*10000-1)/(273+G60)+I60)</f>
        <v>-8.7342365835222964</v>
      </c>
      <c r="EG60" s="13">
        <f t="shared" ref="EG60:EG61" si="246">IF(I60="","",I60)</f>
        <v>1.5</v>
      </c>
      <c r="EH60" s="13">
        <f t="shared" ref="EH60:EH61" si="247">IF(EF60="","",24930/($EC60)-9.36-0.046*($ED60/100000)/($EC60)+$EF60)</f>
        <v>0.74926606198035017</v>
      </c>
      <c r="EI60" s="12">
        <f t="shared" ref="EI60:EI61" si="248">IF(EF60="","",27489/($EC60)-6.702-0.055*($ED60/100000)/($EC60)+$EF60)</f>
        <v>5.3414996220710531</v>
      </c>
      <c r="EJ60" s="29"/>
      <c r="EK60" s="28">
        <f t="shared" si="99"/>
        <v>-1.6217636028535147</v>
      </c>
      <c r="EL60" s="24">
        <f t="shared" ref="EL60:EL61" si="249">IF(EK60="","",EK60/2.303)</f>
        <v>-0.70419609329288524</v>
      </c>
      <c r="EM60" s="24">
        <f t="shared" ref="EM60:EM61" si="250">IF(EK60="","",EXP(EK60))</f>
        <v>0.1975499919540302</v>
      </c>
      <c r="EN60" s="24">
        <f t="shared" ref="EN60:EN61" si="251">IF(OR(AA60=0,EM60=""),"",BE60/(1+2*EM60))</f>
        <v>4.8152101177589446E-2</v>
      </c>
      <c r="EO60" s="24">
        <f t="shared" ref="EO60:EO61" si="252">IF(OR(AA60=0,EM60=""),"",EM60*EN60)</f>
        <v>9.5124472002024434E-3</v>
      </c>
      <c r="EP60" s="24">
        <f t="shared" ref="EP60:EP61" si="253">IF(EN60="","",EO60*2/(EO60*2+EN60))</f>
        <v>0.28320549671377404</v>
      </c>
      <c r="EQ60" s="24">
        <f t="shared" ref="EQ60:EQ61" si="254">IF(AA60="","",LN(AY60/AX60))</f>
        <v>-1.6214459841267508</v>
      </c>
      <c r="ER60" s="24">
        <f t="shared" ref="ER60:ER61" si="255">IF(EQ60="","",(11492/$EC60-6.675+($BC60*-2.243+$BE60*-1.828+$BJ60*3.201+$BK60*5.854+$BL60*6.215)-3.36*(1-1673/$EC60-LN($EC60/1673))-0.000000701*($ED60/$EC60)-0.000000000154*(($EC60-1673)*$ED60/$EC60)+0.0000000000000000385*($ED60^2/$EC60)-$EQ60)/-0.196)</f>
        <v>-20.109295756269134</v>
      </c>
      <c r="ES60" s="25">
        <f t="shared" ref="ES60:ES61" si="256">IF(ER60="","",ER60/2.303)</f>
        <v>-8.7317827860482566</v>
      </c>
      <c r="ET60" s="26">
        <v>5.0999999999999996</v>
      </c>
      <c r="EU60" s="26">
        <v>0.2908388804178052</v>
      </c>
      <c r="EV60" s="26">
        <v>0.41036104954220498</v>
      </c>
      <c r="EW60" s="26">
        <v>0.28320549671377404</v>
      </c>
      <c r="EX60" s="26">
        <v>0.40818567126547733</v>
      </c>
      <c r="EY60" s="26">
        <f t="shared" si="106"/>
        <v>0.99469886754809089</v>
      </c>
      <c r="EZ60" s="26">
        <f t="shared" si="107"/>
        <v>1.0269535153540681</v>
      </c>
      <c r="FA60" s="23">
        <f t="shared" ref="FA60:FA61" si="257">IF(EP60="","",8*LOG(BG60/BF60)+8743600/(EC60)^2-27703/(EC60)+20.273)</f>
        <v>-1.3046079957430159</v>
      </c>
      <c r="FB60" s="190">
        <f t="shared" ref="FB60:FC61" si="258">IF(FA60="","",1-1/(1+10^FA60))</f>
        <v>4.7246802181833636E-2</v>
      </c>
      <c r="FC60" s="124">
        <v>6.2646889236044001E-2</v>
      </c>
      <c r="FD60" s="26"/>
      <c r="FE60" s="27">
        <f t="shared" ref="FE60:FE61" si="259">IF(EG60="","",1/(1+10^(2.1-2*EG60)))</f>
        <v>0.88818423022188309</v>
      </c>
      <c r="FF60" s="26"/>
      <c r="FG60" s="23">
        <f t="shared" ref="FG60:FG61" si="260">IF(EA60="","",-23590/(EC60)+8.77+(1673/(EC60))*(6.7*(DW60+DX60)+1.8*DO60+4.9*DU60+8.1*DV60+5*DN60+8.9*(DQ60+DT60)-22.2*(DQ60+DT60)*DN60+7.2*(DQ60+DT60)*DM60)-2.06*ERF(-7.2*DQ60+DT60))</f>
        <v>-4.7637344864242133</v>
      </c>
      <c r="FH60" s="13">
        <f t="shared" si="50"/>
        <v>13.664711852895699</v>
      </c>
      <c r="FI60" s="13">
        <f t="shared" ref="FI60:FI61" si="261">IF(G60="","",-55921/(EC60)+25.07-0.6465*LN(EC60))</f>
        <v>-21.845149910644157</v>
      </c>
      <c r="FJ60" s="13">
        <f t="shared" ref="FJ60:FJ61" si="262">IF(FG60="","",(FH60-FI60-FG60)+2*LN(10)*EF60)</f>
        <v>5.0950338160703268E-2</v>
      </c>
      <c r="FK60" s="12">
        <f t="shared" ref="FK60:FK61" si="263">IF(FJ60="","",1-1/(1+EXP(FJ60)))</f>
        <v>0.51273482975809159</v>
      </c>
      <c r="FL60" s="13"/>
      <c r="FM60" s="23">
        <f t="shared" ref="FM60:FM61" si="264">IF(CU60="","",0.225+(25237*CL60+5214*CP60+12705*CN60+19829*CR60-1109*CG60-8879)/(EC60))</f>
        <v>-6.0734463118253847</v>
      </c>
      <c r="FN60" s="13">
        <f t="shared" ref="FN60:FN61" si="265">IF(CU60="","",-12.948+(28649*CQ60+15602*CP60+9496*CO60+16016*CN60+4194*CI60+29244)/(EC60))</f>
        <v>11.271805512695629</v>
      </c>
      <c r="FO60" s="13">
        <f t="shared" ref="FO60:FO61" si="266">IF(CU60="","",-213.65+(25696*CQ60+15076*CP60+9543*CO60+16158*CN60+4316*CI60+68254)/(EC60)+55.03*LOG(EC60))</f>
        <v>11.793954836941964</v>
      </c>
      <c r="FP60" s="24">
        <f t="shared" ref="FP60:FP61" si="267">IF(FM60="","",1-1/(1+10^(FN60-$FM60+2*$EF60)))</f>
        <v>0.42954013669035906</v>
      </c>
      <c r="FQ60" s="25">
        <f t="shared" ref="FQ60:FQ61" si="268">IF(FO60="","",1-1/(1+10^(FO60-$FM60+2*$EF60)))</f>
        <v>0.71474975155548093</v>
      </c>
      <c r="FR60" s="13"/>
      <c r="FS60" s="23">
        <f t="shared" si="111"/>
        <v>11.144822251032195</v>
      </c>
      <c r="FT60" s="13">
        <f t="shared" si="126"/>
        <v>-6.1623231955267546</v>
      </c>
      <c r="FU60" s="13">
        <f t="shared" ref="FU60:FU61" si="269">IF($FS60="","",$FS60-$FT60+2*$EF60)</f>
        <v>-0.16132772048564448</v>
      </c>
      <c r="FV60" s="13">
        <f t="shared" ref="FV60:FV61" si="270">IF($FU60="","",1-1/(1+10^FU60))</f>
        <v>0.40818567126547733</v>
      </c>
      <c r="FW60" s="23">
        <f t="shared" ref="FW60:FW61" si="271">IF($FS60="","",$FS60-$FT60+2*($EF60-(0.0546*($H60*10000)/($G60+273))))</f>
        <v>-0.16141026016818572</v>
      </c>
      <c r="FX60" s="13">
        <f t="shared" si="140"/>
        <v>0.40813976054220824</v>
      </c>
      <c r="FY60" s="13">
        <f t="shared" ref="FY60:FY61" si="272">IF($FS60="","",$FS60-$FT60+2*($EF60-(0.0332*($H60*10000)/($G60+273))))</f>
        <v>-0.16137790945012043</v>
      </c>
      <c r="FZ60" s="13">
        <f t="shared" ref="FZ60:FZ61" si="273">IF($GA60="","",1-1/(1+10^FY60))</f>
        <v>0.40815775466401227</v>
      </c>
      <c r="GA60" s="13">
        <f t="shared" ref="GA60:GA61" si="274">IF($FS60="","",$FS60-$FT60+2*($EF60-(0.0601*($H60*10000)/($G60+273))))</f>
        <v>-0.1614185746050687</v>
      </c>
      <c r="GB60" s="12">
        <f t="shared" ref="GB60:GB61" si="275">IF($GA60="","",1-1/(1+10^GA60))</f>
        <v>0.40813513592451311</v>
      </c>
      <c r="GC60" s="22"/>
      <c r="GD60" s="11">
        <f t="shared" si="143"/>
        <v>1.5</v>
      </c>
      <c r="GE60" s="10">
        <f t="shared" si="144"/>
        <v>0.74926606198035017</v>
      </c>
      <c r="GF60" s="10">
        <f t="shared" si="145"/>
        <v>5.3414996220710531</v>
      </c>
      <c r="GG60" s="5">
        <f t="shared" si="146"/>
        <v>-8.7342365835222964</v>
      </c>
      <c r="GH60" s="10">
        <f t="shared" si="147"/>
        <v>0.28320549671377404</v>
      </c>
      <c r="GI60" s="9">
        <f t="shared" ref="GI60:GI95" si="276">FS60</f>
        <v>11.144822251032195</v>
      </c>
      <c r="GJ60" s="8">
        <f t="shared" ref="GJ60:GJ95" si="277">FT60</f>
        <v>-6.1623231955267546</v>
      </c>
      <c r="GK60" s="8">
        <f t="shared" si="121"/>
        <v>0.40818567126547733</v>
      </c>
      <c r="GL60" s="7">
        <f t="shared" si="122"/>
        <v>0.40813976054220824</v>
      </c>
      <c r="GM60" s="6">
        <f t="shared" ref="GM60:GM95" si="278">FP60</f>
        <v>0.42954013669035906</v>
      </c>
      <c r="GN60" s="5">
        <f t="shared" ref="GN60:GN95" si="279">FQ60</f>
        <v>0.71474975155548093</v>
      </c>
      <c r="GO60" s="4">
        <f t="shared" ref="GO60:GO95" si="280">FK60</f>
        <v>0.51273482975809159</v>
      </c>
      <c r="GP60" s="4">
        <f t="shared" si="151"/>
        <v>0.88818423022188309</v>
      </c>
      <c r="GQ60" s="4">
        <f t="shared" si="152"/>
        <v>4.7246802181833636E-2</v>
      </c>
      <c r="GR60" s="1"/>
    </row>
    <row r="61" spans="1:200" x14ac:dyDescent="0.4">
      <c r="A61" s="34"/>
      <c r="B61" s="33"/>
      <c r="C61" s="33"/>
      <c r="D61" s="34"/>
      <c r="E61" s="34"/>
      <c r="F61" s="20" t="s">
        <v>84</v>
      </c>
      <c r="G61" s="19">
        <v>1050</v>
      </c>
      <c r="H61" s="18">
        <v>1E-4</v>
      </c>
      <c r="I61" s="17">
        <v>1.5</v>
      </c>
      <c r="J61" s="16">
        <v>49.6</v>
      </c>
      <c r="K61" s="16">
        <v>0.92</v>
      </c>
      <c r="L61" s="16">
        <v>14.6</v>
      </c>
      <c r="M61" s="16">
        <v>0</v>
      </c>
      <c r="N61" s="16">
        <v>9</v>
      </c>
      <c r="O61" s="16">
        <v>0</v>
      </c>
      <c r="P61" s="16">
        <v>8.6999999999999993</v>
      </c>
      <c r="Q61" s="16">
        <v>12.4</v>
      </c>
      <c r="R61" s="16">
        <v>2.2999999999999998</v>
      </c>
      <c r="S61" s="16">
        <v>0.21</v>
      </c>
      <c r="T61" s="16">
        <v>0</v>
      </c>
      <c r="U61" s="15">
        <v>5.2</v>
      </c>
      <c r="V61" s="16"/>
      <c r="W61" s="28">
        <f t="shared" si="158"/>
        <v>48.188088992519184</v>
      </c>
      <c r="X61" s="24">
        <f t="shared" si="159"/>
        <v>0.89381132808704944</v>
      </c>
      <c r="Y61" s="24">
        <f t="shared" si="160"/>
        <v>14.184397163120565</v>
      </c>
      <c r="Z61" s="24">
        <f t="shared" si="161"/>
        <v>0</v>
      </c>
      <c r="AA61" s="24">
        <f t="shared" si="162"/>
        <v>8.7438064704167875</v>
      </c>
      <c r="AB61" s="24">
        <f t="shared" si="163"/>
        <v>0</v>
      </c>
      <c r="AC61" s="24">
        <f t="shared" si="164"/>
        <v>8.4523462547362271</v>
      </c>
      <c r="AD61" s="24">
        <f t="shared" si="165"/>
        <v>12.047022248129796</v>
      </c>
      <c r="AE61" s="24">
        <f t="shared" si="166"/>
        <v>2.2345283202176236</v>
      </c>
      <c r="AF61" s="24">
        <f t="shared" si="167"/>
        <v>0.2040221509763917</v>
      </c>
      <c r="AG61" s="24">
        <f t="shared" si="168"/>
        <v>0</v>
      </c>
      <c r="AH61" s="24">
        <f t="shared" si="169"/>
        <v>5.051977071796367</v>
      </c>
      <c r="AI61" s="14">
        <f t="shared" si="170"/>
        <v>99.999999999999986</v>
      </c>
      <c r="AJ61" s="26"/>
      <c r="AK61" s="50">
        <f t="shared" si="70"/>
        <v>0.80193191866399038</v>
      </c>
      <c r="AL61" s="47">
        <f t="shared" si="71"/>
        <v>1.1186624882190856E-2</v>
      </c>
      <c r="AM61" s="47">
        <f t="shared" si="72"/>
        <v>0.13911727307885999</v>
      </c>
      <c r="AN61" s="49">
        <f t="shared" si="73"/>
        <v>0</v>
      </c>
      <c r="AO61" s="49">
        <f t="shared" si="74"/>
        <v>0.12169528838436727</v>
      </c>
      <c r="AP61" s="47">
        <f t="shared" si="75"/>
        <v>0</v>
      </c>
      <c r="AQ61" s="47">
        <f t="shared" si="76"/>
        <v>0.209631603540085</v>
      </c>
      <c r="AR61" s="47">
        <f t="shared" si="77"/>
        <v>0.21481851369703631</v>
      </c>
      <c r="AS61" s="47">
        <f t="shared" si="78"/>
        <v>3.6052409167757725E-2</v>
      </c>
      <c r="AT61" s="47">
        <f t="shared" si="79"/>
        <v>2.1658402439107397E-3</v>
      </c>
      <c r="AU61" s="47">
        <f t="shared" si="80"/>
        <v>0</v>
      </c>
      <c r="AV61" s="47">
        <f t="shared" si="81"/>
        <v>0.28035388855695709</v>
      </c>
      <c r="AW61" s="47">
        <f t="shared" si="82"/>
        <v>1.8169533602151553</v>
      </c>
      <c r="AX61" s="47">
        <f t="shared" si="83"/>
        <v>8.7245793095894267E-2</v>
      </c>
      <c r="AY61" s="46">
        <f t="shared" si="84"/>
        <v>1.7230219415574614E-2</v>
      </c>
      <c r="AZ61" s="26"/>
      <c r="BA61" s="23">
        <f t="shared" si="171"/>
        <v>0.44136076149419118</v>
      </c>
      <c r="BB61" s="13">
        <f t="shared" si="172"/>
        <v>6.1568035411025557E-3</v>
      </c>
      <c r="BC61" s="13">
        <f t="shared" si="173"/>
        <v>7.6566232312306776E-2</v>
      </c>
      <c r="BD61" s="13">
        <f t="shared" si="174"/>
        <v>0</v>
      </c>
      <c r="BE61" s="13">
        <f t="shared" si="175"/>
        <v>6.697766219489347E-2</v>
      </c>
      <c r="BF61" s="13">
        <f t="shared" si="176"/>
        <v>4.8017629404402004E-2</v>
      </c>
      <c r="BG61" s="13">
        <f t="shared" si="177"/>
        <v>9.4830279042133966E-3</v>
      </c>
      <c r="BH61" s="13">
        <f t="shared" si="178"/>
        <v>0</v>
      </c>
      <c r="BI61" s="13">
        <f t="shared" si="179"/>
        <v>0.11537533550958148</v>
      </c>
      <c r="BJ61" s="13">
        <f t="shared" si="180"/>
        <v>0.11823006489918843</v>
      </c>
      <c r="BK61" s="13">
        <f t="shared" si="181"/>
        <v>1.9842231483304867E-2</v>
      </c>
      <c r="BL61" s="13">
        <f t="shared" si="182"/>
        <v>1.1920175230333214E-3</v>
      </c>
      <c r="BM61" s="13">
        <f t="shared" si="183"/>
        <v>0</v>
      </c>
      <c r="BN61" s="13">
        <f t="shared" si="184"/>
        <v>0.15429889104239794</v>
      </c>
      <c r="BO61" s="12">
        <f t="shared" si="185"/>
        <v>0.84570110895760198</v>
      </c>
      <c r="BP61" s="13"/>
      <c r="BQ61" s="23">
        <f t="shared" si="186"/>
        <v>1.6038638373279808</v>
      </c>
      <c r="BR61" s="13">
        <f t="shared" si="187"/>
        <v>2.2373249764381712E-2</v>
      </c>
      <c r="BS61" s="13">
        <f t="shared" si="188"/>
        <v>0.41718815185648722</v>
      </c>
      <c r="BT61" s="13">
        <f t="shared" si="189"/>
        <v>0</v>
      </c>
      <c r="BU61" s="13">
        <f t="shared" si="190"/>
        <v>0.12169528838436727</v>
      </c>
      <c r="BV61" s="13">
        <f t="shared" si="89"/>
        <v>8.7245793095894267E-2</v>
      </c>
      <c r="BW61" s="24">
        <f t="shared" si="191"/>
        <v>5.169065824672385E-2</v>
      </c>
      <c r="BX61" s="13">
        <f t="shared" si="192"/>
        <v>0</v>
      </c>
      <c r="BY61" s="13">
        <f t="shared" si="193"/>
        <v>0.20973563907534065</v>
      </c>
      <c r="BZ61" s="13">
        <f t="shared" si="194"/>
        <v>0.21474192955668084</v>
      </c>
      <c r="CA61" s="13">
        <f t="shared" si="195"/>
        <v>3.6040779358348769E-2</v>
      </c>
      <c r="CB61" s="13">
        <f t="shared" si="196"/>
        <v>2.1658402439107397E-3</v>
      </c>
      <c r="CC61" s="13">
        <f t="shared" si="197"/>
        <v>0</v>
      </c>
      <c r="CD61" s="13">
        <f t="shared" si="198"/>
        <v>0.28035388855695709</v>
      </c>
      <c r="CE61" s="12">
        <f t="shared" si="199"/>
        <v>2.9081586041244551</v>
      </c>
      <c r="CF61" s="13"/>
      <c r="CG61" s="23">
        <f t="shared" si="200"/>
        <v>0.55150494029222596</v>
      </c>
      <c r="CH61" s="13">
        <f t="shared" si="201"/>
        <v>7.6932701444313127E-3</v>
      </c>
      <c r="CI61" s="13">
        <f t="shared" si="202"/>
        <v>0.14345440144317301</v>
      </c>
      <c r="CJ61" s="13">
        <f t="shared" si="203"/>
        <v>0</v>
      </c>
      <c r="CK61" s="13">
        <f t="shared" si="204"/>
        <v>4.184616623446006E-2</v>
      </c>
      <c r="CL61" s="13">
        <f t="shared" si="205"/>
        <v>3.0000355885734412E-2</v>
      </c>
      <c r="CM61" s="13">
        <f t="shared" si="206"/>
        <v>1.7774360096252762E-2</v>
      </c>
      <c r="CN61" s="13">
        <f t="shared" si="207"/>
        <v>0</v>
      </c>
      <c r="CO61" s="13">
        <f t="shared" si="208"/>
        <v>7.2119738853955909E-2</v>
      </c>
      <c r="CP61" s="13">
        <f t="shared" si="209"/>
        <v>7.3841202901425707E-2</v>
      </c>
      <c r="CQ61" s="13">
        <f t="shared" si="210"/>
        <v>1.2392989607662538E-2</v>
      </c>
      <c r="CR61" s="13">
        <f t="shared" si="211"/>
        <v>7.4474626000076724E-4</v>
      </c>
      <c r="CS61" s="13">
        <f t="shared" si="212"/>
        <v>0</v>
      </c>
      <c r="CT61" s="13">
        <f t="shared" si="213"/>
        <v>9.6402544262664744E-2</v>
      </c>
      <c r="CU61" s="12">
        <f t="shared" si="214"/>
        <v>1</v>
      </c>
      <c r="CV61" s="26"/>
      <c r="CW61" s="23">
        <f t="shared" si="215"/>
        <v>0.80193191866399038</v>
      </c>
      <c r="CX61" s="13">
        <f t="shared" si="216"/>
        <v>1.1186624882190856E-2</v>
      </c>
      <c r="CY61" s="13">
        <f t="shared" si="217"/>
        <v>0.27812543457099148</v>
      </c>
      <c r="CZ61" s="13">
        <f t="shared" si="218"/>
        <v>0</v>
      </c>
      <c r="DA61" s="13">
        <f t="shared" si="219"/>
        <v>0.17270194986072424</v>
      </c>
      <c r="DB61" s="13">
        <f t="shared" si="35"/>
        <v>8.7245793095894267E-2</v>
      </c>
      <c r="DC61" s="24">
        <f t="shared" si="36"/>
        <v>3.4460438831149229E-2</v>
      </c>
      <c r="DD61" s="13">
        <f t="shared" si="220"/>
        <v>0</v>
      </c>
      <c r="DE61" s="13">
        <f t="shared" si="221"/>
        <v>0.20973563907534065</v>
      </c>
      <c r="DF61" s="13">
        <f t="shared" si="222"/>
        <v>0.21474192955668084</v>
      </c>
      <c r="DG61" s="13">
        <f t="shared" si="223"/>
        <v>7.2081558716697539E-2</v>
      </c>
      <c r="DH61" s="13">
        <f t="shared" si="224"/>
        <v>4.3316804878214795E-3</v>
      </c>
      <c r="DI61" s="13">
        <f t="shared" si="225"/>
        <v>0</v>
      </c>
      <c r="DJ61" s="13">
        <f t="shared" si="226"/>
        <v>0.56070777711391417</v>
      </c>
      <c r="DK61" s="12">
        <f t="shared" si="227"/>
        <v>2.3255445129283521</v>
      </c>
      <c r="DL61" s="26"/>
      <c r="DM61" s="23">
        <f t="shared" si="228"/>
        <v>0.34483619393472226</v>
      </c>
      <c r="DN61" s="13">
        <f t="shared" si="229"/>
        <v>4.8103249884064916E-3</v>
      </c>
      <c r="DO61" s="13">
        <f t="shared" si="230"/>
        <v>0.11959583358857009</v>
      </c>
      <c r="DP61" s="13">
        <f t="shared" si="231"/>
        <v>0</v>
      </c>
      <c r="DQ61" s="13">
        <f t="shared" si="232"/>
        <v>7.4263016210021279E-2</v>
      </c>
      <c r="DR61" s="13">
        <f t="shared" si="233"/>
        <v>3.7516286018552003E-2</v>
      </c>
      <c r="DS61" s="13">
        <f t="shared" si="234"/>
        <v>1.4818223706135924E-2</v>
      </c>
      <c r="DT61" s="13">
        <f t="shared" si="235"/>
        <v>0</v>
      </c>
      <c r="DU61" s="13">
        <f t="shared" si="236"/>
        <v>9.0187755129760627E-2</v>
      </c>
      <c r="DV61" s="13">
        <f t="shared" si="237"/>
        <v>9.2340494177974408E-2</v>
      </c>
      <c r="DW61" s="13">
        <f t="shared" si="238"/>
        <v>3.0995561820457963E-2</v>
      </c>
      <c r="DX61" s="13">
        <f t="shared" si="239"/>
        <v>1.8626521503847622E-3</v>
      </c>
      <c r="DY61" s="13">
        <f t="shared" si="240"/>
        <v>0</v>
      </c>
      <c r="DZ61" s="13">
        <f t="shared" si="241"/>
        <v>0.24110816799970197</v>
      </c>
      <c r="EA61" s="12">
        <f t="shared" si="242"/>
        <v>1</v>
      </c>
      <c r="EB61" s="26"/>
      <c r="EC61" s="30">
        <f t="shared" si="243"/>
        <v>1323</v>
      </c>
      <c r="ED61" s="14">
        <f t="shared" si="244"/>
        <v>100000</v>
      </c>
      <c r="EE61" s="29"/>
      <c r="EF61" s="128">
        <f t="shared" si="245"/>
        <v>-8.7342365835222964</v>
      </c>
      <c r="EG61" s="13">
        <f t="shared" si="246"/>
        <v>1.5</v>
      </c>
      <c r="EH61" s="13">
        <f t="shared" si="247"/>
        <v>0.74926606198035017</v>
      </c>
      <c r="EI61" s="12">
        <f t="shared" si="248"/>
        <v>5.3414996220710531</v>
      </c>
      <c r="EJ61" s="29"/>
      <c r="EK61" s="28">
        <f t="shared" si="99"/>
        <v>-1.622382177014013</v>
      </c>
      <c r="EL61" s="24">
        <f t="shared" si="249"/>
        <v>-0.70446468823882458</v>
      </c>
      <c r="EM61" s="24">
        <f t="shared" si="250"/>
        <v>0.19742783042048007</v>
      </c>
      <c r="EN61" s="24">
        <f t="shared" si="251"/>
        <v>4.8017629404401997E-2</v>
      </c>
      <c r="EO61" s="24">
        <f t="shared" si="252"/>
        <v>9.4800163952457345E-3</v>
      </c>
      <c r="EP61" s="24">
        <f t="shared" si="253"/>
        <v>0.28307994291172833</v>
      </c>
      <c r="EQ61" s="24">
        <f t="shared" si="254"/>
        <v>-1.6220645582872493</v>
      </c>
      <c r="ER61" s="24">
        <f t="shared" si="255"/>
        <v>-20.109295756269134</v>
      </c>
      <c r="ES61" s="25">
        <f t="shared" si="256"/>
        <v>-8.7317827860482566</v>
      </c>
      <c r="ET61" s="26">
        <v>5.2</v>
      </c>
      <c r="EU61" s="26">
        <v>0.2908388804178052</v>
      </c>
      <c r="EV61" s="26">
        <v>0.41277041442024009</v>
      </c>
      <c r="EW61" s="26">
        <v>0.28307994291172833</v>
      </c>
      <c r="EX61" s="26">
        <v>0.41056207890443264</v>
      </c>
      <c r="EY61" s="26">
        <f t="shared" si="106"/>
        <v>0.99464996657061966</v>
      </c>
      <c r="EZ61" s="26">
        <f t="shared" si="107"/>
        <v>1.0274089977066878</v>
      </c>
      <c r="FA61" s="23">
        <f t="shared" si="257"/>
        <v>-1.3067571424994355</v>
      </c>
      <c r="FB61" s="190">
        <f t="shared" si="258"/>
        <v>4.7024541947996101E-2</v>
      </c>
      <c r="FC61" s="124">
        <v>6.2646889236044001E-2</v>
      </c>
      <c r="FD61" s="26"/>
      <c r="FE61" s="27">
        <f t="shared" si="259"/>
        <v>0.88818423022188309</v>
      </c>
      <c r="FF61" s="26"/>
      <c r="FG61" s="23">
        <f t="shared" si="260"/>
        <v>-4.7821407397729114</v>
      </c>
      <c r="FH61" s="13">
        <f t="shared" si="50"/>
        <v>13.637783342816725</v>
      </c>
      <c r="FI61" s="13">
        <f t="shared" si="261"/>
        <v>-21.845149910644157</v>
      </c>
      <c r="FJ61" s="13">
        <f t="shared" si="262"/>
        <v>4.2428081430429643E-2</v>
      </c>
      <c r="FK61" s="12">
        <f t="shared" si="263"/>
        <v>0.51060542946533705</v>
      </c>
      <c r="FL61" s="13"/>
      <c r="FM61" s="23">
        <f t="shared" si="264"/>
        <v>-6.0741114072397666</v>
      </c>
      <c r="FN61" s="13">
        <f t="shared" si="265"/>
        <v>11.267883602983975</v>
      </c>
      <c r="FO61" s="13">
        <f t="shared" si="266"/>
        <v>11.790109503349726</v>
      </c>
      <c r="FP61" s="24">
        <f t="shared" si="267"/>
        <v>0.42770357263211256</v>
      </c>
      <c r="FQ61" s="25">
        <f t="shared" si="268"/>
        <v>0.71325442195919453</v>
      </c>
      <c r="FR61" s="13"/>
      <c r="FS61" s="23">
        <f t="shared" si="111"/>
        <v>11.150712799736453</v>
      </c>
      <c r="FT61" s="13">
        <f t="shared" si="126"/>
        <v>-6.1607011286247779</v>
      </c>
      <c r="FU61" s="13">
        <f t="shared" si="269"/>
        <v>-0.15705923868335958</v>
      </c>
      <c r="FV61" s="13">
        <f t="shared" si="270"/>
        <v>0.41056207890443264</v>
      </c>
      <c r="FW61" s="23">
        <f t="shared" si="271"/>
        <v>-0.15714177836590082</v>
      </c>
      <c r="FX61" s="13">
        <f t="shared" si="140"/>
        <v>0.41051608629973024</v>
      </c>
      <c r="FY61" s="13">
        <f t="shared" si="272"/>
        <v>-0.15710942764783553</v>
      </c>
      <c r="FZ61" s="13">
        <f t="shared" si="273"/>
        <v>0.41053411251886707</v>
      </c>
      <c r="GA61" s="13">
        <f t="shared" si="274"/>
        <v>-0.1571500928027838</v>
      </c>
      <c r="GB61" s="12">
        <f t="shared" si="275"/>
        <v>0.41051145343176065</v>
      </c>
      <c r="GC61" s="22"/>
      <c r="GD61" s="11">
        <f t="shared" si="143"/>
        <v>1.5</v>
      </c>
      <c r="GE61" s="10">
        <f t="shared" si="144"/>
        <v>0.74926606198035017</v>
      </c>
      <c r="GF61" s="10">
        <f t="shared" si="145"/>
        <v>5.3414996220710531</v>
      </c>
      <c r="GG61" s="5">
        <f t="shared" si="146"/>
        <v>-8.7342365835222964</v>
      </c>
      <c r="GH61" s="10">
        <f t="shared" si="147"/>
        <v>0.28307994291172833</v>
      </c>
      <c r="GI61" s="9">
        <f t="shared" si="276"/>
        <v>11.150712799736453</v>
      </c>
      <c r="GJ61" s="8">
        <f t="shared" si="277"/>
        <v>-6.1607011286247779</v>
      </c>
      <c r="GK61" s="8">
        <f t="shared" si="121"/>
        <v>0.41056207890443264</v>
      </c>
      <c r="GL61" s="7">
        <f t="shared" si="122"/>
        <v>0.41051608629973024</v>
      </c>
      <c r="GM61" s="6">
        <f t="shared" si="278"/>
        <v>0.42770357263211256</v>
      </c>
      <c r="GN61" s="5">
        <f t="shared" si="279"/>
        <v>0.71325442195919453</v>
      </c>
      <c r="GO61" s="4">
        <f t="shared" si="280"/>
        <v>0.51060542946533705</v>
      </c>
      <c r="GP61" s="4">
        <f t="shared" si="151"/>
        <v>0.88818423022188309</v>
      </c>
      <c r="GQ61" s="4">
        <f t="shared" si="152"/>
        <v>4.7024541947996101E-2</v>
      </c>
      <c r="GR61" s="1"/>
    </row>
    <row r="62" spans="1:200" x14ac:dyDescent="0.4">
      <c r="A62" s="34"/>
      <c r="B62" s="21"/>
      <c r="C62" s="21"/>
      <c r="D62" s="34"/>
      <c r="E62" s="34"/>
      <c r="F62" s="20" t="s">
        <v>84</v>
      </c>
      <c r="G62" s="19">
        <v>1050</v>
      </c>
      <c r="H62" s="18">
        <v>1E-4</v>
      </c>
      <c r="I62" s="17">
        <v>1.5</v>
      </c>
      <c r="J62" s="16">
        <v>49.6</v>
      </c>
      <c r="K62" s="16">
        <v>0.92</v>
      </c>
      <c r="L62" s="16">
        <v>14.6</v>
      </c>
      <c r="M62" s="16">
        <v>0</v>
      </c>
      <c r="N62" s="16">
        <v>9</v>
      </c>
      <c r="O62" s="16">
        <v>0</v>
      </c>
      <c r="P62" s="16">
        <v>8.6999999999999993</v>
      </c>
      <c r="Q62" s="16">
        <v>12.4</v>
      </c>
      <c r="R62" s="16">
        <v>2.2999999999999998</v>
      </c>
      <c r="S62" s="16">
        <v>0.21</v>
      </c>
      <c r="T62" s="16">
        <v>0</v>
      </c>
      <c r="U62" s="15">
        <v>5.3</v>
      </c>
      <c r="V62" s="16"/>
      <c r="W62" s="28">
        <f t="shared" si="69"/>
        <v>48.141318062700186</v>
      </c>
      <c r="X62" s="24">
        <f t="shared" si="156"/>
        <v>0.89294380277589058</v>
      </c>
      <c r="Y62" s="24">
        <f t="shared" si="156"/>
        <v>14.170629913617391</v>
      </c>
      <c r="Z62" s="24">
        <f t="shared" si="155"/>
        <v>0</v>
      </c>
      <c r="AA62" s="24">
        <f t="shared" si="155"/>
        <v>8.735319809764146</v>
      </c>
      <c r="AB62" s="24">
        <f t="shared" si="155"/>
        <v>0</v>
      </c>
      <c r="AC62" s="24">
        <f t="shared" si="155"/>
        <v>8.4441424827720066</v>
      </c>
      <c r="AD62" s="24">
        <f t="shared" si="155"/>
        <v>12.035329515675047</v>
      </c>
      <c r="AE62" s="24">
        <f t="shared" si="155"/>
        <v>2.232359506939726</v>
      </c>
      <c r="AF62" s="24">
        <f t="shared" si="155"/>
        <v>0.20382412889449675</v>
      </c>
      <c r="AG62" s="24">
        <f t="shared" si="155"/>
        <v>0</v>
      </c>
      <c r="AH62" s="24">
        <f t="shared" si="155"/>
        <v>5.1441327768611078</v>
      </c>
      <c r="AI62" s="14">
        <f t="shared" si="123"/>
        <v>100</v>
      </c>
      <c r="AJ62" s="26"/>
      <c r="AK62" s="50">
        <f t="shared" si="70"/>
        <v>0.80115357068896964</v>
      </c>
      <c r="AL62" s="47">
        <f t="shared" si="71"/>
        <v>1.1175767243753323E-2</v>
      </c>
      <c r="AM62" s="47">
        <f t="shared" si="72"/>
        <v>0.13898224709314821</v>
      </c>
      <c r="AN62" s="49">
        <f t="shared" si="73"/>
        <v>0</v>
      </c>
      <c r="AO62" s="49">
        <f t="shared" si="74"/>
        <v>0.12157717202176961</v>
      </c>
      <c r="AP62" s="47">
        <f t="shared" si="75"/>
        <v>0</v>
      </c>
      <c r="AQ62" s="47">
        <f t="shared" si="76"/>
        <v>0.20942813697351206</v>
      </c>
      <c r="AR62" s="47">
        <f t="shared" si="77"/>
        <v>0.21461001276168057</v>
      </c>
      <c r="AS62" s="47">
        <f t="shared" si="78"/>
        <v>3.6017417020647403E-2</v>
      </c>
      <c r="AT62" s="47">
        <f t="shared" si="79"/>
        <v>2.1637380986676935E-3</v>
      </c>
      <c r="AU62" s="47">
        <f t="shared" si="80"/>
        <v>0</v>
      </c>
      <c r="AV62" s="47">
        <f t="shared" si="81"/>
        <v>0.28546796763935117</v>
      </c>
      <c r="AW62" s="47">
        <f t="shared" si="82"/>
        <v>1.8205760295414997</v>
      </c>
      <c r="AX62" s="47">
        <f t="shared" si="83"/>
        <v>8.7176283202952232E-2</v>
      </c>
      <c r="AY62" s="46">
        <f t="shared" si="84"/>
        <v>1.7205908460358296E-2</v>
      </c>
      <c r="AZ62" s="26"/>
      <c r="BA62" s="23">
        <f t="shared" si="85"/>
        <v>0.44005499231511636</v>
      </c>
      <c r="BB62" s="13">
        <f t="shared" si="6"/>
        <v>6.1385885908691587E-3</v>
      </c>
      <c r="BC62" s="13">
        <f t="shared" si="7"/>
        <v>7.63397105300513E-2</v>
      </c>
      <c r="BD62" s="13">
        <f t="shared" si="8"/>
        <v>0</v>
      </c>
      <c r="BE62" s="13">
        <f t="shared" si="9"/>
        <v>6.6779508270460988E-2</v>
      </c>
      <c r="BF62" s="13">
        <f t="shared" si="10"/>
        <v>4.7883901462169101E-2</v>
      </c>
      <c r="BG62" s="13">
        <f t="shared" si="11"/>
        <v>9.4508046800393687E-3</v>
      </c>
      <c r="BH62" s="13">
        <f t="shared" si="12"/>
        <v>0</v>
      </c>
      <c r="BI62" s="13">
        <f t="shared" si="13"/>
        <v>0.11503399669952548</v>
      </c>
      <c r="BJ62" s="13">
        <f t="shared" si="14"/>
        <v>0.11788028035046068</v>
      </c>
      <c r="BK62" s="13">
        <f t="shared" si="15"/>
        <v>1.9783528090127692E-2</v>
      </c>
      <c r="BL62" s="13">
        <f t="shared" si="16"/>
        <v>1.1884909301000833E-3</v>
      </c>
      <c r="BM62" s="13">
        <f t="shared" si="17"/>
        <v>0</v>
      </c>
      <c r="BN62" s="13">
        <f t="shared" si="86"/>
        <v>0.1568009042232883</v>
      </c>
      <c r="BO62" s="12">
        <f t="shared" si="87"/>
        <v>0.84319909577671182</v>
      </c>
      <c r="BP62" s="13"/>
      <c r="BQ62" s="23">
        <f t="shared" si="88"/>
        <v>1.6023071413779393</v>
      </c>
      <c r="BR62" s="13">
        <f t="shared" si="18"/>
        <v>2.2351534487506645E-2</v>
      </c>
      <c r="BS62" s="13">
        <f t="shared" si="19"/>
        <v>0.41678323275345269</v>
      </c>
      <c r="BT62" s="13">
        <f t="shared" si="20"/>
        <v>0</v>
      </c>
      <c r="BU62" s="13">
        <f t="shared" si="21"/>
        <v>0.12157717202176961</v>
      </c>
      <c r="BV62" s="13">
        <f t="shared" si="89"/>
        <v>8.7176283202952232E-2</v>
      </c>
      <c r="BW62" s="24">
        <f t="shared" si="90"/>
        <v>5.1617725381074883E-2</v>
      </c>
      <c r="BX62" s="13">
        <f t="shared" si="22"/>
        <v>0</v>
      </c>
      <c r="BY62" s="13">
        <f t="shared" si="23"/>
        <v>0.20953207153280415</v>
      </c>
      <c r="BZ62" s="13">
        <f t="shared" si="24"/>
        <v>0.21453350295320939</v>
      </c>
      <c r="CA62" s="13">
        <f t="shared" si="25"/>
        <v>3.6005798499027838E-2</v>
      </c>
      <c r="CB62" s="13">
        <f t="shared" si="26"/>
        <v>2.1637380986676935E-3</v>
      </c>
      <c r="CC62" s="13">
        <f t="shared" si="27"/>
        <v>0</v>
      </c>
      <c r="CD62" s="13">
        <f t="shared" si="91"/>
        <v>0.28546796763935117</v>
      </c>
      <c r="CE62" s="12">
        <f t="shared" si="92"/>
        <v>2.9107221593637282</v>
      </c>
      <c r="CF62" s="13"/>
      <c r="CG62" s="23">
        <f t="shared" ref="CG62:CT86" si="281">IF(OR($CE62="",BQ62=""),"",BQ62/$CE62)</f>
        <v>0.55048439997041732</v>
      </c>
      <c r="CH62" s="13">
        <f t="shared" si="281"/>
        <v>7.6790340210254205E-3</v>
      </c>
      <c r="CI62" s="13">
        <f t="shared" si="281"/>
        <v>0.14318894416379466</v>
      </c>
      <c r="CJ62" s="13">
        <f t="shared" si="281"/>
        <v>0</v>
      </c>
      <c r="CK62" s="13">
        <f t="shared" si="281"/>
        <v>4.1768731388758133E-2</v>
      </c>
      <c r="CL62" s="13">
        <f t="shared" si="281"/>
        <v>2.9950053089920683E-2</v>
      </c>
      <c r="CM62" s="13">
        <f t="shared" si="281"/>
        <v>1.7733649092896694E-2</v>
      </c>
      <c r="CN62" s="13">
        <f t="shared" si="281"/>
        <v>0</v>
      </c>
      <c r="CO62" s="13">
        <f t="shared" si="281"/>
        <v>7.1986283836382031E-2</v>
      </c>
      <c r="CP62" s="13">
        <f t="shared" si="157"/>
        <v>7.3704562375718305E-2</v>
      </c>
      <c r="CQ62" s="13">
        <f t="shared" si="157"/>
        <v>1.2370056820159901E-2</v>
      </c>
      <c r="CR62" s="13">
        <f t="shared" si="157"/>
        <v>7.4336813347402339E-4</v>
      </c>
      <c r="CS62" s="13">
        <f t="shared" si="157"/>
        <v>0</v>
      </c>
      <c r="CT62" s="13">
        <f t="shared" si="157"/>
        <v>9.807461929027031E-2</v>
      </c>
      <c r="CU62" s="12">
        <f t="shared" si="29"/>
        <v>1.0000000000000002</v>
      </c>
      <c r="CV62" s="26"/>
      <c r="CW62" s="23">
        <f t="shared" si="30"/>
        <v>0.80115357068896964</v>
      </c>
      <c r="CX62" s="13">
        <f t="shared" si="31"/>
        <v>1.1175767243753323E-2</v>
      </c>
      <c r="CY62" s="13">
        <f t="shared" si="32"/>
        <v>0.2778554885023018</v>
      </c>
      <c r="CZ62" s="13">
        <f t="shared" si="33"/>
        <v>0</v>
      </c>
      <c r="DA62" s="13">
        <f t="shared" si="34"/>
        <v>0.17270194986072424</v>
      </c>
      <c r="DB62" s="13">
        <f t="shared" si="35"/>
        <v>8.7176283202952232E-2</v>
      </c>
      <c r="DC62" s="24">
        <f t="shared" si="36"/>
        <v>3.4411816920716591E-2</v>
      </c>
      <c r="DD62" s="13">
        <f t="shared" si="37"/>
        <v>0</v>
      </c>
      <c r="DE62" s="13">
        <f t="shared" si="38"/>
        <v>0.20953207153280415</v>
      </c>
      <c r="DF62" s="13">
        <f t="shared" si="39"/>
        <v>0.21453350295320939</v>
      </c>
      <c r="DG62" s="13">
        <f t="shared" si="40"/>
        <v>7.2011596998055677E-2</v>
      </c>
      <c r="DH62" s="13">
        <f t="shared" si="41"/>
        <v>4.327476197335387E-3</v>
      </c>
      <c r="DI62" s="13">
        <f t="shared" si="42"/>
        <v>0</v>
      </c>
      <c r="DJ62" s="13">
        <f t="shared" si="93"/>
        <v>0.57093593527870234</v>
      </c>
      <c r="DK62" s="12">
        <f t="shared" si="94"/>
        <v>2.334227359255856</v>
      </c>
      <c r="DL62" s="26"/>
      <c r="DM62" s="23">
        <f t="shared" si="154"/>
        <v>0.34322002418152392</v>
      </c>
      <c r="DN62" s="13">
        <f t="shared" si="154"/>
        <v>4.7877800761088329E-3</v>
      </c>
      <c r="DO62" s="13">
        <f t="shared" si="153"/>
        <v>0.1190353147907928</v>
      </c>
      <c r="DP62" s="13">
        <f t="shared" si="153"/>
        <v>0</v>
      </c>
      <c r="DQ62" s="13">
        <f t="shared" si="153"/>
        <v>7.3986773043299883E-2</v>
      </c>
      <c r="DR62" s="13">
        <f t="shared" si="153"/>
        <v>3.7346954596035473E-2</v>
      </c>
      <c r="DS62" s="13">
        <f t="shared" si="153"/>
        <v>1.4742272977079219E-2</v>
      </c>
      <c r="DT62" s="13">
        <f t="shared" si="153"/>
        <v>0</v>
      </c>
      <c r="DU62" s="13">
        <f t="shared" si="153"/>
        <v>8.9765065387461776E-2</v>
      </c>
      <c r="DV62" s="13">
        <f t="shared" si="153"/>
        <v>9.190771503149632E-2</v>
      </c>
      <c r="DW62" s="13">
        <f t="shared" si="153"/>
        <v>3.0850292587185139E-2</v>
      </c>
      <c r="DX62" s="13">
        <f t="shared" si="153"/>
        <v>1.8539223183104889E-3</v>
      </c>
      <c r="DY62" s="13">
        <f t="shared" si="153"/>
        <v>0</v>
      </c>
      <c r="DZ62" s="13">
        <f t="shared" si="153"/>
        <v>0.24459311258382083</v>
      </c>
      <c r="EA62" s="12">
        <f t="shared" si="44"/>
        <v>1</v>
      </c>
      <c r="EB62" s="26"/>
      <c r="EC62" s="30">
        <f t="shared" si="45"/>
        <v>1323</v>
      </c>
      <c r="ED62" s="14">
        <f t="shared" si="96"/>
        <v>100000</v>
      </c>
      <c r="EE62" s="29"/>
      <c r="EF62" s="128">
        <f t="shared" si="124"/>
        <v>-8.7342365835222964</v>
      </c>
      <c r="EG62" s="13">
        <f t="shared" si="97"/>
        <v>1.5</v>
      </c>
      <c r="EH62" s="13">
        <f t="shared" si="98"/>
        <v>0.74926606198035017</v>
      </c>
      <c r="EI62" s="12">
        <f t="shared" si="46"/>
        <v>5.3414996220710531</v>
      </c>
      <c r="EJ62" s="29"/>
      <c r="EK62" s="28">
        <f t="shared" si="99"/>
        <v>-1.6229970910617681</v>
      </c>
      <c r="EL62" s="24">
        <f t="shared" si="100"/>
        <v>-0.70473169390437174</v>
      </c>
      <c r="EM62" s="24">
        <f t="shared" si="101"/>
        <v>0.19730646659212234</v>
      </c>
      <c r="EN62" s="24">
        <f t="shared" si="102"/>
        <v>4.7883901462169094E-2</v>
      </c>
      <c r="EO62" s="24">
        <f t="shared" si="103"/>
        <v>9.4478034041459436E-3</v>
      </c>
      <c r="EP62" s="24">
        <f t="shared" si="104"/>
        <v>0.28295516540438659</v>
      </c>
      <c r="EQ62" s="24">
        <f t="shared" si="105"/>
        <v>-1.6226794723350044</v>
      </c>
      <c r="ER62" s="24">
        <f t="shared" si="47"/>
        <v>-20.10929575626913</v>
      </c>
      <c r="ES62" s="25">
        <f t="shared" si="48"/>
        <v>-8.7317827860482549</v>
      </c>
      <c r="ET62" s="26">
        <v>5.3</v>
      </c>
      <c r="EU62" s="26">
        <v>0.29083888041780526</v>
      </c>
      <c r="EV62" s="26">
        <v>0.41517413227182443</v>
      </c>
      <c r="EW62" s="26">
        <v>0.28295516540438659</v>
      </c>
      <c r="EX62" s="26">
        <v>0.41293325489925914</v>
      </c>
      <c r="EY62" s="26">
        <f t="shared" si="106"/>
        <v>0.9946025602310451</v>
      </c>
      <c r="EZ62" s="26">
        <f t="shared" si="107"/>
        <v>1.0278620643031966</v>
      </c>
      <c r="FA62" s="23">
        <f t="shared" si="125"/>
        <v>-1.3088935727217113</v>
      </c>
      <c r="FB62" s="190">
        <f t="shared" si="108"/>
        <v>4.6804582235038028E-2</v>
      </c>
      <c r="FC62" s="124">
        <v>6.2646889236044334E-2</v>
      </c>
      <c r="FD62" s="26"/>
      <c r="FE62" s="27">
        <f t="shared" si="109"/>
        <v>0.88818423022188309</v>
      </c>
      <c r="FF62" s="26"/>
      <c r="FG62" s="23">
        <f t="shared" ref="FG62:FG95" si="282">IF(EA62="","",-23590/(EC62)+8.77+(1673/(EC62))*(6.7*(DW62+DX62)+1.8*DO62+4.9*DU62+8.1*DV62+5*DN62+8.9*(DQ62+DT62)-22.2*(DQ62+DT62)*DN62+7.2*(DQ62+DT62)*DM62)-2.06*ERF(-7.2*DQ62+DT62))</f>
        <v>-4.8003740675220028</v>
      </c>
      <c r="FH62" s="13">
        <f t="shared" si="50"/>
        <v>13.611106744223182</v>
      </c>
      <c r="FI62" s="13">
        <f t="shared" ref="FI62:FI95" si="283">IF(G62="","",-55921/(EC62)+25.07-0.6465*LN(EC62))</f>
        <v>-21.845149910644157</v>
      </c>
      <c r="FJ62" s="13">
        <f t="shared" ref="FJ62:FJ95" si="284">IF(FG62="","",(FH62-FI62-FG62)+2*LN(10)*EF62)</f>
        <v>3.3984810585970138E-2</v>
      </c>
      <c r="FK62" s="12">
        <f t="shared" si="53"/>
        <v>0.50849538500453895</v>
      </c>
      <c r="FL62" s="13"/>
      <c r="FM62" s="23">
        <f t="shared" ref="FM62:FM95" si="285">IF(CU62="","",0.225+(25237*CL62+5214*CP62+12705*CN62+19829*CR62-1109*CG62-8879)/(EC62))</f>
        <v>-6.074774659706133</v>
      </c>
      <c r="FN62" s="13">
        <f t="shared" ref="FN62:FN95" si="286">IF(CU62="","",-12.948+(28649*CQ62+15602*CP62+9496*CO62+16016*CN62+4194*CI62+29244)/(EC62))</f>
        <v>11.263976207981827</v>
      </c>
      <c r="FO62" s="13">
        <f t="shared" ref="FO62:FO95" si="287">IF(CU62="","",-213.65+(25696*CQ62+15076*CP62+9543*CO62+16158*CN62+4316*CI62+68254)/(EC62)+55.03*LOG(EC62))</f>
        <v>11.786278401064237</v>
      </c>
      <c r="FP62" s="24">
        <f t="shared" ref="FP62:FP95" si="288">IF(FM62="","",1-1/(1+10^(FN62-$FM62+2*$EF62)))</f>
        <v>0.42587613302348126</v>
      </c>
      <c r="FQ62" s="25">
        <f t="shared" ref="FQ62:FQ95" si="289">IF(FO62="","",1-1/(1+10^(FO62-$FM62+2*$EF62)))</f>
        <v>0.71176026703431772</v>
      </c>
      <c r="FR62" s="13"/>
      <c r="FS62" s="23">
        <f t="shared" si="111"/>
        <v>11.156581547938032</v>
      </c>
      <c r="FT62" s="13">
        <f t="shared" si="126"/>
        <v>-6.1590839984891304</v>
      </c>
      <c r="FU62" s="13">
        <f t="shared" ref="FU62:FU95" si="290">IF($FS62="","",$FS62-$FT62+2*$EF62)</f>
        <v>-0.15280762061743047</v>
      </c>
      <c r="FV62" s="13">
        <f t="shared" si="58"/>
        <v>0.41293325489925914</v>
      </c>
      <c r="FW62" s="23">
        <f t="shared" ref="FW62:FW95" si="291">IF($FS62="","",$FS62-$FT62+2*($EF62-(0.0546*($H62*10000)/($G62+273))))</f>
        <v>-0.15289016029997171</v>
      </c>
      <c r="FX62" s="13">
        <f t="shared" ref="FX62:FX95" si="292">IF($FW62="","",1-1/(1+10^FW62))</f>
        <v>0.41288718273278835</v>
      </c>
      <c r="FY62" s="13">
        <f t="shared" ref="FY62:FY95" si="293">IF($FS62="","",$FS62-$FT62+2*($EF62-(0.0332*($H62*10000)/($G62+273))))</f>
        <v>-0.15285780958190642</v>
      </c>
      <c r="FZ62" s="13">
        <f t="shared" si="116"/>
        <v>0.4129052401401011</v>
      </c>
      <c r="GA62" s="13">
        <f t="shared" ref="GA62:GA95" si="294">IF($FS62="","",$FS62-$FT62+2*($EF62-(0.0601*($H62*10000)/($G62+273))))</f>
        <v>-0.15289847473685469</v>
      </c>
      <c r="GB62" s="12">
        <f t="shared" si="118"/>
        <v>0.41288254184820283</v>
      </c>
      <c r="GC62" s="22"/>
      <c r="GD62" s="11">
        <f t="shared" si="143"/>
        <v>1.5</v>
      </c>
      <c r="GE62" s="10">
        <f t="shared" si="144"/>
        <v>0.74926606198035017</v>
      </c>
      <c r="GF62" s="10">
        <f t="shared" si="145"/>
        <v>5.3414996220710531</v>
      </c>
      <c r="GG62" s="5">
        <f t="shared" si="146"/>
        <v>-8.7342365835222964</v>
      </c>
      <c r="GH62" s="10">
        <f t="shared" si="147"/>
        <v>0.28295516540438659</v>
      </c>
      <c r="GI62" s="9">
        <f t="shared" si="276"/>
        <v>11.156581547938032</v>
      </c>
      <c r="GJ62" s="8">
        <f t="shared" si="277"/>
        <v>-6.1590839984891304</v>
      </c>
      <c r="GK62" s="8">
        <f t="shared" si="121"/>
        <v>0.41293325489925914</v>
      </c>
      <c r="GL62" s="7">
        <f t="shared" si="122"/>
        <v>0.41288718273278835</v>
      </c>
      <c r="GM62" s="6">
        <f t="shared" si="278"/>
        <v>0.42587613302348126</v>
      </c>
      <c r="GN62" s="5">
        <f t="shared" si="279"/>
        <v>0.71176026703431772</v>
      </c>
      <c r="GO62" s="4">
        <f t="shared" si="280"/>
        <v>0.50849538500453895</v>
      </c>
      <c r="GP62" s="4">
        <f t="shared" si="151"/>
        <v>0.88818423022188309</v>
      </c>
      <c r="GQ62" s="4">
        <f t="shared" si="152"/>
        <v>4.6804582235038028E-2</v>
      </c>
      <c r="GR62" s="1"/>
    </row>
    <row r="63" spans="1:200" x14ac:dyDescent="0.4">
      <c r="A63" s="32"/>
      <c r="B63" s="33"/>
      <c r="C63" s="33"/>
      <c r="D63" s="32"/>
      <c r="E63" s="32"/>
      <c r="F63" s="20" t="s">
        <v>84</v>
      </c>
      <c r="G63" s="19">
        <v>1050</v>
      </c>
      <c r="H63" s="18">
        <v>1E-4</v>
      </c>
      <c r="I63" s="17">
        <v>1.5</v>
      </c>
      <c r="J63" s="16">
        <v>49.6</v>
      </c>
      <c r="K63" s="16">
        <v>0.92</v>
      </c>
      <c r="L63" s="16">
        <v>14.6</v>
      </c>
      <c r="M63" s="16">
        <v>0</v>
      </c>
      <c r="N63" s="16">
        <v>9</v>
      </c>
      <c r="O63" s="16">
        <v>0</v>
      </c>
      <c r="P63" s="16">
        <v>8.6999999999999993</v>
      </c>
      <c r="Q63" s="16">
        <v>12.4</v>
      </c>
      <c r="R63" s="16">
        <v>2.2999999999999998</v>
      </c>
      <c r="S63" s="16">
        <v>0.21</v>
      </c>
      <c r="T63" s="16">
        <v>0</v>
      </c>
      <c r="U63" s="15">
        <v>5.4</v>
      </c>
      <c r="V63" s="16"/>
      <c r="W63" s="28">
        <f t="shared" si="69"/>
        <v>48.094637835741295</v>
      </c>
      <c r="X63" s="24">
        <f t="shared" si="156"/>
        <v>0.89207795985649185</v>
      </c>
      <c r="Y63" s="24">
        <f t="shared" si="156"/>
        <v>14.156889362939978</v>
      </c>
      <c r="Z63" s="24">
        <f t="shared" si="155"/>
        <v>0</v>
      </c>
      <c r="AA63" s="24">
        <f t="shared" si="155"/>
        <v>8.7268496072917667</v>
      </c>
      <c r="AB63" s="24">
        <f t="shared" si="155"/>
        <v>0</v>
      </c>
      <c r="AC63" s="24">
        <f t="shared" si="155"/>
        <v>8.4359546203820415</v>
      </c>
      <c r="AD63" s="24">
        <f t="shared" si="155"/>
        <v>12.023659458935324</v>
      </c>
      <c r="AE63" s="24">
        <f t="shared" si="155"/>
        <v>2.2301948996412291</v>
      </c>
      <c r="AF63" s="24">
        <f t="shared" si="155"/>
        <v>0.20362649083680789</v>
      </c>
      <c r="AG63" s="24">
        <f t="shared" si="155"/>
        <v>0</v>
      </c>
      <c r="AH63" s="24">
        <f t="shared" si="155"/>
        <v>5.23610976437506</v>
      </c>
      <c r="AI63" s="14">
        <f t="shared" si="123"/>
        <v>100.00000000000001</v>
      </c>
      <c r="AJ63" s="26"/>
      <c r="AK63" s="50">
        <f t="shared" si="70"/>
        <v>0.80037673216410876</v>
      </c>
      <c r="AL63" s="47">
        <f t="shared" si="71"/>
        <v>1.1164930661533064E-2</v>
      </c>
      <c r="AM63" s="47">
        <f t="shared" si="72"/>
        <v>0.13884748296331875</v>
      </c>
      <c r="AN63" s="49">
        <f t="shared" si="73"/>
        <v>0</v>
      </c>
      <c r="AO63" s="49">
        <f t="shared" si="74"/>
        <v>0.12145928472222363</v>
      </c>
      <c r="AP63" s="47">
        <f t="shared" si="75"/>
        <v>0</v>
      </c>
      <c r="AQ63" s="47">
        <f t="shared" si="76"/>
        <v>0.20922506498963397</v>
      </c>
      <c r="AR63" s="47">
        <f t="shared" si="77"/>
        <v>0.21440191617217055</v>
      </c>
      <c r="AS63" s="47">
        <f t="shared" si="78"/>
        <v>3.5982492733804924E-2</v>
      </c>
      <c r="AT63" s="47">
        <f t="shared" si="79"/>
        <v>2.1616400301147335E-3</v>
      </c>
      <c r="AU63" s="47">
        <f t="shared" si="80"/>
        <v>0</v>
      </c>
      <c r="AV63" s="47">
        <f t="shared" si="81"/>
        <v>0.29057212898862711</v>
      </c>
      <c r="AW63" s="47">
        <f t="shared" si="82"/>
        <v>1.8241916734255355</v>
      </c>
      <c r="AX63" s="47">
        <f t="shared" si="83"/>
        <v>8.7106814691276985E-2</v>
      </c>
      <c r="AY63" s="46">
        <f t="shared" si="84"/>
        <v>1.7181691375844781E-2</v>
      </c>
      <c r="AZ63" s="26"/>
      <c r="BA63" s="23">
        <f t="shared" si="85"/>
        <v>0.43875692660143073</v>
      </c>
      <c r="BB63" s="13">
        <f t="shared" si="6"/>
        <v>6.1204811008522689E-3</v>
      </c>
      <c r="BC63" s="13">
        <f t="shared" si="7"/>
        <v>7.6114525126948829E-2</v>
      </c>
      <c r="BD63" s="13">
        <f t="shared" si="8"/>
        <v>0</v>
      </c>
      <c r="BE63" s="13">
        <f t="shared" si="9"/>
        <v>6.6582523367263724E-2</v>
      </c>
      <c r="BF63" s="13">
        <f t="shared" si="10"/>
        <v>4.7750911244817021E-2</v>
      </c>
      <c r="BG63" s="13">
        <f t="shared" si="11"/>
        <v>9.4187971725473111E-3</v>
      </c>
      <c r="BH63" s="13">
        <f t="shared" si="12"/>
        <v>0</v>
      </c>
      <c r="BI63" s="13">
        <f t="shared" si="13"/>
        <v>0.11469467163872277</v>
      </c>
      <c r="BJ63" s="13">
        <f t="shared" si="14"/>
        <v>0.11753255937713969</v>
      </c>
      <c r="BK63" s="13">
        <f t="shared" si="15"/>
        <v>1.9725171021220404E-2</v>
      </c>
      <c r="BL63" s="13">
        <f t="shared" si="16"/>
        <v>1.1849851425182337E-3</v>
      </c>
      <c r="BM63" s="13">
        <f t="shared" si="17"/>
        <v>0</v>
      </c>
      <c r="BN63" s="13">
        <f t="shared" si="86"/>
        <v>0.15928815662390339</v>
      </c>
      <c r="BO63" s="12">
        <f t="shared" si="87"/>
        <v>0.8407118433760965</v>
      </c>
      <c r="BP63" s="13"/>
      <c r="BQ63" s="23">
        <f t="shared" si="88"/>
        <v>1.6007534643282175</v>
      </c>
      <c r="BR63" s="13">
        <f t="shared" si="18"/>
        <v>2.2329861323066129E-2</v>
      </c>
      <c r="BS63" s="13">
        <f t="shared" si="19"/>
        <v>0.41637909890999936</v>
      </c>
      <c r="BT63" s="13">
        <f t="shared" si="20"/>
        <v>0</v>
      </c>
      <c r="BU63" s="13">
        <f t="shared" si="21"/>
        <v>0.12145928472222363</v>
      </c>
      <c r="BV63" s="13">
        <f t="shared" si="89"/>
        <v>8.7106814691276985E-2</v>
      </c>
      <c r="BW63" s="24">
        <f t="shared" si="90"/>
        <v>5.1545074127534347E-2</v>
      </c>
      <c r="BX63" s="13">
        <f t="shared" si="22"/>
        <v>0</v>
      </c>
      <c r="BY63" s="13">
        <f t="shared" si="23"/>
        <v>0.20932889876878516</v>
      </c>
      <c r="BZ63" s="13">
        <f t="shared" si="24"/>
        <v>0.2143254805514318</v>
      </c>
      <c r="CA63" s="13">
        <f t="shared" si="25"/>
        <v>3.5970885478084337E-2</v>
      </c>
      <c r="CB63" s="13">
        <f t="shared" si="26"/>
        <v>2.1616400301147335E-3</v>
      </c>
      <c r="CC63" s="13">
        <f t="shared" si="27"/>
        <v>0</v>
      </c>
      <c r="CD63" s="13">
        <f t="shared" si="91"/>
        <v>0.29057212898862711</v>
      </c>
      <c r="CE63" s="12">
        <f t="shared" si="92"/>
        <v>2.9132807431005499</v>
      </c>
      <c r="CF63" s="13"/>
      <c r="CG63" s="23">
        <f t="shared" si="281"/>
        <v>0.54946762961971385</v>
      </c>
      <c r="CH63" s="13">
        <f t="shared" si="281"/>
        <v>7.6648504871867848E-3</v>
      </c>
      <c r="CI63" s="13">
        <f t="shared" si="281"/>
        <v>0.14292446750835791</v>
      </c>
      <c r="CJ63" s="13">
        <f t="shared" si="281"/>
        <v>0</v>
      </c>
      <c r="CK63" s="13">
        <f t="shared" si="281"/>
        <v>4.1691582594596356E-2</v>
      </c>
      <c r="CL63" s="13">
        <f t="shared" si="281"/>
        <v>2.9899904050637714E-2</v>
      </c>
      <c r="CM63" s="13">
        <f t="shared" si="281"/>
        <v>1.7693136595093781E-2</v>
      </c>
      <c r="CN63" s="13">
        <f t="shared" si="281"/>
        <v>0</v>
      </c>
      <c r="CO63" s="13">
        <f t="shared" si="281"/>
        <v>7.1853321814086601E-2</v>
      </c>
      <c r="CP63" s="13">
        <f t="shared" si="157"/>
        <v>7.3568426612853399E-2</v>
      </c>
      <c r="CQ63" s="13">
        <f t="shared" si="157"/>
        <v>1.2347208748512578E-2</v>
      </c>
      <c r="CR63" s="13">
        <f t="shared" si="157"/>
        <v>7.4199509787516757E-4</v>
      </c>
      <c r="CS63" s="13">
        <f t="shared" si="157"/>
        <v>0</v>
      </c>
      <c r="CT63" s="13">
        <f t="shared" si="157"/>
        <v>9.9740517516817367E-2</v>
      </c>
      <c r="CU63" s="12">
        <f t="shared" si="29"/>
        <v>0.99999999999999989</v>
      </c>
      <c r="CV63" s="26"/>
      <c r="CW63" s="23">
        <f t="shared" si="30"/>
        <v>0.80037673216410876</v>
      </c>
      <c r="CX63" s="13">
        <f t="shared" si="31"/>
        <v>1.1164930661533064E-2</v>
      </c>
      <c r="CY63" s="13">
        <f t="shared" si="32"/>
        <v>0.27758606593999957</v>
      </c>
      <c r="CZ63" s="13">
        <f t="shared" si="33"/>
        <v>0</v>
      </c>
      <c r="DA63" s="13">
        <f t="shared" si="34"/>
        <v>0.17270194986072424</v>
      </c>
      <c r="DB63" s="13">
        <f t="shared" si="35"/>
        <v>8.7106814691276985E-2</v>
      </c>
      <c r="DC63" s="24">
        <f t="shared" si="36"/>
        <v>3.4363382751689563E-2</v>
      </c>
      <c r="DD63" s="13">
        <f t="shared" si="37"/>
        <v>0</v>
      </c>
      <c r="DE63" s="13">
        <f t="shared" si="38"/>
        <v>0.20932889876878516</v>
      </c>
      <c r="DF63" s="13">
        <f t="shared" si="39"/>
        <v>0.2143254805514318</v>
      </c>
      <c r="DG63" s="13">
        <f t="shared" si="40"/>
        <v>7.1941770956168674E-2</v>
      </c>
      <c r="DH63" s="13">
        <f t="shared" si="41"/>
        <v>4.3232800602294669E-3</v>
      </c>
      <c r="DI63" s="13">
        <f t="shared" si="42"/>
        <v>0</v>
      </c>
      <c r="DJ63" s="13">
        <f t="shared" si="93"/>
        <v>0.58114425797725422</v>
      </c>
      <c r="DK63" s="12">
        <f t="shared" si="94"/>
        <v>2.3428933669402352</v>
      </c>
      <c r="DL63" s="26"/>
      <c r="DM63" s="23">
        <f t="shared" si="154"/>
        <v>0.3416189330073448</v>
      </c>
      <c r="DN63" s="13">
        <f t="shared" si="154"/>
        <v>4.7654455038703735E-3</v>
      </c>
      <c r="DO63" s="13">
        <f t="shared" si="153"/>
        <v>0.11848002553463224</v>
      </c>
      <c r="DP63" s="13">
        <f t="shared" si="153"/>
        <v>0</v>
      </c>
      <c r="DQ63" s="13">
        <f t="shared" si="153"/>
        <v>7.3713107176648418E-2</v>
      </c>
      <c r="DR63" s="13">
        <f t="shared" ref="DR63:DZ91" si="295">IF(OR($DK63="",DB63=""),"",DB63/$DK63)</f>
        <v>3.7179163132394916E-2</v>
      </c>
      <c r="DS63" s="13">
        <f t="shared" si="295"/>
        <v>1.4667070741067208E-2</v>
      </c>
      <c r="DT63" s="13">
        <f t="shared" si="295"/>
        <v>0</v>
      </c>
      <c r="DU63" s="13">
        <f t="shared" si="295"/>
        <v>8.934631926597833E-2</v>
      </c>
      <c r="DV63" s="13">
        <f t="shared" si="295"/>
        <v>9.1478973638196751E-2</v>
      </c>
      <c r="DW63" s="13">
        <f t="shared" si="295"/>
        <v>3.0706378690261507E-2</v>
      </c>
      <c r="DX63" s="13">
        <f t="shared" si="295"/>
        <v>1.8452739340312236E-3</v>
      </c>
      <c r="DY63" s="13">
        <f t="shared" si="295"/>
        <v>0</v>
      </c>
      <c r="DZ63" s="13">
        <f t="shared" si="295"/>
        <v>0.24804554324903624</v>
      </c>
      <c r="EA63" s="12">
        <f t="shared" si="44"/>
        <v>1</v>
      </c>
      <c r="EB63" s="26"/>
      <c r="EC63" s="30">
        <f t="shared" si="45"/>
        <v>1323</v>
      </c>
      <c r="ED63" s="14">
        <f t="shared" si="96"/>
        <v>100000</v>
      </c>
      <c r="EE63" s="29"/>
      <c r="EF63" s="128">
        <f t="shared" si="124"/>
        <v>-8.7342365835222964</v>
      </c>
      <c r="EG63" s="13">
        <f t="shared" si="97"/>
        <v>1.5</v>
      </c>
      <c r="EH63" s="13">
        <f t="shared" si="98"/>
        <v>0.74926606198035017</v>
      </c>
      <c r="EI63" s="12">
        <f t="shared" si="46"/>
        <v>5.3414996220710531</v>
      </c>
      <c r="EJ63" s="29"/>
      <c r="EK63" s="28">
        <f t="shared" si="99"/>
        <v>-1.6236083773863696</v>
      </c>
      <c r="EL63" s="24">
        <f t="shared" si="100"/>
        <v>-0.7049971243536125</v>
      </c>
      <c r="EM63" s="24">
        <f t="shared" si="101"/>
        <v>0.19718589270367826</v>
      </c>
      <c r="EN63" s="24">
        <f t="shared" si="102"/>
        <v>4.7750911244817021E-2</v>
      </c>
      <c r="EO63" s="24">
        <f t="shared" si="103"/>
        <v>9.4158060612233533E-3</v>
      </c>
      <c r="EP63" s="24">
        <f t="shared" si="104"/>
        <v>0.28283115703760703</v>
      </c>
      <c r="EQ63" s="24">
        <f t="shared" si="105"/>
        <v>-1.6232907586596061</v>
      </c>
      <c r="ER63" s="24">
        <f t="shared" si="47"/>
        <v>-20.109295756269134</v>
      </c>
      <c r="ES63" s="25">
        <f t="shared" si="48"/>
        <v>-8.7317827860482566</v>
      </c>
      <c r="ET63" s="26">
        <v>5.4</v>
      </c>
      <c r="EU63" s="26">
        <v>0.29083888041780526</v>
      </c>
      <c r="EV63" s="26">
        <v>0.4175721048616996</v>
      </c>
      <c r="EW63" s="26">
        <v>0.28283115703760703</v>
      </c>
      <c r="EX63" s="26">
        <v>0.41529910144552984</v>
      </c>
      <c r="EY63" s="26">
        <f t="shared" si="106"/>
        <v>0.99455662054599514</v>
      </c>
      <c r="EZ63" s="26">
        <f t="shared" si="107"/>
        <v>1.028312734226567</v>
      </c>
      <c r="FA63" s="23">
        <f t="shared" si="125"/>
        <v>-1.3110173989428127</v>
      </c>
      <c r="FB63" s="190">
        <f t="shared" si="108"/>
        <v>4.6586890129813541E-2</v>
      </c>
      <c r="FC63" s="124">
        <v>6.2646889236044334E-2</v>
      </c>
      <c r="FD63" s="26"/>
      <c r="FE63" s="27">
        <f t="shared" si="109"/>
        <v>0.88818423022188309</v>
      </c>
      <c r="FF63" s="26"/>
      <c r="FG63" s="23">
        <f t="shared" si="282"/>
        <v>-4.8184368835289844</v>
      </c>
      <c r="FH63" s="13">
        <f t="shared" si="50"/>
        <v>13.584678536305912</v>
      </c>
      <c r="FI63" s="13">
        <f t="shared" si="283"/>
        <v>-21.845149910644157</v>
      </c>
      <c r="FJ63" s="13">
        <f t="shared" si="284"/>
        <v>2.5619418675681516E-2</v>
      </c>
      <c r="FK63" s="12">
        <f t="shared" si="53"/>
        <v>0.50640450437058659</v>
      </c>
      <c r="FL63" s="13"/>
      <c r="FM63" s="23">
        <f t="shared" si="285"/>
        <v>-6.0754360737468893</v>
      </c>
      <c r="FN63" s="13">
        <f t="shared" si="286"/>
        <v>11.260083247261147</v>
      </c>
      <c r="FO63" s="13">
        <f t="shared" si="287"/>
        <v>11.782461451227761</v>
      </c>
      <c r="FP63" s="24">
        <f t="shared" si="288"/>
        <v>0.4240577994633481</v>
      </c>
      <c r="FQ63" s="25">
        <f t="shared" si="289"/>
        <v>0.71026732410884841</v>
      </c>
      <c r="FR63" s="13"/>
      <c r="FS63" s="23">
        <f t="shared" si="111"/>
        <v>11.162428616436529</v>
      </c>
      <c r="FT63" s="13">
        <f t="shared" si="126"/>
        <v>-6.1574717808142205</v>
      </c>
      <c r="FU63" s="13">
        <f t="shared" si="290"/>
        <v>-0.14857276979384437</v>
      </c>
      <c r="FV63" s="13">
        <f t="shared" si="58"/>
        <v>0.41529910144552984</v>
      </c>
      <c r="FW63" s="23">
        <f t="shared" si="291"/>
        <v>-0.14865530947638561</v>
      </c>
      <c r="FX63" s="13">
        <f t="shared" si="292"/>
        <v>0.41525295202596302</v>
      </c>
      <c r="FY63" s="13">
        <f t="shared" si="293"/>
        <v>-0.14862295875832032</v>
      </c>
      <c r="FZ63" s="13">
        <f t="shared" si="116"/>
        <v>0.41527103971660229</v>
      </c>
      <c r="GA63" s="13">
        <f t="shared" si="294"/>
        <v>-0.14866362391326859</v>
      </c>
      <c r="GB63" s="12">
        <f t="shared" si="118"/>
        <v>0.41524830335731333</v>
      </c>
      <c r="GC63" s="22"/>
      <c r="GD63" s="11">
        <f t="shared" si="143"/>
        <v>1.5</v>
      </c>
      <c r="GE63" s="10">
        <f t="shared" si="144"/>
        <v>0.74926606198035017</v>
      </c>
      <c r="GF63" s="10">
        <f t="shared" si="145"/>
        <v>5.3414996220710531</v>
      </c>
      <c r="GG63" s="5">
        <f t="shared" si="146"/>
        <v>-8.7342365835222964</v>
      </c>
      <c r="GH63" s="10">
        <f t="shared" si="147"/>
        <v>0.28283115703760703</v>
      </c>
      <c r="GI63" s="9">
        <f t="shared" si="276"/>
        <v>11.162428616436529</v>
      </c>
      <c r="GJ63" s="8">
        <f t="shared" si="277"/>
        <v>-6.1574717808142205</v>
      </c>
      <c r="GK63" s="8">
        <f t="shared" si="121"/>
        <v>0.41529910144552984</v>
      </c>
      <c r="GL63" s="7">
        <f t="shared" si="122"/>
        <v>0.41525295202596302</v>
      </c>
      <c r="GM63" s="6">
        <f t="shared" si="278"/>
        <v>0.4240577994633481</v>
      </c>
      <c r="GN63" s="5">
        <f t="shared" si="279"/>
        <v>0.71026732410884841</v>
      </c>
      <c r="GO63" s="4">
        <f t="shared" si="280"/>
        <v>0.50640450437058659</v>
      </c>
      <c r="GP63" s="4">
        <f t="shared" si="151"/>
        <v>0.88818423022188309</v>
      </c>
      <c r="GQ63" s="4">
        <f t="shared" si="152"/>
        <v>4.6586890129813541E-2</v>
      </c>
      <c r="GR63" s="1"/>
    </row>
    <row r="64" spans="1:200" x14ac:dyDescent="0.4">
      <c r="A64" s="32"/>
      <c r="B64" s="33"/>
      <c r="C64" s="33"/>
      <c r="D64" s="32"/>
      <c r="E64" s="32"/>
      <c r="F64" s="20" t="s">
        <v>84</v>
      </c>
      <c r="G64" s="19">
        <v>1050</v>
      </c>
      <c r="H64" s="18">
        <v>1E-4</v>
      </c>
      <c r="I64" s="17">
        <v>1.5</v>
      </c>
      <c r="J64" s="16">
        <v>49.6</v>
      </c>
      <c r="K64" s="16">
        <v>0.92</v>
      </c>
      <c r="L64" s="16">
        <v>14.6</v>
      </c>
      <c r="M64" s="16">
        <v>0</v>
      </c>
      <c r="N64" s="16">
        <v>9</v>
      </c>
      <c r="O64" s="16">
        <v>0</v>
      </c>
      <c r="P64" s="16">
        <v>8.6999999999999993</v>
      </c>
      <c r="Q64" s="16">
        <v>12.4</v>
      </c>
      <c r="R64" s="16">
        <v>2.2999999999999998</v>
      </c>
      <c r="S64" s="16">
        <v>0.21</v>
      </c>
      <c r="T64" s="16">
        <v>0</v>
      </c>
      <c r="U64" s="15">
        <v>5.5</v>
      </c>
      <c r="V64" s="16"/>
      <c r="W64" s="28">
        <f t="shared" si="69"/>
        <v>48.048048048048045</v>
      </c>
      <c r="X64" s="24">
        <f t="shared" si="156"/>
        <v>0.8912137944396008</v>
      </c>
      <c r="Y64" s="24">
        <f t="shared" si="156"/>
        <v>14.143175433498012</v>
      </c>
      <c r="Z64" s="24">
        <f t="shared" si="155"/>
        <v>0</v>
      </c>
      <c r="AA64" s="24">
        <f t="shared" si="155"/>
        <v>8.7183958151700089</v>
      </c>
      <c r="AB64" s="24">
        <f t="shared" si="155"/>
        <v>0</v>
      </c>
      <c r="AC64" s="24">
        <f t="shared" si="155"/>
        <v>8.4277826213310085</v>
      </c>
      <c r="AD64" s="24">
        <f t="shared" si="155"/>
        <v>12.012012012012011</v>
      </c>
      <c r="AE64" s="24">
        <f t="shared" si="155"/>
        <v>2.228034486099002</v>
      </c>
      <c r="AF64" s="24">
        <f t="shared" si="155"/>
        <v>0.20342923568730018</v>
      </c>
      <c r="AG64" s="24">
        <f t="shared" si="155"/>
        <v>0</v>
      </c>
      <c r="AH64" s="24">
        <f t="shared" si="155"/>
        <v>5.3279085537150053</v>
      </c>
      <c r="AI64" s="14">
        <f t="shared" si="123"/>
        <v>99.999999999999986</v>
      </c>
      <c r="AJ64" s="26"/>
      <c r="AK64" s="50">
        <f t="shared" si="70"/>
        <v>0.7996013987027466</v>
      </c>
      <c r="AL64" s="47">
        <f t="shared" si="71"/>
        <v>1.1154115074337931E-2</v>
      </c>
      <c r="AM64" s="47">
        <f t="shared" si="72"/>
        <v>0.1387129799283838</v>
      </c>
      <c r="AN64" s="49">
        <f t="shared" si="73"/>
        <v>0</v>
      </c>
      <c r="AO64" s="49">
        <f t="shared" si="74"/>
        <v>0.12134162582004189</v>
      </c>
      <c r="AP64" s="47">
        <f t="shared" si="75"/>
        <v>0</v>
      </c>
      <c r="AQ64" s="47">
        <f t="shared" si="76"/>
        <v>0.20902238644174129</v>
      </c>
      <c r="AR64" s="47">
        <f t="shared" si="77"/>
        <v>0.2141942227534239</v>
      </c>
      <c r="AS64" s="47">
        <f t="shared" si="78"/>
        <v>3.5947636110019394E-2</v>
      </c>
      <c r="AT64" s="47">
        <f t="shared" si="79"/>
        <v>2.1595460264044603E-3</v>
      </c>
      <c r="AU64" s="47">
        <f t="shared" si="80"/>
        <v>0</v>
      </c>
      <c r="AV64" s="47">
        <f t="shared" si="81"/>
        <v>0.29566640142702583</v>
      </c>
      <c r="AW64" s="47">
        <f t="shared" si="82"/>
        <v>1.8278003122841253</v>
      </c>
      <c r="AX64" s="47">
        <f t="shared" si="83"/>
        <v>8.7037388298103327E-2</v>
      </c>
      <c r="AY64" s="46">
        <f t="shared" si="84"/>
        <v>1.7157567460350114E-2</v>
      </c>
      <c r="AZ64" s="26"/>
      <c r="BA64" s="23">
        <f t="shared" si="85"/>
        <v>0.4374664963830312</v>
      </c>
      <c r="BB64" s="13">
        <f t="shared" si="6"/>
        <v>6.1024801228965224E-3</v>
      </c>
      <c r="BC64" s="13">
        <f t="shared" si="7"/>
        <v>7.5890664311704825E-2</v>
      </c>
      <c r="BD64" s="13">
        <f t="shared" si="8"/>
        <v>0</v>
      </c>
      <c r="BE64" s="13">
        <f t="shared" si="9"/>
        <v>6.6386697170658843E-2</v>
      </c>
      <c r="BF64" s="13">
        <f t="shared" si="10"/>
        <v>4.7618652712306607E-2</v>
      </c>
      <c r="BG64" s="13">
        <f t="shared" si="11"/>
        <v>9.3870032437564383E-3</v>
      </c>
      <c r="BH64" s="13">
        <f t="shared" si="12"/>
        <v>0</v>
      </c>
      <c r="BI64" s="13">
        <f t="shared" si="13"/>
        <v>0.1143573425592289</v>
      </c>
      <c r="BJ64" s="13">
        <f t="shared" si="14"/>
        <v>0.11718688377164919</v>
      </c>
      <c r="BK64" s="13">
        <f t="shared" si="15"/>
        <v>1.9667157220854801E-2</v>
      </c>
      <c r="BL64" s="13">
        <f t="shared" si="16"/>
        <v>1.1814999767155998E-3</v>
      </c>
      <c r="BM64" s="13">
        <f t="shared" si="17"/>
        <v>0</v>
      </c>
      <c r="BN64" s="13">
        <f t="shared" si="86"/>
        <v>0.16176077848325998</v>
      </c>
      <c r="BO64" s="12">
        <f t="shared" si="87"/>
        <v>0.83823922151673991</v>
      </c>
      <c r="BP64" s="13"/>
      <c r="BQ64" s="23">
        <f t="shared" si="88"/>
        <v>1.5992027974054932</v>
      </c>
      <c r="BR64" s="13">
        <f t="shared" si="18"/>
        <v>2.2308230148675862E-2</v>
      </c>
      <c r="BS64" s="13">
        <f t="shared" si="19"/>
        <v>0.41597574804405918</v>
      </c>
      <c r="BT64" s="13">
        <f t="shared" si="20"/>
        <v>0</v>
      </c>
      <c r="BU64" s="13">
        <f t="shared" si="21"/>
        <v>0.12134162582004189</v>
      </c>
      <c r="BV64" s="13">
        <f t="shared" si="89"/>
        <v>8.7037388298103327E-2</v>
      </c>
      <c r="BW64" s="24">
        <f t="shared" si="90"/>
        <v>5.1472702381050346E-2</v>
      </c>
      <c r="BX64" s="13">
        <f t="shared" si="22"/>
        <v>0</v>
      </c>
      <c r="BY64" s="13">
        <f t="shared" si="23"/>
        <v>0.20912611963600519</v>
      </c>
      <c r="BZ64" s="13">
        <f t="shared" si="24"/>
        <v>0.21411786117668469</v>
      </c>
      <c r="CA64" s="13">
        <f t="shared" si="25"/>
        <v>3.5936040098371001E-2</v>
      </c>
      <c r="CB64" s="13">
        <f t="shared" si="26"/>
        <v>2.1595460264044603E-3</v>
      </c>
      <c r="CC64" s="13">
        <f t="shared" si="27"/>
        <v>0</v>
      </c>
      <c r="CD64" s="13">
        <f t="shared" si="91"/>
        <v>0.29566640142702583</v>
      </c>
      <c r="CE64" s="12">
        <f t="shared" si="92"/>
        <v>2.9158343697827602</v>
      </c>
      <c r="CF64" s="13"/>
      <c r="CG64" s="23">
        <f t="shared" si="281"/>
        <v>0.54845460838869231</v>
      </c>
      <c r="CH64" s="13">
        <f t="shared" si="281"/>
        <v>7.6507192520465081E-3</v>
      </c>
      <c r="CI64" s="13">
        <f t="shared" si="281"/>
        <v>0.14266096605310638</v>
      </c>
      <c r="CJ64" s="13">
        <f t="shared" si="281"/>
        <v>0</v>
      </c>
      <c r="CK64" s="13">
        <f t="shared" si="281"/>
        <v>4.161471826984544E-2</v>
      </c>
      <c r="CL64" s="13">
        <f t="shared" si="281"/>
        <v>2.9849908211551781E-2</v>
      </c>
      <c r="CM64" s="13">
        <f t="shared" si="281"/>
        <v>1.765282106366187E-2</v>
      </c>
      <c r="CN64" s="13">
        <f t="shared" si="281"/>
        <v>0</v>
      </c>
      <c r="CO64" s="13">
        <f t="shared" si="281"/>
        <v>7.1720850060350241E-2</v>
      </c>
      <c r="CP64" s="13">
        <f t="shared" si="157"/>
        <v>7.3432792821026119E-2</v>
      </c>
      <c r="CQ64" s="13">
        <f t="shared" si="157"/>
        <v>1.2324444924163631E-2</v>
      </c>
      <c r="CR64" s="13">
        <f t="shared" si="157"/>
        <v>7.4062712504666508E-4</v>
      </c>
      <c r="CS64" s="13">
        <f t="shared" si="157"/>
        <v>0</v>
      </c>
      <c r="CT64" s="13">
        <f t="shared" si="157"/>
        <v>0.10140027310572308</v>
      </c>
      <c r="CU64" s="12">
        <f t="shared" si="29"/>
        <v>1.0000000000000004</v>
      </c>
      <c r="CV64" s="26"/>
      <c r="CW64" s="23">
        <f t="shared" si="30"/>
        <v>0.7996013987027466</v>
      </c>
      <c r="CX64" s="13">
        <f t="shared" si="31"/>
        <v>1.1154115074337931E-2</v>
      </c>
      <c r="CY64" s="13">
        <f t="shared" si="32"/>
        <v>0.27731716536270612</v>
      </c>
      <c r="CZ64" s="13">
        <f t="shared" si="33"/>
        <v>0</v>
      </c>
      <c r="DA64" s="13">
        <f t="shared" si="34"/>
        <v>0.17270194986072424</v>
      </c>
      <c r="DB64" s="13">
        <f t="shared" si="35"/>
        <v>8.7037388298103327E-2</v>
      </c>
      <c r="DC64" s="24">
        <f t="shared" si="36"/>
        <v>3.4315134920700228E-2</v>
      </c>
      <c r="DD64" s="13">
        <f t="shared" si="37"/>
        <v>0</v>
      </c>
      <c r="DE64" s="13">
        <f t="shared" si="38"/>
        <v>0.20912611963600519</v>
      </c>
      <c r="DF64" s="13">
        <f t="shared" si="39"/>
        <v>0.21411786117668469</v>
      </c>
      <c r="DG64" s="13">
        <f t="shared" si="40"/>
        <v>7.1872080196742003E-2</v>
      </c>
      <c r="DH64" s="13">
        <f t="shared" si="41"/>
        <v>4.3190920528089205E-3</v>
      </c>
      <c r="DI64" s="13">
        <f t="shared" si="42"/>
        <v>0</v>
      </c>
      <c r="DJ64" s="13">
        <f t="shared" si="93"/>
        <v>0.59133280285405165</v>
      </c>
      <c r="DK64" s="12">
        <f t="shared" si="94"/>
        <v>2.3515425849168077</v>
      </c>
      <c r="DL64" s="26"/>
      <c r="DM64" s="23">
        <f t="shared" si="154"/>
        <v>0.34003271037127941</v>
      </c>
      <c r="DN64" s="13">
        <f t="shared" si="154"/>
        <v>4.7433183417057018E-3</v>
      </c>
      <c r="DO64" s="13">
        <f t="shared" si="154"/>
        <v>0.11792989297385698</v>
      </c>
      <c r="DP64" s="13">
        <f t="shared" si="154"/>
        <v>0</v>
      </c>
      <c r="DQ64" s="13">
        <f t="shared" si="154"/>
        <v>7.3441982708909365E-2</v>
      </c>
      <c r="DR64" s="13">
        <f t="shared" si="295"/>
        <v>3.7012890541032885E-2</v>
      </c>
      <c r="DS64" s="13">
        <f t="shared" si="295"/>
        <v>1.4592606207007823E-2</v>
      </c>
      <c r="DT64" s="13">
        <f t="shared" si="295"/>
        <v>0</v>
      </c>
      <c r="DU64" s="13">
        <f t="shared" si="295"/>
        <v>8.8931461831640024E-2</v>
      </c>
      <c r="DV64" s="13">
        <f t="shared" si="295"/>
        <v>9.1054213753164803E-2</v>
      </c>
      <c r="DW64" s="13">
        <f t="shared" si="295"/>
        <v>3.0563801250184323E-2</v>
      </c>
      <c r="DX64" s="13">
        <f t="shared" si="295"/>
        <v>1.8367058629991683E-3</v>
      </c>
      <c r="DY64" s="13">
        <f t="shared" si="295"/>
        <v>0</v>
      </c>
      <c r="DZ64" s="13">
        <f t="shared" si="295"/>
        <v>0.25146591290626008</v>
      </c>
      <c r="EA64" s="12">
        <f t="shared" si="44"/>
        <v>1</v>
      </c>
      <c r="EB64" s="26"/>
      <c r="EC64" s="30">
        <f t="shared" si="45"/>
        <v>1323</v>
      </c>
      <c r="ED64" s="14">
        <f t="shared" si="96"/>
        <v>100000</v>
      </c>
      <c r="EE64" s="29"/>
      <c r="EF64" s="128">
        <f t="shared" si="124"/>
        <v>-8.7342365835222964</v>
      </c>
      <c r="EG64" s="13">
        <f t="shared" si="97"/>
        <v>1.5</v>
      </c>
      <c r="EH64" s="13">
        <f t="shared" si="98"/>
        <v>0.74926606198035017</v>
      </c>
      <c r="EI64" s="12">
        <f t="shared" si="46"/>
        <v>5.3414996220710531</v>
      </c>
      <c r="EJ64" s="29"/>
      <c r="EK64" s="28">
        <f t="shared" si="99"/>
        <v>-1.6242160679963622</v>
      </c>
      <c r="EL64" s="24">
        <f t="shared" si="100"/>
        <v>-0.70526099348517679</v>
      </c>
      <c r="EM64" s="24">
        <f t="shared" si="101"/>
        <v>0.19706610109006509</v>
      </c>
      <c r="EN64" s="24">
        <f t="shared" si="102"/>
        <v>4.7618652712306614E-2</v>
      </c>
      <c r="EO64" s="24">
        <f t="shared" si="103"/>
        <v>9.3840222291761179E-3</v>
      </c>
      <c r="EP64" s="24">
        <f t="shared" si="104"/>
        <v>0.28270791074461243</v>
      </c>
      <c r="EQ64" s="24">
        <f t="shared" si="105"/>
        <v>-1.6238984492695983</v>
      </c>
      <c r="ER64" s="24">
        <f t="shared" si="47"/>
        <v>-20.10929575626913</v>
      </c>
      <c r="ES64" s="25">
        <f t="shared" si="48"/>
        <v>-8.7317827860482549</v>
      </c>
      <c r="ET64" s="26">
        <v>5.5</v>
      </c>
      <c r="EU64" s="26">
        <v>0.29083888041780526</v>
      </c>
      <c r="EV64" s="26">
        <v>0.41996423594286814</v>
      </c>
      <c r="EW64" s="26">
        <v>0.28270791074461243</v>
      </c>
      <c r="EX64" s="26">
        <v>0.41765952260447392</v>
      </c>
      <c r="EY64" s="26">
        <f t="shared" si="106"/>
        <v>0.99451211998274125</v>
      </c>
      <c r="EZ64" s="26">
        <f t="shared" si="107"/>
        <v>1.028761026360306</v>
      </c>
      <c r="FA64" s="23">
        <f t="shared" si="125"/>
        <v>-1.3131287323718048</v>
      </c>
      <c r="FB64" s="190">
        <f t="shared" si="108"/>
        <v>4.6371433309486121E-2</v>
      </c>
      <c r="FC64" s="124">
        <v>6.2646889236044334E-2</v>
      </c>
      <c r="FD64" s="26"/>
      <c r="FE64" s="27">
        <f t="shared" si="109"/>
        <v>0.88818423022188309</v>
      </c>
      <c r="FF64" s="26"/>
      <c r="FG64" s="23">
        <f t="shared" si="282"/>
        <v>-4.8363315570125263</v>
      </c>
      <c r="FH64" s="13">
        <f t="shared" si="50"/>
        <v>13.55849526359156</v>
      </c>
      <c r="FI64" s="13">
        <f t="shared" si="283"/>
        <v>-21.845149910644157</v>
      </c>
      <c r="FJ64" s="13">
        <f t="shared" si="284"/>
        <v>1.7330819444879353E-2</v>
      </c>
      <c r="FK64" s="12">
        <f t="shared" si="53"/>
        <v>0.50433259641784822</v>
      </c>
      <c r="FL64" s="13"/>
      <c r="FM64" s="23">
        <f t="shared" si="285"/>
        <v>-6.0760956539204436</v>
      </c>
      <c r="FN64" s="13">
        <f t="shared" si="286"/>
        <v>11.256204640987022</v>
      </c>
      <c r="FO64" s="13">
        <f t="shared" si="287"/>
        <v>11.778658575564236</v>
      </c>
      <c r="FP64" s="24">
        <f t="shared" si="288"/>
        <v>0.42224855286325869</v>
      </c>
      <c r="FQ64" s="25">
        <f t="shared" si="289"/>
        <v>0.70877563009133993</v>
      </c>
      <c r="FR64" s="13"/>
      <c r="FS64" s="23">
        <f t="shared" si="111"/>
        <v>11.168254125140777</v>
      </c>
      <c r="FT64" s="13">
        <f t="shared" si="126"/>
        <v>-6.1558644514858711</v>
      </c>
      <c r="FU64" s="13">
        <f t="shared" si="290"/>
        <v>-0.14435459041794374</v>
      </c>
      <c r="FV64" s="13">
        <f t="shared" si="58"/>
        <v>0.41765952260447392</v>
      </c>
      <c r="FW64" s="23">
        <f t="shared" si="291"/>
        <v>-0.14443713010048498</v>
      </c>
      <c r="FX64" s="13">
        <f t="shared" si="292"/>
        <v>0.41761329822911286</v>
      </c>
      <c r="FY64" s="13">
        <f t="shared" si="293"/>
        <v>-0.14440477938241969</v>
      </c>
      <c r="FZ64" s="13">
        <f t="shared" si="116"/>
        <v>0.41763141530268466</v>
      </c>
      <c r="GA64" s="13">
        <f t="shared" si="294"/>
        <v>-0.14444544453736796</v>
      </c>
      <c r="GB64" s="12">
        <f t="shared" si="118"/>
        <v>0.41760864200780556</v>
      </c>
      <c r="GC64" s="22"/>
      <c r="GD64" s="11">
        <f t="shared" si="143"/>
        <v>1.5</v>
      </c>
      <c r="GE64" s="10">
        <f t="shared" si="144"/>
        <v>0.74926606198035017</v>
      </c>
      <c r="GF64" s="10">
        <f t="shared" si="145"/>
        <v>5.3414996220710531</v>
      </c>
      <c r="GG64" s="5">
        <f t="shared" si="146"/>
        <v>-8.7342365835222964</v>
      </c>
      <c r="GH64" s="10">
        <f t="shared" si="147"/>
        <v>0.28270791074461243</v>
      </c>
      <c r="GI64" s="9">
        <f t="shared" si="276"/>
        <v>11.168254125140777</v>
      </c>
      <c r="GJ64" s="8">
        <f t="shared" si="277"/>
        <v>-6.1558644514858711</v>
      </c>
      <c r="GK64" s="8">
        <f t="shared" si="121"/>
        <v>0.41765952260447392</v>
      </c>
      <c r="GL64" s="7">
        <f t="shared" si="122"/>
        <v>0.41761329822911286</v>
      </c>
      <c r="GM64" s="6">
        <f t="shared" si="278"/>
        <v>0.42224855286325869</v>
      </c>
      <c r="GN64" s="5">
        <f t="shared" si="279"/>
        <v>0.70877563009133993</v>
      </c>
      <c r="GO64" s="4">
        <f t="shared" si="280"/>
        <v>0.50433259641784822</v>
      </c>
      <c r="GP64" s="4">
        <f t="shared" si="151"/>
        <v>0.88818423022188309</v>
      </c>
      <c r="GQ64" s="4">
        <f t="shared" si="152"/>
        <v>4.6371433309486121E-2</v>
      </c>
      <c r="GR64" s="1"/>
    </row>
    <row r="65" spans="1:200" x14ac:dyDescent="0.4">
      <c r="A65" s="32"/>
      <c r="B65" s="33"/>
      <c r="C65" s="33"/>
      <c r="D65" s="32"/>
      <c r="E65" s="32"/>
      <c r="F65" s="20" t="s">
        <v>84</v>
      </c>
      <c r="G65" s="19">
        <v>1050</v>
      </c>
      <c r="H65" s="18">
        <v>1E-4</v>
      </c>
      <c r="I65" s="17">
        <v>1.5</v>
      </c>
      <c r="J65" s="16">
        <v>49.6</v>
      </c>
      <c r="K65" s="16">
        <v>0.92</v>
      </c>
      <c r="L65" s="16">
        <v>14.6</v>
      </c>
      <c r="M65" s="16">
        <v>0</v>
      </c>
      <c r="N65" s="16">
        <v>9</v>
      </c>
      <c r="O65" s="16">
        <v>0</v>
      </c>
      <c r="P65" s="16">
        <v>8.6999999999999993</v>
      </c>
      <c r="Q65" s="16">
        <v>12.4</v>
      </c>
      <c r="R65" s="16">
        <v>2.2999999999999998</v>
      </c>
      <c r="S65" s="16">
        <v>0.21</v>
      </c>
      <c r="T65" s="16">
        <v>0</v>
      </c>
      <c r="U65" s="15">
        <v>5.6</v>
      </c>
      <c r="V65" s="16"/>
      <c r="W65" s="28">
        <f t="shared" si="69"/>
        <v>48.00154843704636</v>
      </c>
      <c r="X65" s="24">
        <f t="shared" si="156"/>
        <v>0.89035130165489218</v>
      </c>
      <c r="Y65" s="24">
        <f t="shared" si="156"/>
        <v>14.129488048001548</v>
      </c>
      <c r="Z65" s="24">
        <f t="shared" si="155"/>
        <v>0</v>
      </c>
      <c r="AA65" s="24">
        <f t="shared" si="155"/>
        <v>8.7099583857543799</v>
      </c>
      <c r="AB65" s="24">
        <f t="shared" si="155"/>
        <v>0</v>
      </c>
      <c r="AC65" s="24">
        <f t="shared" si="155"/>
        <v>8.4196264395625668</v>
      </c>
      <c r="AD65" s="24">
        <f t="shared" si="155"/>
        <v>12.00038710926159</v>
      </c>
      <c r="AE65" s="24">
        <f t="shared" si="155"/>
        <v>2.2258782541372302</v>
      </c>
      <c r="AF65" s="24">
        <f t="shared" si="155"/>
        <v>0.20323236233426886</v>
      </c>
      <c r="AG65" s="24">
        <f t="shared" si="155"/>
        <v>0</v>
      </c>
      <c r="AH65" s="24">
        <f t="shared" si="155"/>
        <v>5.4195296622471689</v>
      </c>
      <c r="AI65" s="14">
        <f t="shared" si="123"/>
        <v>100</v>
      </c>
      <c r="AJ65" s="26"/>
      <c r="AK65" s="50">
        <f t="shared" si="70"/>
        <v>0.7988275659352031</v>
      </c>
      <c r="AL65" s="47">
        <f t="shared" si="71"/>
        <v>1.1143320421212667E-2</v>
      </c>
      <c r="AM65" s="47">
        <f t="shared" si="72"/>
        <v>0.13857873723030156</v>
      </c>
      <c r="AN65" s="49">
        <f t="shared" si="73"/>
        <v>0</v>
      </c>
      <c r="AO65" s="49">
        <f t="shared" si="74"/>
        <v>0.12122419465211386</v>
      </c>
      <c r="AP65" s="47">
        <f t="shared" si="75"/>
        <v>0</v>
      </c>
      <c r="AQ65" s="47">
        <f t="shared" si="76"/>
        <v>0.20882010018756367</v>
      </c>
      <c r="AR65" s="47">
        <f t="shared" si="77"/>
        <v>0.21398693133490709</v>
      </c>
      <c r="AS65" s="47">
        <f t="shared" si="78"/>
        <v>3.5912846952843344E-2</v>
      </c>
      <c r="AT65" s="47">
        <f t="shared" si="79"/>
        <v>2.157456075735338E-3</v>
      </c>
      <c r="AU65" s="47">
        <f t="shared" si="80"/>
        <v>0</v>
      </c>
      <c r="AV65" s="47">
        <f t="shared" si="81"/>
        <v>0.30075081366521472</v>
      </c>
      <c r="AW65" s="47">
        <f t="shared" si="82"/>
        <v>1.8314019664550956</v>
      </c>
      <c r="AX65" s="47">
        <f t="shared" si="83"/>
        <v>8.6968004747382213E-2</v>
      </c>
      <c r="AY65" s="46">
        <f t="shared" si="84"/>
        <v>1.7133536020123241E-2</v>
      </c>
      <c r="AZ65" s="26"/>
      <c r="BA65" s="23">
        <f t="shared" si="85"/>
        <v>0.43618363448709863</v>
      </c>
      <c r="BB65" s="13">
        <f t="shared" si="6"/>
        <v>6.0845847199683519E-3</v>
      </c>
      <c r="BC65" s="13">
        <f t="shared" si="7"/>
        <v>7.5668116431335822E-2</v>
      </c>
      <c r="BD65" s="13">
        <f t="shared" si="8"/>
        <v>0</v>
      </c>
      <c r="BE65" s="13">
        <f t="shared" si="9"/>
        <v>6.6192019486993478E-2</v>
      </c>
      <c r="BF65" s="13">
        <f t="shared" si="10"/>
        <v>4.7487119889752828E-2</v>
      </c>
      <c r="BG65" s="13">
        <f t="shared" si="11"/>
        <v>9.3554207836127386E-3</v>
      </c>
      <c r="BH65" s="13">
        <f t="shared" si="12"/>
        <v>0</v>
      </c>
      <c r="BI65" s="13">
        <f t="shared" si="13"/>
        <v>0.11402199190151616</v>
      </c>
      <c r="BJ65" s="13">
        <f t="shared" si="14"/>
        <v>0.11684323553998645</v>
      </c>
      <c r="BK65" s="13">
        <f t="shared" si="15"/>
        <v>1.9609483669146152E-2</v>
      </c>
      <c r="BL65" s="13">
        <f t="shared" si="16"/>
        <v>1.1780352512732967E-3</v>
      </c>
      <c r="BM65" s="13">
        <f t="shared" si="17"/>
        <v>0</v>
      </c>
      <c r="BN65" s="13">
        <f t="shared" si="86"/>
        <v>0.16421889851268154</v>
      </c>
      <c r="BO65" s="12">
        <f t="shared" si="87"/>
        <v>0.83578110148731832</v>
      </c>
      <c r="BP65" s="13"/>
      <c r="BQ65" s="23">
        <f t="shared" si="88"/>
        <v>1.5976551318704062</v>
      </c>
      <c r="BR65" s="13">
        <f t="shared" si="18"/>
        <v>2.2286640842425334E-2</v>
      </c>
      <c r="BS65" s="13">
        <f t="shared" si="19"/>
        <v>0.41557317788239845</v>
      </c>
      <c r="BT65" s="13">
        <f t="shared" si="20"/>
        <v>0</v>
      </c>
      <c r="BU65" s="13">
        <f t="shared" si="21"/>
        <v>0.12122419465211386</v>
      </c>
      <c r="BV65" s="13">
        <f t="shared" si="89"/>
        <v>8.6968004747382213E-2</v>
      </c>
      <c r="BW65" s="24">
        <f t="shared" si="90"/>
        <v>5.1400608060369724E-2</v>
      </c>
      <c r="BX65" s="13">
        <f t="shared" si="22"/>
        <v>0</v>
      </c>
      <c r="BY65" s="13">
        <f t="shared" si="23"/>
        <v>0.20892373299162698</v>
      </c>
      <c r="BZ65" s="13">
        <f t="shared" si="24"/>
        <v>0.21391064365885187</v>
      </c>
      <c r="CA65" s="13">
        <f t="shared" si="25"/>
        <v>3.5901262163503714E-2</v>
      </c>
      <c r="CB65" s="13">
        <f t="shared" si="26"/>
        <v>2.157456075735338E-3</v>
      </c>
      <c r="CC65" s="13">
        <f t="shared" si="27"/>
        <v>0</v>
      </c>
      <c r="CD65" s="13">
        <f t="shared" si="91"/>
        <v>0.30075081366521472</v>
      </c>
      <c r="CE65" s="12">
        <f t="shared" si="92"/>
        <v>2.9183830538022764</v>
      </c>
      <c r="CF65" s="13"/>
      <c r="CG65" s="23">
        <f t="shared" si="281"/>
        <v>0.54744531557941578</v>
      </c>
      <c r="CH65" s="13">
        <f t="shared" si="281"/>
        <v>7.6366400268767726E-3</v>
      </c>
      <c r="CI65" s="13">
        <f t="shared" si="281"/>
        <v>0.14239843441420763</v>
      </c>
      <c r="CJ65" s="13">
        <f t="shared" si="281"/>
        <v>0</v>
      </c>
      <c r="CK65" s="13">
        <f t="shared" si="281"/>
        <v>4.1538136844022029E-2</v>
      </c>
      <c r="CL65" s="13">
        <f t="shared" si="281"/>
        <v>2.9800065016850386E-2</v>
      </c>
      <c r="CM65" s="13">
        <f t="shared" si="281"/>
        <v>1.7612700976111194E-2</v>
      </c>
      <c r="CN65" s="13">
        <f t="shared" si="281"/>
        <v>0</v>
      </c>
      <c r="CO65" s="13">
        <f t="shared" si="281"/>
        <v>7.1588865868524809E-2</v>
      </c>
      <c r="CP65" s="13">
        <f t="shared" si="157"/>
        <v>7.3297658228981946E-2</v>
      </c>
      <c r="CQ65" s="13">
        <f t="shared" si="157"/>
        <v>1.2301764882005123E-2</v>
      </c>
      <c r="CR65" s="13">
        <f t="shared" si="157"/>
        <v>7.3926418703824752E-4</v>
      </c>
      <c r="CS65" s="13">
        <f t="shared" si="157"/>
        <v>0</v>
      </c>
      <c r="CT65" s="13">
        <f t="shared" si="157"/>
        <v>0.10305391996892774</v>
      </c>
      <c r="CU65" s="12">
        <f t="shared" si="29"/>
        <v>1</v>
      </c>
      <c r="CV65" s="26"/>
      <c r="CW65" s="23">
        <f t="shared" si="30"/>
        <v>0.7988275659352031</v>
      </c>
      <c r="CX65" s="13">
        <f t="shared" si="31"/>
        <v>1.1143320421212667E-2</v>
      </c>
      <c r="CY65" s="13">
        <f t="shared" si="32"/>
        <v>0.27704878525493232</v>
      </c>
      <c r="CZ65" s="13">
        <f t="shared" si="33"/>
        <v>0</v>
      </c>
      <c r="DA65" s="13">
        <f t="shared" si="34"/>
        <v>0.17270194986072424</v>
      </c>
      <c r="DB65" s="13">
        <f t="shared" si="35"/>
        <v>8.6968004747382213E-2</v>
      </c>
      <c r="DC65" s="24">
        <f t="shared" si="36"/>
        <v>3.4267072040246482E-2</v>
      </c>
      <c r="DD65" s="13">
        <f t="shared" si="37"/>
        <v>0</v>
      </c>
      <c r="DE65" s="13">
        <f t="shared" si="38"/>
        <v>0.20892373299162698</v>
      </c>
      <c r="DF65" s="13">
        <f t="shared" si="39"/>
        <v>0.21391064365885187</v>
      </c>
      <c r="DG65" s="13">
        <f t="shared" si="40"/>
        <v>7.1802524327007428E-2</v>
      </c>
      <c r="DH65" s="13">
        <f t="shared" si="41"/>
        <v>4.314912151470676E-3</v>
      </c>
      <c r="DI65" s="13">
        <f t="shared" si="42"/>
        <v>0</v>
      </c>
      <c r="DJ65" s="13">
        <f t="shared" si="93"/>
        <v>0.60150162733042944</v>
      </c>
      <c r="DK65" s="12">
        <f t="shared" si="94"/>
        <v>2.360175061931459</v>
      </c>
      <c r="DL65" s="26"/>
      <c r="DM65" s="23">
        <f t="shared" si="154"/>
        <v>0.33846115011548306</v>
      </c>
      <c r="DN65" s="13">
        <f t="shared" si="154"/>
        <v>4.7213957137965373E-3</v>
      </c>
      <c r="DO65" s="13">
        <f t="shared" si="154"/>
        <v>0.11738484560895593</v>
      </c>
      <c r="DP65" s="13">
        <f t="shared" si="154"/>
        <v>0</v>
      </c>
      <c r="DQ65" s="13">
        <f t="shared" si="154"/>
        <v>7.3173364402635832E-2</v>
      </c>
      <c r="DR65" s="13">
        <f t="shared" si="295"/>
        <v>3.6848116120764191E-2</v>
      </c>
      <c r="DS65" s="13">
        <f t="shared" si="295"/>
        <v>1.451886878772623E-2</v>
      </c>
      <c r="DT65" s="13">
        <f t="shared" si="295"/>
        <v>0</v>
      </c>
      <c r="DU65" s="13">
        <f t="shared" si="295"/>
        <v>8.8520439166344458E-2</v>
      </c>
      <c r="DV65" s="13">
        <f t="shared" si="295"/>
        <v>9.0633380171298489E-2</v>
      </c>
      <c r="DW65" s="13">
        <f t="shared" si="295"/>
        <v>3.0422541736479299E-2</v>
      </c>
      <c r="DX65" s="13">
        <f t="shared" si="295"/>
        <v>1.8282169916410988E-3</v>
      </c>
      <c r="DY65" s="13">
        <f t="shared" si="295"/>
        <v>0</v>
      </c>
      <c r="DZ65" s="13">
        <f t="shared" si="295"/>
        <v>0.25485466609336516</v>
      </c>
      <c r="EA65" s="12">
        <f t="shared" si="44"/>
        <v>1</v>
      </c>
      <c r="EB65" s="26"/>
      <c r="EC65" s="30">
        <f t="shared" si="45"/>
        <v>1323</v>
      </c>
      <c r="ED65" s="14">
        <f t="shared" si="96"/>
        <v>100000</v>
      </c>
      <c r="EE65" s="29"/>
      <c r="EF65" s="128">
        <f t="shared" si="124"/>
        <v>-8.7342365835222964</v>
      </c>
      <c r="EG65" s="13">
        <f t="shared" si="97"/>
        <v>1.5</v>
      </c>
      <c r="EH65" s="13">
        <f t="shared" si="98"/>
        <v>0.74926606198035017</v>
      </c>
      <c r="EI65" s="12">
        <f t="shared" si="46"/>
        <v>5.3414996220710531</v>
      </c>
      <c r="EJ65" s="29"/>
      <c r="EK65" s="28">
        <f t="shared" si="99"/>
        <v>-1.6248201945248331</v>
      </c>
      <c r="EL65" s="24">
        <f t="shared" si="100"/>
        <v>-0.70552331503466481</v>
      </c>
      <c r="EM65" s="24">
        <f t="shared" si="101"/>
        <v>0.19694708418478896</v>
      </c>
      <c r="EN65" s="24">
        <f t="shared" si="102"/>
        <v>4.7487119889752842E-2</v>
      </c>
      <c r="EO65" s="24">
        <f t="shared" si="103"/>
        <v>9.3524497986203197E-3</v>
      </c>
      <c r="EP65" s="24">
        <f t="shared" si="104"/>
        <v>0.28258541954466421</v>
      </c>
      <c r="EQ65" s="24">
        <f t="shared" si="105"/>
        <v>-1.6245025757980689</v>
      </c>
      <c r="ER65" s="24">
        <f t="shared" si="47"/>
        <v>-20.10929575626913</v>
      </c>
      <c r="ES65" s="25">
        <f t="shared" si="48"/>
        <v>-8.7317827860482549</v>
      </c>
      <c r="ET65" s="26">
        <v>5.6</v>
      </c>
      <c r="EU65" s="26">
        <v>0.29083888041780526</v>
      </c>
      <c r="EV65" s="26">
        <v>0.42235043124864546</v>
      </c>
      <c r="EW65" s="26">
        <v>0.28258541954466421</v>
      </c>
      <c r="EX65" s="26">
        <v>0.42001442429738578</v>
      </c>
      <c r="EY65" s="26">
        <f t="shared" si="106"/>
        <v>0.9944690314524991</v>
      </c>
      <c r="EZ65" s="26">
        <f t="shared" si="107"/>
        <v>1.0292069593910402</v>
      </c>
      <c r="FA65" s="23">
        <f t="shared" si="125"/>
        <v>-1.3152276829132923</v>
      </c>
      <c r="FB65" s="190">
        <f t="shared" si="108"/>
        <v>4.6158180028941787E-2</v>
      </c>
      <c r="FC65" s="124">
        <v>6.2646889236044334E-2</v>
      </c>
      <c r="FD65" s="26"/>
      <c r="FE65" s="27">
        <f t="shared" si="109"/>
        <v>0.88818423022188309</v>
      </c>
      <c r="FF65" s="26"/>
      <c r="FG65" s="23">
        <f t="shared" si="282"/>
        <v>-4.8540604135808367</v>
      </c>
      <c r="FH65" s="13">
        <f t="shared" si="50"/>
        <v>13.532553534433571</v>
      </c>
      <c r="FI65" s="13">
        <f t="shared" si="283"/>
        <v>-21.845149910644157</v>
      </c>
      <c r="FJ65" s="13">
        <f t="shared" si="284"/>
        <v>9.117946855198511E-3</v>
      </c>
      <c r="FK65" s="12">
        <f t="shared" si="53"/>
        <v>0.50227947092146552</v>
      </c>
      <c r="FL65" s="13"/>
      <c r="FM65" s="23">
        <f t="shared" si="285"/>
        <v>-6.0767534048198222</v>
      </c>
      <c r="FN65" s="13">
        <f t="shared" si="286"/>
        <v>11.252340309912199</v>
      </c>
      <c r="FO65" s="13">
        <f t="shared" si="287"/>
        <v>11.774869696373742</v>
      </c>
      <c r="FP65" s="24">
        <f t="shared" si="288"/>
        <v>0.4204483734651151</v>
      </c>
      <c r="FQ65" s="25">
        <f t="shared" si="289"/>
        <v>0.70728522147131678</v>
      </c>
      <c r="FR65" s="13"/>
      <c r="FS65" s="23">
        <f t="shared" si="111"/>
        <v>11.17405819307686</v>
      </c>
      <c r="FT65" s="13">
        <f t="shared" si="126"/>
        <v>-6.1542619865789154</v>
      </c>
      <c r="FU65" s="13">
        <f t="shared" si="290"/>
        <v>-0.14015298738881654</v>
      </c>
      <c r="FV65" s="13">
        <f t="shared" si="58"/>
        <v>0.42001442429738578</v>
      </c>
      <c r="FW65" s="23">
        <f t="shared" si="291"/>
        <v>-0.14023552707135778</v>
      </c>
      <c r="FX65" s="13">
        <f t="shared" si="292"/>
        <v>0.41996812725179311</v>
      </c>
      <c r="FY65" s="13">
        <f t="shared" si="293"/>
        <v>-0.14020317635329249</v>
      </c>
      <c r="FZ65" s="13">
        <f t="shared" si="116"/>
        <v>0.41998627281250378</v>
      </c>
      <c r="GA65" s="13">
        <f t="shared" si="294"/>
        <v>-0.14024384150824076</v>
      </c>
      <c r="GB65" s="12">
        <f t="shared" si="118"/>
        <v>0.41996346370805326</v>
      </c>
      <c r="GC65" s="22"/>
      <c r="GD65" s="11">
        <f t="shared" si="143"/>
        <v>1.5</v>
      </c>
      <c r="GE65" s="10">
        <f t="shared" si="144"/>
        <v>0.74926606198035017</v>
      </c>
      <c r="GF65" s="10">
        <f t="shared" si="145"/>
        <v>5.3414996220710531</v>
      </c>
      <c r="GG65" s="5">
        <f t="shared" si="146"/>
        <v>-8.7342365835222964</v>
      </c>
      <c r="GH65" s="10">
        <f t="shared" si="147"/>
        <v>0.28258541954466421</v>
      </c>
      <c r="GI65" s="9">
        <f t="shared" si="276"/>
        <v>11.17405819307686</v>
      </c>
      <c r="GJ65" s="8">
        <f t="shared" si="277"/>
        <v>-6.1542619865789154</v>
      </c>
      <c r="GK65" s="8">
        <f t="shared" si="121"/>
        <v>0.42001442429738578</v>
      </c>
      <c r="GL65" s="7">
        <f t="shared" si="122"/>
        <v>0.41996812725179311</v>
      </c>
      <c r="GM65" s="6">
        <f t="shared" si="278"/>
        <v>0.4204483734651151</v>
      </c>
      <c r="GN65" s="5">
        <f t="shared" si="279"/>
        <v>0.70728522147131678</v>
      </c>
      <c r="GO65" s="4">
        <f t="shared" si="280"/>
        <v>0.50227947092146552</v>
      </c>
      <c r="GP65" s="4">
        <f t="shared" si="151"/>
        <v>0.88818423022188309</v>
      </c>
      <c r="GQ65" s="4">
        <f t="shared" si="152"/>
        <v>4.6158180028941787E-2</v>
      </c>
      <c r="GR65" s="1"/>
    </row>
    <row r="66" spans="1:200" x14ac:dyDescent="0.4">
      <c r="A66" s="32"/>
      <c r="B66" s="33"/>
      <c r="C66" s="33"/>
      <c r="D66" s="32"/>
      <c r="E66" s="32"/>
      <c r="F66" s="20" t="s">
        <v>84</v>
      </c>
      <c r="G66" s="19">
        <v>1050</v>
      </c>
      <c r="H66" s="18">
        <v>1E-4</v>
      </c>
      <c r="I66" s="17">
        <v>1.5</v>
      </c>
      <c r="J66" s="16">
        <v>49.6</v>
      </c>
      <c r="K66" s="16">
        <v>0.92</v>
      </c>
      <c r="L66" s="16">
        <v>14.6</v>
      </c>
      <c r="M66" s="16">
        <v>0</v>
      </c>
      <c r="N66" s="16">
        <v>9</v>
      </c>
      <c r="O66" s="16">
        <v>0</v>
      </c>
      <c r="P66" s="16">
        <v>8.6999999999999993</v>
      </c>
      <c r="Q66" s="16">
        <v>12.4</v>
      </c>
      <c r="R66" s="16">
        <v>2.2999999999999998</v>
      </c>
      <c r="S66" s="16">
        <v>0.21</v>
      </c>
      <c r="T66" s="16">
        <v>0</v>
      </c>
      <c r="U66" s="15">
        <v>5.7</v>
      </c>
      <c r="V66" s="16"/>
      <c r="W66" s="28">
        <f t="shared" si="69"/>
        <v>47.955138741177606</v>
      </c>
      <c r="X66" s="24">
        <f t="shared" si="156"/>
        <v>0.88949047665087488</v>
      </c>
      <c r="Y66" s="24">
        <f t="shared" si="156"/>
        <v>14.115827129459538</v>
      </c>
      <c r="Z66" s="24">
        <f t="shared" si="155"/>
        <v>0</v>
      </c>
      <c r="AA66" s="24">
        <f t="shared" si="155"/>
        <v>8.7015372715846464</v>
      </c>
      <c r="AB66" s="24">
        <f t="shared" si="155"/>
        <v>0</v>
      </c>
      <c r="AC66" s="24">
        <f t="shared" si="155"/>
        <v>8.4114860291984908</v>
      </c>
      <c r="AD66" s="24">
        <f t="shared" si="155"/>
        <v>11.988784685294402</v>
      </c>
      <c r="AE66" s="24">
        <f t="shared" si="155"/>
        <v>2.2237261916271871</v>
      </c>
      <c r="AF66" s="24">
        <f t="shared" si="155"/>
        <v>0.2030358696703084</v>
      </c>
      <c r="AG66" s="24">
        <f t="shared" si="155"/>
        <v>0</v>
      </c>
      <c r="AH66" s="24">
        <f t="shared" si="155"/>
        <v>5.5109736053369422</v>
      </c>
      <c r="AI66" s="14">
        <f t="shared" si="123"/>
        <v>100</v>
      </c>
      <c r="AJ66" s="26"/>
      <c r="AK66" s="50">
        <f t="shared" si="70"/>
        <v>0.79805522950869701</v>
      </c>
      <c r="AL66" s="47">
        <f t="shared" si="71"/>
        <v>1.1132546641437733E-2</v>
      </c>
      <c r="AM66" s="47">
        <f t="shared" si="72"/>
        <v>0.13844475411396173</v>
      </c>
      <c r="AN66" s="49">
        <f t="shared" si="73"/>
        <v>0</v>
      </c>
      <c r="AO66" s="49">
        <f t="shared" si="74"/>
        <v>0.12110699055789349</v>
      </c>
      <c r="AP66" s="47">
        <f t="shared" si="75"/>
        <v>0</v>
      </c>
      <c r="AQ66" s="47">
        <f t="shared" si="76"/>
        <v>0.20861820508924828</v>
      </c>
      <c r="AR66" s="47">
        <f t="shared" si="77"/>
        <v>0.21378004075061344</v>
      </c>
      <c r="AS66" s="47">
        <f t="shared" si="78"/>
        <v>3.5878125066589016E-2</v>
      </c>
      <c r="AT66" s="47">
        <f t="shared" si="79"/>
        <v>2.1553701663514693E-3</v>
      </c>
      <c r="AU66" s="47">
        <f t="shared" si="80"/>
        <v>0</v>
      </c>
      <c r="AV66" s="47">
        <f t="shared" si="81"/>
        <v>0.30582539430282701</v>
      </c>
      <c r="AW66" s="47">
        <f t="shared" si="82"/>
        <v>1.834996656197619</v>
      </c>
      <c r="AX66" s="47">
        <f t="shared" si="83"/>
        <v>8.6898664750002574E-2</v>
      </c>
      <c r="AY66" s="46">
        <f t="shared" si="84"/>
        <v>1.7109596369228861E-2</v>
      </c>
      <c r="AZ66" s="26"/>
      <c r="BA66" s="23">
        <f t="shared" si="85"/>
        <v>0.43490827452644193</v>
      </c>
      <c r="BB66" s="13">
        <f t="shared" si="6"/>
        <v>6.0667939659933738E-3</v>
      </c>
      <c r="BC66" s="13">
        <f t="shared" si="7"/>
        <v>7.5446869969147234E-2</v>
      </c>
      <c r="BD66" s="13">
        <f t="shared" si="8"/>
        <v>0</v>
      </c>
      <c r="BE66" s="13">
        <f t="shared" si="9"/>
        <v>6.5998480241835897E-2</v>
      </c>
      <c r="BF66" s="13">
        <f t="shared" si="10"/>
        <v>4.7356306866558166E-2</v>
      </c>
      <c r="BG66" s="13">
        <f t="shared" si="11"/>
        <v>9.3240477095377621E-3</v>
      </c>
      <c r="BH66" s="13">
        <f t="shared" si="12"/>
        <v>0</v>
      </c>
      <c r="BI66" s="13">
        <f t="shared" si="13"/>
        <v>0.11368860231142637</v>
      </c>
      <c r="BJ66" s="13">
        <f t="shared" si="14"/>
        <v>0.11650159689859975</v>
      </c>
      <c r="BK66" s="13">
        <f t="shared" si="15"/>
        <v>1.9552147381529147E-2</v>
      </c>
      <c r="BL66" s="13">
        <f t="shared" si="16"/>
        <v>1.1745907868942447E-3</v>
      </c>
      <c r="BM66" s="13">
        <f t="shared" si="17"/>
        <v>0</v>
      </c>
      <c r="BN66" s="13">
        <f t="shared" si="86"/>
        <v>0.16666264391813218</v>
      </c>
      <c r="BO66" s="12">
        <f t="shared" si="87"/>
        <v>0.83333735608186776</v>
      </c>
      <c r="BP66" s="13"/>
      <c r="BQ66" s="23">
        <f t="shared" si="88"/>
        <v>1.596110459017394</v>
      </c>
      <c r="BR66" s="13">
        <f t="shared" si="18"/>
        <v>2.2265093282875466E-2</v>
      </c>
      <c r="BS66" s="13">
        <f t="shared" si="19"/>
        <v>0.41517138616057464</v>
      </c>
      <c r="BT66" s="13">
        <f t="shared" si="20"/>
        <v>0</v>
      </c>
      <c r="BU66" s="13">
        <f t="shared" si="21"/>
        <v>0.12110699055789349</v>
      </c>
      <c r="BV66" s="13">
        <f t="shared" si="89"/>
        <v>8.6898664750002574E-2</v>
      </c>
      <c r="BW66" s="24">
        <f t="shared" si="90"/>
        <v>5.1328789107686582E-2</v>
      </c>
      <c r="BX66" s="13">
        <f t="shared" si="22"/>
        <v>0</v>
      </c>
      <c r="BY66" s="13">
        <f t="shared" si="23"/>
        <v>0.20872173769723304</v>
      </c>
      <c r="BZ66" s="13">
        <f t="shared" si="24"/>
        <v>0.21370382683234226</v>
      </c>
      <c r="CA66" s="13">
        <f t="shared" si="25"/>
        <v>3.5866551477857854E-2</v>
      </c>
      <c r="CB66" s="13">
        <f t="shared" si="26"/>
        <v>2.1553701663514693E-3</v>
      </c>
      <c r="CC66" s="13">
        <f t="shared" si="27"/>
        <v>0</v>
      </c>
      <c r="CD66" s="13">
        <f t="shared" si="91"/>
        <v>0.30582539430282701</v>
      </c>
      <c r="CE66" s="12">
        <f t="shared" si="92"/>
        <v>2.9209268094953496</v>
      </c>
      <c r="CF66" s="13"/>
      <c r="CG66" s="23">
        <f t="shared" si="281"/>
        <v>0.54643973064602569</v>
      </c>
      <c r="CH66" s="13">
        <f t="shared" si="281"/>
        <v>7.6226125250711844E-3</v>
      </c>
      <c r="CI66" s="13">
        <f t="shared" si="281"/>
        <v>0.14213686724738717</v>
      </c>
      <c r="CJ66" s="13">
        <f t="shared" si="281"/>
        <v>0</v>
      </c>
      <c r="CK66" s="13">
        <f t="shared" si="281"/>
        <v>4.1461836758181977E-2</v>
      </c>
      <c r="CL66" s="13">
        <f t="shared" si="281"/>
        <v>2.9750373911291574E-2</v>
      </c>
      <c r="CM66" s="13">
        <f t="shared" si="281"/>
        <v>1.7572774826410214E-2</v>
      </c>
      <c r="CN66" s="13">
        <f t="shared" si="281"/>
        <v>0</v>
      </c>
      <c r="CO66" s="13">
        <f t="shared" si="281"/>
        <v>7.1457366551849352E-2</v>
      </c>
      <c r="CP66" s="13">
        <f t="shared" si="157"/>
        <v>7.3163020085828173E-2</v>
      </c>
      <c r="CQ66" s="13">
        <f t="shared" si="157"/>
        <v>1.2279168160346524E-2</v>
      </c>
      <c r="CR66" s="13">
        <f t="shared" si="157"/>
        <v>7.3790625610501142E-4</v>
      </c>
      <c r="CS66" s="13">
        <f t="shared" si="157"/>
        <v>0</v>
      </c>
      <c r="CT66" s="13">
        <f t="shared" si="157"/>
        <v>0.10470149176920482</v>
      </c>
      <c r="CU66" s="12">
        <f t="shared" si="29"/>
        <v>1</v>
      </c>
      <c r="CV66" s="26"/>
      <c r="CW66" s="23">
        <f t="shared" si="30"/>
        <v>0.79805522950869701</v>
      </c>
      <c r="CX66" s="13">
        <f t="shared" si="31"/>
        <v>1.1132546641437733E-2</v>
      </c>
      <c r="CY66" s="13">
        <f t="shared" si="32"/>
        <v>0.27678092410704974</v>
      </c>
      <c r="CZ66" s="13">
        <f t="shared" si="33"/>
        <v>0</v>
      </c>
      <c r="DA66" s="13">
        <f t="shared" si="34"/>
        <v>0.17270194986072424</v>
      </c>
      <c r="DB66" s="13">
        <f t="shared" si="35"/>
        <v>8.6898664750002574E-2</v>
      </c>
      <c r="DC66" s="24">
        <f t="shared" si="36"/>
        <v>3.4219192738457721E-2</v>
      </c>
      <c r="DD66" s="13">
        <f t="shared" si="37"/>
        <v>0</v>
      </c>
      <c r="DE66" s="13">
        <f t="shared" si="38"/>
        <v>0.20872173769723304</v>
      </c>
      <c r="DF66" s="13">
        <f t="shared" si="39"/>
        <v>0.21370382683234226</v>
      </c>
      <c r="DG66" s="13">
        <f t="shared" si="40"/>
        <v>7.1733102955715708E-2</v>
      </c>
      <c r="DH66" s="13">
        <f t="shared" si="41"/>
        <v>4.3107403327029385E-3</v>
      </c>
      <c r="DI66" s="13">
        <f t="shared" si="42"/>
        <v>0</v>
      </c>
      <c r="DJ66" s="13">
        <f t="shared" si="93"/>
        <v>0.61165078860565403</v>
      </c>
      <c r="DK66" s="12">
        <f t="shared" si="94"/>
        <v>2.368790846541557</v>
      </c>
      <c r="DL66" s="26"/>
      <c r="DM66" s="23">
        <f t="shared" si="154"/>
        <v>0.33690404987585143</v>
      </c>
      <c r="DN66" s="13">
        <f t="shared" si="154"/>
        <v>4.6996747972457295E-3</v>
      </c>
      <c r="DO66" s="13">
        <f t="shared" si="154"/>
        <v>0.11684481325616015</v>
      </c>
      <c r="DP66" s="13">
        <f t="shared" si="154"/>
        <v>0</v>
      </c>
      <c r="DQ66" s="13">
        <f t="shared" si="154"/>
        <v>7.2907217668824451E-2</v>
      </c>
      <c r="DR66" s="13">
        <f t="shared" si="295"/>
        <v>3.6684819547016967E-2</v>
      </c>
      <c r="DS66" s="13">
        <f t="shared" si="295"/>
        <v>1.4445848095207672E-2</v>
      </c>
      <c r="DT66" s="13">
        <f t="shared" si="295"/>
        <v>0</v>
      </c>
      <c r="DU66" s="13">
        <f t="shared" si="295"/>
        <v>8.811319834419637E-2</v>
      </c>
      <c r="DV66" s="13">
        <f t="shared" si="295"/>
        <v>9.0216418703386411E-2</v>
      </c>
      <c r="DW66" s="13">
        <f t="shared" si="295"/>
        <v>3.0282581959672081E-2</v>
      </c>
      <c r="DX66" s="13">
        <f t="shared" si="295"/>
        <v>1.8198062268758909E-3</v>
      </c>
      <c r="DY66" s="13">
        <f t="shared" si="295"/>
        <v>0</v>
      </c>
      <c r="DZ66" s="13">
        <f t="shared" si="295"/>
        <v>0.25821223916778735</v>
      </c>
      <c r="EA66" s="12">
        <f t="shared" si="44"/>
        <v>1</v>
      </c>
      <c r="EB66" s="26"/>
      <c r="EC66" s="30">
        <f t="shared" si="45"/>
        <v>1323</v>
      </c>
      <c r="ED66" s="14">
        <f t="shared" si="96"/>
        <v>100000</v>
      </c>
      <c r="EE66" s="29"/>
      <c r="EF66" s="128">
        <f t="shared" si="124"/>
        <v>-8.7342365835222964</v>
      </c>
      <c r="EG66" s="13">
        <f t="shared" si="97"/>
        <v>1.5</v>
      </c>
      <c r="EH66" s="13">
        <f t="shared" si="98"/>
        <v>0.74926606198035017</v>
      </c>
      <c r="EI66" s="12">
        <f t="shared" si="46"/>
        <v>5.3414996220710531</v>
      </c>
      <c r="EJ66" s="29"/>
      <c r="EK66" s="28">
        <f t="shared" si="99"/>
        <v>-1.6254207882349005</v>
      </c>
      <c r="EL66" s="24">
        <f t="shared" si="100"/>
        <v>-0.70578410257703017</v>
      </c>
      <c r="EM66" s="24">
        <f t="shared" si="101"/>
        <v>0.19682883451836888</v>
      </c>
      <c r="EN66" s="24">
        <f t="shared" si="102"/>
        <v>4.7356306866558159E-2</v>
      </c>
      <c r="EO66" s="24">
        <f t="shared" si="103"/>
        <v>9.3210866876388722E-3</v>
      </c>
      <c r="EP66" s="24">
        <f t="shared" si="104"/>
        <v>0.28246367654176102</v>
      </c>
      <c r="EQ66" s="24">
        <f t="shared" si="105"/>
        <v>-1.6251031695081373</v>
      </c>
      <c r="ER66" s="24">
        <f t="shared" si="47"/>
        <v>-20.109295756269134</v>
      </c>
      <c r="ES66" s="25">
        <f t="shared" si="48"/>
        <v>-8.7317827860482566</v>
      </c>
      <c r="ET66" s="26">
        <v>5.7</v>
      </c>
      <c r="EU66" s="26">
        <v>0.29083888041780526</v>
      </c>
      <c r="EV66" s="26">
        <v>0.42473059848429051</v>
      </c>
      <c r="EW66" s="26">
        <v>0.28246367654176102</v>
      </c>
      <c r="EX66" s="26">
        <v>0.42236371429967934</v>
      </c>
      <c r="EY66" s="26">
        <f t="shared" si="106"/>
        <v>0.99442732830397029</v>
      </c>
      <c r="EZ66" s="26">
        <f t="shared" si="107"/>
        <v>1.0296505518110608</v>
      </c>
      <c r="FA66" s="23">
        <f t="shared" si="125"/>
        <v>-1.3173143591864829</v>
      </c>
      <c r="FB66" s="190">
        <f t="shared" si="108"/>
        <v>4.594709910851702E-2</v>
      </c>
      <c r="FC66" s="124">
        <v>6.2646889236044334E-2</v>
      </c>
      <c r="FD66" s="26"/>
      <c r="FE66" s="27">
        <f t="shared" si="109"/>
        <v>0.88818423022188309</v>
      </c>
      <c r="FF66" s="26"/>
      <c r="FG66" s="23">
        <f t="shared" si="282"/>
        <v>-4.8716257362316036</v>
      </c>
      <c r="FH66" s="13">
        <f t="shared" si="50"/>
        <v>13.50685001954481</v>
      </c>
      <c r="FI66" s="13">
        <f t="shared" si="283"/>
        <v>-21.845149910644157</v>
      </c>
      <c r="FJ66" s="13">
        <f t="shared" si="284"/>
        <v>9.7975461720523072E-4</v>
      </c>
      <c r="FK66" s="12">
        <f t="shared" si="53"/>
        <v>0.50024493863470787</v>
      </c>
      <c r="FL66" s="13"/>
      <c r="FM66" s="23">
        <f t="shared" si="285"/>
        <v>-6.0774093310713244</v>
      </c>
      <c r="FN66" s="13">
        <f t="shared" si="286"/>
        <v>11.2484901753717</v>
      </c>
      <c r="FO66" s="13">
        <f t="shared" si="287"/>
        <v>11.771094736527232</v>
      </c>
      <c r="FP66" s="24">
        <f t="shared" si="288"/>
        <v>0.41865724085863831</v>
      </c>
      <c r="FQ66" s="25">
        <f t="shared" si="289"/>
        <v>0.70579613431987243</v>
      </c>
      <c r="FR66" s="13"/>
      <c r="FS66" s="23">
        <f t="shared" si="111"/>
        <v>11.17984093839641</v>
      </c>
      <c r="FT66" s="13">
        <f t="shared" si="126"/>
        <v>-6.1526643623548534</v>
      </c>
      <c r="FU66" s="13">
        <f t="shared" si="290"/>
        <v>-0.13596786629332769</v>
      </c>
      <c r="FV66" s="13">
        <f t="shared" si="58"/>
        <v>0.42236371429967934</v>
      </c>
      <c r="FW66" s="23">
        <f t="shared" si="291"/>
        <v>-0.13605040597586893</v>
      </c>
      <c r="FX66" s="13">
        <f t="shared" si="292"/>
        <v>0.42231734685732225</v>
      </c>
      <c r="FY66" s="13">
        <f t="shared" si="293"/>
        <v>-0.13601805525780364</v>
      </c>
      <c r="FZ66" s="13">
        <f t="shared" si="116"/>
        <v>0.42233552001411745</v>
      </c>
      <c r="GA66" s="13">
        <f t="shared" si="294"/>
        <v>-0.13605872041275191</v>
      </c>
      <c r="GB66" s="12">
        <f t="shared" si="118"/>
        <v>0.42231267622015645</v>
      </c>
      <c r="GC66" s="22"/>
      <c r="GD66" s="11">
        <f t="shared" si="143"/>
        <v>1.5</v>
      </c>
      <c r="GE66" s="10">
        <f t="shared" si="144"/>
        <v>0.74926606198035017</v>
      </c>
      <c r="GF66" s="10">
        <f t="shared" si="145"/>
        <v>5.3414996220710531</v>
      </c>
      <c r="GG66" s="5">
        <f t="shared" si="146"/>
        <v>-8.7342365835222964</v>
      </c>
      <c r="GH66" s="10">
        <f t="shared" si="147"/>
        <v>0.28246367654176102</v>
      </c>
      <c r="GI66" s="9">
        <f t="shared" si="276"/>
        <v>11.17984093839641</v>
      </c>
      <c r="GJ66" s="8">
        <f t="shared" si="277"/>
        <v>-6.1526643623548534</v>
      </c>
      <c r="GK66" s="8">
        <f t="shared" si="121"/>
        <v>0.42236371429967934</v>
      </c>
      <c r="GL66" s="7">
        <f t="shared" si="122"/>
        <v>0.42231734685732225</v>
      </c>
      <c r="GM66" s="6">
        <f t="shared" si="278"/>
        <v>0.41865724085863831</v>
      </c>
      <c r="GN66" s="5">
        <f t="shared" si="279"/>
        <v>0.70579613431987243</v>
      </c>
      <c r="GO66" s="4">
        <f t="shared" si="280"/>
        <v>0.50024493863470787</v>
      </c>
      <c r="GP66" s="4">
        <f t="shared" si="151"/>
        <v>0.88818423022188309</v>
      </c>
      <c r="GQ66" s="4">
        <f t="shared" si="152"/>
        <v>4.594709910851702E-2</v>
      </c>
      <c r="GR66" s="1"/>
    </row>
    <row r="67" spans="1:200" x14ac:dyDescent="0.4">
      <c r="A67" s="32"/>
      <c r="B67" s="33"/>
      <c r="C67" s="33"/>
      <c r="D67" s="32"/>
      <c r="E67" s="32"/>
      <c r="F67" s="20" t="s">
        <v>84</v>
      </c>
      <c r="G67" s="19">
        <v>1050</v>
      </c>
      <c r="H67" s="18">
        <v>1E-4</v>
      </c>
      <c r="I67" s="17">
        <v>1.5</v>
      </c>
      <c r="J67" s="16">
        <v>49.6</v>
      </c>
      <c r="K67" s="16">
        <v>0.92</v>
      </c>
      <c r="L67" s="16">
        <v>14.6</v>
      </c>
      <c r="M67" s="16">
        <v>0</v>
      </c>
      <c r="N67" s="16">
        <v>9</v>
      </c>
      <c r="O67" s="16">
        <v>0</v>
      </c>
      <c r="P67" s="16">
        <v>8.6999999999999993</v>
      </c>
      <c r="Q67" s="16">
        <v>12.4</v>
      </c>
      <c r="R67" s="16">
        <v>2.2999999999999998</v>
      </c>
      <c r="S67" s="16">
        <v>0.21</v>
      </c>
      <c r="T67" s="16">
        <v>0</v>
      </c>
      <c r="U67" s="15">
        <v>5.8</v>
      </c>
      <c r="V67" s="16"/>
      <c r="W67" s="28">
        <f t="shared" si="69"/>
        <v>47.90881869989375</v>
      </c>
      <c r="X67" s="24">
        <f t="shared" si="156"/>
        <v>0.88863131459480349</v>
      </c>
      <c r="Y67" s="24">
        <f t="shared" si="156"/>
        <v>14.102192601178402</v>
      </c>
      <c r="Z67" s="24">
        <f t="shared" si="155"/>
        <v>0</v>
      </c>
      <c r="AA67" s="24">
        <f t="shared" si="155"/>
        <v>8.693132425383947</v>
      </c>
      <c r="AB67" s="24">
        <f t="shared" si="155"/>
        <v>0</v>
      </c>
      <c r="AC67" s="24">
        <f t="shared" si="155"/>
        <v>8.4033613445378137</v>
      </c>
      <c r="AD67" s="24">
        <f t="shared" si="155"/>
        <v>11.977204674973438</v>
      </c>
      <c r="AE67" s="24">
        <f t="shared" si="155"/>
        <v>2.2215782864870084</v>
      </c>
      <c r="AF67" s="24">
        <f t="shared" si="155"/>
        <v>0.20283975659229209</v>
      </c>
      <c r="AG67" s="24">
        <f t="shared" si="155"/>
        <v>0</v>
      </c>
      <c r="AH67" s="24">
        <f t="shared" si="155"/>
        <v>5.6022408963585431</v>
      </c>
      <c r="AI67" s="14">
        <f t="shared" si="123"/>
        <v>99.999999999999986</v>
      </c>
      <c r="AJ67" s="26"/>
      <c r="AK67" s="50">
        <f t="shared" si="70"/>
        <v>0.79728438508726485</v>
      </c>
      <c r="AL67" s="47">
        <f t="shared" si="71"/>
        <v>1.1121793674528204E-2</v>
      </c>
      <c r="AM67" s="47">
        <f t="shared" si="72"/>
        <v>0.13831102982717147</v>
      </c>
      <c r="AN67" s="49">
        <f t="shared" si="73"/>
        <v>0</v>
      </c>
      <c r="AO67" s="49">
        <f t="shared" si="74"/>
        <v>0.12099001287938689</v>
      </c>
      <c r="AP67" s="47">
        <f t="shared" si="75"/>
        <v>0</v>
      </c>
      <c r="AQ67" s="47">
        <f t="shared" si="76"/>
        <v>0.20841670001333862</v>
      </c>
      <c r="AR67" s="47">
        <f t="shared" si="77"/>
        <v>0.21357354983904134</v>
      </c>
      <c r="AS67" s="47">
        <f t="shared" si="78"/>
        <v>3.5843470256324755E-2</v>
      </c>
      <c r="AT67" s="47">
        <f t="shared" si="79"/>
        <v>2.153288286542379E-3</v>
      </c>
      <c r="AU67" s="47">
        <f t="shared" si="80"/>
        <v>0</v>
      </c>
      <c r="AV67" s="47">
        <f t="shared" si="81"/>
        <v>0.31089017182899797</v>
      </c>
      <c r="AW67" s="47">
        <f t="shared" si="82"/>
        <v>1.8385844016925967</v>
      </c>
      <c r="AX67" s="47">
        <f t="shared" si="83"/>
        <v>8.6829369004008894E-2</v>
      </c>
      <c r="AY67" s="46">
        <f t="shared" si="84"/>
        <v>1.7085747829432361E-2</v>
      </c>
      <c r="AZ67" s="26"/>
      <c r="BA67" s="23">
        <f t="shared" si="85"/>
        <v>0.43364035088804548</v>
      </c>
      <c r="BB67" s="13">
        <f t="shared" si="6"/>
        <v>6.0491069456966489E-3</v>
      </c>
      <c r="BC67" s="13">
        <f t="shared" si="7"/>
        <v>7.5226913542746604E-2</v>
      </c>
      <c r="BD67" s="13">
        <f t="shared" si="8"/>
        <v>0</v>
      </c>
      <c r="BE67" s="13">
        <f t="shared" si="9"/>
        <v>6.5806069478237583E-2</v>
      </c>
      <c r="BF67" s="13">
        <f t="shared" si="10"/>
        <v>4.7226207795559437E-2</v>
      </c>
      <c r="BG67" s="13">
        <f t="shared" si="11"/>
        <v>9.2928819659860371E-3</v>
      </c>
      <c r="BH67" s="13">
        <f t="shared" si="12"/>
        <v>0</v>
      </c>
      <c r="BI67" s="13">
        <f t="shared" si="13"/>
        <v>0.11335715663717731</v>
      </c>
      <c r="BJ67" s="13">
        <f t="shared" si="14"/>
        <v>0.1161619502713207</v>
      </c>
      <c r="BK67" s="13">
        <f t="shared" si="15"/>
        <v>1.9495145408243066E-2</v>
      </c>
      <c r="BL67" s="13">
        <f t="shared" si="16"/>
        <v>1.1711664063722429E-3</v>
      </c>
      <c r="BM67" s="13">
        <f t="shared" si="17"/>
        <v>0</v>
      </c>
      <c r="BN67" s="13">
        <f t="shared" si="86"/>
        <v>0.1690921404221602</v>
      </c>
      <c r="BO67" s="12">
        <f t="shared" si="87"/>
        <v>0.83090785957783952</v>
      </c>
      <c r="BP67" s="13"/>
      <c r="BQ67" s="23">
        <f t="shared" si="88"/>
        <v>1.5945687701745297</v>
      </c>
      <c r="BR67" s="13">
        <f t="shared" si="18"/>
        <v>2.2243587349056407E-2</v>
      </c>
      <c r="BS67" s="13">
        <f t="shared" si="19"/>
        <v>0.41477037062289418</v>
      </c>
      <c r="BT67" s="13">
        <f t="shared" si="20"/>
        <v>0</v>
      </c>
      <c r="BU67" s="13">
        <f t="shared" si="21"/>
        <v>0.12099001287938689</v>
      </c>
      <c r="BV67" s="13">
        <f t="shared" si="89"/>
        <v>8.6829369004008894E-2</v>
      </c>
      <c r="BW67" s="24">
        <f t="shared" si="90"/>
        <v>5.1257243488297091E-2</v>
      </c>
      <c r="BX67" s="13">
        <f t="shared" si="22"/>
        <v>0</v>
      </c>
      <c r="BY67" s="13">
        <f t="shared" si="23"/>
        <v>0.20852013261880434</v>
      </c>
      <c r="BZ67" s="13">
        <f t="shared" si="24"/>
        <v>0.21349740953606841</v>
      </c>
      <c r="CA67" s="13">
        <f t="shared" si="25"/>
        <v>3.5831907846564655E-2</v>
      </c>
      <c r="CB67" s="13">
        <f t="shared" si="26"/>
        <v>2.153288286542379E-3</v>
      </c>
      <c r="CC67" s="13">
        <f t="shared" si="27"/>
        <v>0</v>
      </c>
      <c r="CD67" s="13">
        <f t="shared" si="91"/>
        <v>0.31089017182899797</v>
      </c>
      <c r="CE67" s="12">
        <f t="shared" si="92"/>
        <v>2.9234656511428447</v>
      </c>
      <c r="CF67" s="13"/>
      <c r="CG67" s="23">
        <f t="shared" si="281"/>
        <v>0.54543783319334671</v>
      </c>
      <c r="CH67" s="13">
        <f t="shared" si="281"/>
        <v>7.6086364621253261E-3</v>
      </c>
      <c r="CI67" s="13">
        <f t="shared" si="281"/>
        <v>0.14187625924756517</v>
      </c>
      <c r="CJ67" s="13">
        <f t="shared" si="281"/>
        <v>0</v>
      </c>
      <c r="CK67" s="13">
        <f t="shared" si="281"/>
        <v>4.1385816464814401E-2</v>
      </c>
      <c r="CL67" s="13">
        <f t="shared" si="281"/>
        <v>2.9700834340251423E-2</v>
      </c>
      <c r="CM67" s="13">
        <f t="shared" si="281"/>
        <v>1.7533041124755323E-2</v>
      </c>
      <c r="CN67" s="13">
        <f t="shared" si="281"/>
        <v>0</v>
      </c>
      <c r="CO67" s="13">
        <f t="shared" si="281"/>
        <v>7.1326349443267587E-2</v>
      </c>
      <c r="CP67" s="13">
        <f t="shared" si="157"/>
        <v>7.3028875660847162E-2</v>
      </c>
      <c r="CQ67" s="13">
        <f t="shared" si="157"/>
        <v>1.2256654300883338E-2</v>
      </c>
      <c r="CR67" s="13">
        <f t="shared" si="157"/>
        <v>7.3655330470553428E-4</v>
      </c>
      <c r="CS67" s="13">
        <f t="shared" si="157"/>
        <v>0</v>
      </c>
      <c r="CT67" s="13">
        <f t="shared" si="157"/>
        <v>0.10634302192244482</v>
      </c>
      <c r="CU67" s="12">
        <f t="shared" si="29"/>
        <v>1</v>
      </c>
      <c r="CV67" s="26"/>
      <c r="CW67" s="23">
        <f t="shared" si="30"/>
        <v>0.79728438508726485</v>
      </c>
      <c r="CX67" s="13">
        <f t="shared" si="31"/>
        <v>1.1121793674528204E-2</v>
      </c>
      <c r="CY67" s="13">
        <f t="shared" si="32"/>
        <v>0.27651358041526281</v>
      </c>
      <c r="CZ67" s="13">
        <f t="shared" si="33"/>
        <v>0</v>
      </c>
      <c r="DA67" s="13">
        <f t="shared" si="34"/>
        <v>0.17270194986072424</v>
      </c>
      <c r="DB67" s="13">
        <f t="shared" si="35"/>
        <v>8.6829369004008894E-2</v>
      </c>
      <c r="DC67" s="24">
        <f t="shared" si="36"/>
        <v>3.4171495658864723E-2</v>
      </c>
      <c r="DD67" s="13">
        <f t="shared" si="37"/>
        <v>0</v>
      </c>
      <c r="DE67" s="13">
        <f t="shared" si="38"/>
        <v>0.20852013261880434</v>
      </c>
      <c r="DF67" s="13">
        <f t="shared" si="39"/>
        <v>0.21349740953606841</v>
      </c>
      <c r="DG67" s="13">
        <f t="shared" si="40"/>
        <v>7.166381569312931E-2</v>
      </c>
      <c r="DH67" s="13">
        <f t="shared" si="41"/>
        <v>4.3065765730847579E-3</v>
      </c>
      <c r="DI67" s="13">
        <f t="shared" si="42"/>
        <v>0</v>
      </c>
      <c r="DJ67" s="13">
        <f t="shared" si="93"/>
        <v>0.62178034365799595</v>
      </c>
      <c r="DK67" s="12">
        <f t="shared" si="94"/>
        <v>2.3773899871168629</v>
      </c>
      <c r="DL67" s="26"/>
      <c r="DM67" s="23">
        <f t="shared" si="154"/>
        <v>0.33536121099515404</v>
      </c>
      <c r="DN67" s="13">
        <f t="shared" si="154"/>
        <v>4.6781528208655236E-3</v>
      </c>
      <c r="DO67" s="13">
        <f t="shared" si="154"/>
        <v>0.11630972701731604</v>
      </c>
      <c r="DP67" s="13">
        <f t="shared" si="154"/>
        <v>0</v>
      </c>
      <c r="DQ67" s="13">
        <f t="shared" si="154"/>
        <v>7.2643508552067818E-2</v>
      </c>
      <c r="DR67" s="13">
        <f t="shared" si="295"/>
        <v>3.6522980863274206E-2</v>
      </c>
      <c r="DS67" s="13">
        <f t="shared" si="295"/>
        <v>1.4373533935972193E-2</v>
      </c>
      <c r="DT67" s="13">
        <f t="shared" si="295"/>
        <v>0</v>
      </c>
      <c r="DU67" s="13">
        <f t="shared" si="295"/>
        <v>8.7709687408788747E-2</v>
      </c>
      <c r="DV67" s="13">
        <f t="shared" si="295"/>
        <v>8.980327615284675E-2</v>
      </c>
      <c r="DW67" s="13">
        <f t="shared" si="295"/>
        <v>3.0143904063480269E-2</v>
      </c>
      <c r="DX67" s="13">
        <f t="shared" si="295"/>
        <v>1.8114724956453112E-3</v>
      </c>
      <c r="DY67" s="13">
        <f t="shared" si="295"/>
        <v>0</v>
      </c>
      <c r="DZ67" s="13">
        <f t="shared" si="295"/>
        <v>0.26153906049383546</v>
      </c>
      <c r="EA67" s="12">
        <f t="shared" si="44"/>
        <v>1</v>
      </c>
      <c r="EB67" s="26"/>
      <c r="EC67" s="30">
        <f t="shared" si="45"/>
        <v>1323</v>
      </c>
      <c r="ED67" s="14">
        <f t="shared" si="96"/>
        <v>100000</v>
      </c>
      <c r="EE67" s="29"/>
      <c r="EF67" s="128">
        <f t="shared" si="124"/>
        <v>-8.7342365835222964</v>
      </c>
      <c r="EG67" s="13">
        <f t="shared" si="97"/>
        <v>1.5</v>
      </c>
      <c r="EH67" s="13">
        <f t="shared" si="98"/>
        <v>0.74926606198035017</v>
      </c>
      <c r="EI67" s="12">
        <f t="shared" si="46"/>
        <v>5.3414996220710531</v>
      </c>
      <c r="EJ67" s="29"/>
      <c r="EK67" s="28">
        <f t="shared" si="99"/>
        <v>-1.6260178800251075</v>
      </c>
      <c r="EL67" s="24">
        <f t="shared" si="100"/>
        <v>-0.7060433695289221</v>
      </c>
      <c r="EM67" s="24">
        <f t="shared" si="101"/>
        <v>0.19671134471679055</v>
      </c>
      <c r="EN67" s="24">
        <f t="shared" si="102"/>
        <v>4.7226207795559437E-2</v>
      </c>
      <c r="EO67" s="24">
        <f t="shared" si="103"/>
        <v>9.2899308413390731E-3</v>
      </c>
      <c r="EP67" s="24">
        <f t="shared" si="104"/>
        <v>0.28234267492336107</v>
      </c>
      <c r="EQ67" s="24">
        <f t="shared" si="105"/>
        <v>-1.625700261298344</v>
      </c>
      <c r="ER67" s="24">
        <f t="shared" si="47"/>
        <v>-20.109295756269134</v>
      </c>
      <c r="ES67" s="25">
        <f t="shared" si="48"/>
        <v>-8.7317827860482566</v>
      </c>
      <c r="ET67" s="26">
        <v>5.8</v>
      </c>
      <c r="EU67" s="26">
        <v>0.29083888041780526</v>
      </c>
      <c r="EV67" s="26">
        <v>0.42710464731793352</v>
      </c>
      <c r="EW67" s="26">
        <v>0.28234267492336107</v>
      </c>
      <c r="EX67" s="26">
        <v>0.4247073022341803</v>
      </c>
      <c r="EY67" s="26">
        <f t="shared" si="106"/>
        <v>0.99438698431682326</v>
      </c>
      <c r="EZ67" s="26">
        <f t="shared" si="107"/>
        <v>1.0300918219208286</v>
      </c>
      <c r="FA67" s="23">
        <f t="shared" si="125"/>
        <v>-1.3193888685438928</v>
      </c>
      <c r="FB67" s="190">
        <f t="shared" si="108"/>
        <v>4.5738159922026789E-2</v>
      </c>
      <c r="FC67" s="124">
        <v>6.2646889236044334E-2</v>
      </c>
      <c r="FD67" s="26"/>
      <c r="FE67" s="27">
        <f t="shared" si="109"/>
        <v>0.88818423022188309</v>
      </c>
      <c r="FF67" s="26"/>
      <c r="FG67" s="23">
        <f t="shared" si="282"/>
        <v>-4.8890297663244402</v>
      </c>
      <c r="FH67" s="13">
        <f t="shared" si="50"/>
        <v>13.481381450570549</v>
      </c>
      <c r="FI67" s="13">
        <f t="shared" si="283"/>
        <v>-21.845149910644157</v>
      </c>
      <c r="FJ67" s="13">
        <f t="shared" si="284"/>
        <v>-7.0847842642223213E-3</v>
      </c>
      <c r="FK67" s="12">
        <f t="shared" si="53"/>
        <v>0.49822881134255004</v>
      </c>
      <c r="FL67" s="13"/>
      <c r="FM67" s="23">
        <f t="shared" si="285"/>
        <v>-6.0780634373332081</v>
      </c>
      <c r="FN67" s="13">
        <f t="shared" si="286"/>
        <v>11.244654159277477</v>
      </c>
      <c r="FO67" s="13">
        <f t="shared" si="287"/>
        <v>11.767333619461311</v>
      </c>
      <c r="FP67" s="24">
        <f t="shared" si="288"/>
        <v>0.41687513399857901</v>
      </c>
      <c r="FQ67" s="25">
        <f t="shared" si="289"/>
        <v>0.70430840429032726</v>
      </c>
      <c r="FR67" s="13"/>
      <c r="FS67" s="23">
        <f t="shared" si="111"/>
        <v>11.18560247838451</v>
      </c>
      <c r="FT67" s="13">
        <f t="shared" si="126"/>
        <v>-6.1510715552595352</v>
      </c>
      <c r="FU67" s="13">
        <f t="shared" si="290"/>
        <v>-0.13179913340054838</v>
      </c>
      <c r="FV67" s="13">
        <f t="shared" si="58"/>
        <v>0.4247073022341803</v>
      </c>
      <c r="FW67" s="23">
        <f t="shared" si="291"/>
        <v>-0.13188167308308962</v>
      </c>
      <c r="FX67" s="13">
        <f t="shared" si="292"/>
        <v>0.42466086665608294</v>
      </c>
      <c r="FY67" s="13">
        <f t="shared" si="293"/>
        <v>-0.13184932236502434</v>
      </c>
      <c r="FZ67" s="13">
        <f t="shared" si="116"/>
        <v>0.42467906652278453</v>
      </c>
      <c r="GA67" s="13">
        <f t="shared" si="294"/>
        <v>-0.13188998751997261</v>
      </c>
      <c r="GB67" s="12">
        <f t="shared" si="118"/>
        <v>0.42465618915324521</v>
      </c>
      <c r="GC67" s="22"/>
      <c r="GD67" s="11">
        <f t="shared" si="143"/>
        <v>1.5</v>
      </c>
      <c r="GE67" s="10">
        <f t="shared" si="144"/>
        <v>0.74926606198035017</v>
      </c>
      <c r="GF67" s="10">
        <f t="shared" si="145"/>
        <v>5.3414996220710531</v>
      </c>
      <c r="GG67" s="5">
        <f t="shared" si="146"/>
        <v>-8.7342365835222964</v>
      </c>
      <c r="GH67" s="10">
        <f t="shared" si="147"/>
        <v>0.28234267492336107</v>
      </c>
      <c r="GI67" s="9">
        <f t="shared" si="276"/>
        <v>11.18560247838451</v>
      </c>
      <c r="GJ67" s="8">
        <f t="shared" si="277"/>
        <v>-6.1510715552595352</v>
      </c>
      <c r="GK67" s="8">
        <f t="shared" si="121"/>
        <v>0.4247073022341803</v>
      </c>
      <c r="GL67" s="7">
        <f t="shared" si="122"/>
        <v>0.42466086665608294</v>
      </c>
      <c r="GM67" s="6">
        <f t="shared" si="278"/>
        <v>0.41687513399857901</v>
      </c>
      <c r="GN67" s="5">
        <f t="shared" si="279"/>
        <v>0.70430840429032726</v>
      </c>
      <c r="GO67" s="4">
        <f t="shared" si="280"/>
        <v>0.49822881134255004</v>
      </c>
      <c r="GP67" s="4">
        <f t="shared" si="151"/>
        <v>0.88818423022188309</v>
      </c>
      <c r="GQ67" s="4">
        <f t="shared" si="152"/>
        <v>4.5738159922026789E-2</v>
      </c>
      <c r="GR67" s="1"/>
    </row>
    <row r="68" spans="1:200" x14ac:dyDescent="0.4">
      <c r="A68" s="32"/>
      <c r="B68" s="33"/>
      <c r="C68" s="33"/>
      <c r="D68" s="32"/>
      <c r="E68" s="32"/>
      <c r="F68" s="20" t="s">
        <v>84</v>
      </c>
      <c r="G68" s="19">
        <v>1050</v>
      </c>
      <c r="H68" s="18">
        <v>1E-4</v>
      </c>
      <c r="I68" s="17">
        <v>1.5</v>
      </c>
      <c r="J68" s="16">
        <v>49.6</v>
      </c>
      <c r="K68" s="16">
        <v>0.92</v>
      </c>
      <c r="L68" s="16">
        <v>14.6</v>
      </c>
      <c r="M68" s="16">
        <v>0</v>
      </c>
      <c r="N68" s="16">
        <v>9</v>
      </c>
      <c r="O68" s="16">
        <v>0</v>
      </c>
      <c r="P68" s="16">
        <v>8.6999999999999993</v>
      </c>
      <c r="Q68" s="16">
        <v>12.4</v>
      </c>
      <c r="R68" s="16">
        <v>2.2999999999999998</v>
      </c>
      <c r="S68" s="16">
        <v>0.21</v>
      </c>
      <c r="T68" s="16">
        <v>0</v>
      </c>
      <c r="U68" s="15">
        <v>5.9</v>
      </c>
      <c r="V68" s="16"/>
      <c r="W68" s="28">
        <f t="shared" si="69"/>
        <v>47.862588053652416</v>
      </c>
      <c r="X68" s="24">
        <f t="shared" si="156"/>
        <v>0.88777381067258521</v>
      </c>
      <c r="Y68" s="24">
        <f t="shared" si="156"/>
        <v>14.088584386760589</v>
      </c>
      <c r="Z68" s="24">
        <f t="shared" si="155"/>
        <v>0</v>
      </c>
      <c r="AA68" s="24">
        <f t="shared" si="155"/>
        <v>8.6847438000578983</v>
      </c>
      <c r="AB68" s="24">
        <f t="shared" si="155"/>
        <v>0</v>
      </c>
      <c r="AC68" s="24">
        <f t="shared" si="155"/>
        <v>8.3952523400559667</v>
      </c>
      <c r="AD68" s="24">
        <f t="shared" si="155"/>
        <v>11.965647013413104</v>
      </c>
      <c r="AE68" s="24">
        <f t="shared" si="155"/>
        <v>2.2194345266814626</v>
      </c>
      <c r="AF68" s="24">
        <f t="shared" si="155"/>
        <v>0.20264402200135093</v>
      </c>
      <c r="AG68" s="24">
        <f t="shared" si="155"/>
        <v>0</v>
      </c>
      <c r="AH68" s="24">
        <f t="shared" si="155"/>
        <v>5.6933320467046222</v>
      </c>
      <c r="AI68" s="14">
        <f t="shared" si="123"/>
        <v>100</v>
      </c>
      <c r="AJ68" s="26"/>
      <c r="AK68" s="50">
        <f t="shared" si="70"/>
        <v>0.79651502835167942</v>
      </c>
      <c r="AL68" s="47">
        <f t="shared" si="71"/>
        <v>1.1111061460232606E-2</v>
      </c>
      <c r="AM68" s="47">
        <f t="shared" si="72"/>
        <v>0.13817756362064132</v>
      </c>
      <c r="AN68" s="49">
        <f t="shared" si="73"/>
        <v>0</v>
      </c>
      <c r="AO68" s="49">
        <f t="shared" si="74"/>
        <v>0.12087326096113986</v>
      </c>
      <c r="AP68" s="47">
        <f t="shared" si="75"/>
        <v>0</v>
      </c>
      <c r="AQ68" s="47">
        <f t="shared" si="76"/>
        <v>0.20821558383075314</v>
      </c>
      <c r="AR68" s="47">
        <f t="shared" si="77"/>
        <v>0.21336745744317234</v>
      </c>
      <c r="AS68" s="47">
        <f t="shared" si="78"/>
        <v>3.5808882327871293E-2</v>
      </c>
      <c r="AT68" s="47">
        <f t="shared" si="79"/>
        <v>2.1512104246427912E-3</v>
      </c>
      <c r="AU68" s="47">
        <f t="shared" si="80"/>
        <v>0</v>
      </c>
      <c r="AV68" s="47">
        <f t="shared" si="81"/>
        <v>0.31594517462289801</v>
      </c>
      <c r="AW68" s="47">
        <f t="shared" si="82"/>
        <v>1.8421652230430308</v>
      </c>
      <c r="AX68" s="47">
        <f t="shared" si="83"/>
        <v>8.6760118194815078E-2</v>
      </c>
      <c r="AY68" s="46">
        <f t="shared" si="84"/>
        <v>1.7061989730086741E-2</v>
      </c>
      <c r="AZ68" s="26"/>
      <c r="BA68" s="23">
        <f t="shared" si="85"/>
        <v>0.43237979872181842</v>
      </c>
      <c r="BB68" s="13">
        <f t="shared" si="6"/>
        <v>6.0315227544457152E-3</v>
      </c>
      <c r="BC68" s="13">
        <f t="shared" si="7"/>
        <v>7.5008235902091866E-2</v>
      </c>
      <c r="BD68" s="13">
        <f t="shared" si="8"/>
        <v>0</v>
      </c>
      <c r="BE68" s="13">
        <f t="shared" si="9"/>
        <v>6.5614777355025772E-2</v>
      </c>
      <c r="BF68" s="13">
        <f t="shared" si="10"/>
        <v>4.7096816892188427E-2</v>
      </c>
      <c r="BG68" s="13">
        <f t="shared" si="11"/>
        <v>9.2619215240109833E-3</v>
      </c>
      <c r="BH68" s="13">
        <f t="shared" si="12"/>
        <v>0</v>
      </c>
      <c r="BI68" s="13">
        <f t="shared" si="13"/>
        <v>0.11302763792642148</v>
      </c>
      <c r="BJ68" s="13">
        <f t="shared" si="14"/>
        <v>0.11582427828635018</v>
      </c>
      <c r="BK68" s="13">
        <f t="shared" si="15"/>
        <v>1.9438474833825936E-2</v>
      </c>
      <c r="BL68" s="13">
        <f t="shared" si="16"/>
        <v>1.1677619345615783E-3</v>
      </c>
      <c r="BM68" s="13">
        <f t="shared" si="17"/>
        <v>0</v>
      </c>
      <c r="BN68" s="13">
        <f t="shared" si="86"/>
        <v>0.17150751228545905</v>
      </c>
      <c r="BO68" s="12">
        <f t="shared" si="87"/>
        <v>0.82849248771454098</v>
      </c>
      <c r="BP68" s="13"/>
      <c r="BQ68" s="23">
        <f t="shared" si="88"/>
        <v>1.5930300567033588</v>
      </c>
      <c r="BR68" s="13">
        <f t="shared" si="18"/>
        <v>2.2222122920465211E-2</v>
      </c>
      <c r="BS68" s="13">
        <f t="shared" si="19"/>
        <v>0.41437012902237025</v>
      </c>
      <c r="BT68" s="13">
        <f t="shared" si="20"/>
        <v>0</v>
      </c>
      <c r="BU68" s="13">
        <f t="shared" si="21"/>
        <v>0.12087326096113986</v>
      </c>
      <c r="BV68" s="13">
        <f t="shared" si="89"/>
        <v>8.6760118194815078E-2</v>
      </c>
      <c r="BW68" s="24">
        <f t="shared" si="90"/>
        <v>5.1185969190260222E-2</v>
      </c>
      <c r="BX68" s="13">
        <f t="shared" si="22"/>
        <v>0</v>
      </c>
      <c r="BY68" s="13">
        <f t="shared" si="23"/>
        <v>0.20831891662669894</v>
      </c>
      <c r="BZ68" s="13">
        <f t="shared" si="24"/>
        <v>0.21329139061342431</v>
      </c>
      <c r="CA68" s="13">
        <f t="shared" si="25"/>
        <v>3.5797331075507463E-2</v>
      </c>
      <c r="CB68" s="13">
        <f t="shared" si="26"/>
        <v>2.1512104246427912E-3</v>
      </c>
      <c r="CC68" s="13">
        <f t="shared" si="27"/>
        <v>0</v>
      </c>
      <c r="CD68" s="13">
        <f t="shared" si="91"/>
        <v>0.31594517462289801</v>
      </c>
      <c r="CE68" s="12">
        <f t="shared" si="92"/>
        <v>2.9259995929705052</v>
      </c>
      <c r="CF68" s="13"/>
      <c r="CG68" s="23">
        <f t="shared" si="281"/>
        <v>0.54443960297550764</v>
      </c>
      <c r="CH68" s="13">
        <f t="shared" si="281"/>
        <v>7.5947115556175048E-3</v>
      </c>
      <c r="CI68" s="13">
        <f t="shared" si="281"/>
        <v>0.14161660514849811</v>
      </c>
      <c r="CJ68" s="13">
        <f t="shared" si="281"/>
        <v>0</v>
      </c>
      <c r="CK68" s="13">
        <f t="shared" si="281"/>
        <v>4.1310074427737042E-2</v>
      </c>
      <c r="CL68" s="13">
        <f t="shared" si="281"/>
        <v>2.9651445749770355E-2</v>
      </c>
      <c r="CM68" s="13">
        <f t="shared" si="281"/>
        <v>1.7493498397344511E-2</v>
      </c>
      <c r="CN68" s="13">
        <f t="shared" si="281"/>
        <v>0</v>
      </c>
      <c r="CO68" s="13">
        <f t="shared" si="281"/>
        <v>7.1195811895247541E-2</v>
      </c>
      <c r="CP68" s="13">
        <f t="shared" si="157"/>
        <v>7.2895222243311616E-2</v>
      </c>
      <c r="CQ68" s="13">
        <f t="shared" si="157"/>
        <v>1.22342228486661E-2</v>
      </c>
      <c r="CR68" s="13">
        <f t="shared" si="157"/>
        <v>7.3520530550001207E-4</v>
      </c>
      <c r="CS68" s="13">
        <f t="shared" si="157"/>
        <v>0</v>
      </c>
      <c r="CT68" s="13">
        <f t="shared" si="157"/>
        <v>0.10797854359991459</v>
      </c>
      <c r="CU68" s="12">
        <f t="shared" si="29"/>
        <v>1.0000000000000002</v>
      </c>
      <c r="CV68" s="26"/>
      <c r="CW68" s="23">
        <f t="shared" si="30"/>
        <v>0.79651502835167942</v>
      </c>
      <c r="CX68" s="13">
        <f t="shared" si="31"/>
        <v>1.1111061460232606E-2</v>
      </c>
      <c r="CY68" s="13">
        <f t="shared" si="32"/>
        <v>0.27624675268158017</v>
      </c>
      <c r="CZ68" s="13">
        <f t="shared" si="33"/>
        <v>0</v>
      </c>
      <c r="DA68" s="13">
        <f t="shared" si="34"/>
        <v>0.17270194986072424</v>
      </c>
      <c r="DB68" s="13">
        <f t="shared" si="35"/>
        <v>8.6760118194815078E-2</v>
      </c>
      <c r="DC68" s="24">
        <f t="shared" si="36"/>
        <v>3.4123979460173481E-2</v>
      </c>
      <c r="DD68" s="13">
        <f t="shared" si="37"/>
        <v>0</v>
      </c>
      <c r="DE68" s="13">
        <f t="shared" si="38"/>
        <v>0.20831891662669894</v>
      </c>
      <c r="DF68" s="13">
        <f t="shared" si="39"/>
        <v>0.21329139061342431</v>
      </c>
      <c r="DG68" s="13">
        <f t="shared" si="40"/>
        <v>7.1594662151014926E-2</v>
      </c>
      <c r="DH68" s="13">
        <f t="shared" si="41"/>
        <v>4.3024208492855823E-3</v>
      </c>
      <c r="DI68" s="13">
        <f t="shared" si="42"/>
        <v>0</v>
      </c>
      <c r="DJ68" s="13">
        <f t="shared" si="93"/>
        <v>0.63189034924579601</v>
      </c>
      <c r="DK68" s="12">
        <f t="shared" si="94"/>
        <v>2.3859725318404363</v>
      </c>
      <c r="DL68" s="26"/>
      <c r="DM68" s="23">
        <f t="shared" si="154"/>
        <v>0.33383243843854399</v>
      </c>
      <c r="DN68" s="13">
        <f t="shared" si="154"/>
        <v>4.6568270639989352E-3</v>
      </c>
      <c r="DO68" s="13">
        <f t="shared" si="154"/>
        <v>0.11577951925058221</v>
      </c>
      <c r="DP68" s="13">
        <f t="shared" si="154"/>
        <v>0</v>
      </c>
      <c r="DQ68" s="13">
        <f t="shared" si="154"/>
        <v>7.2382203716112939E-2</v>
      </c>
      <c r="DR68" s="13">
        <f t="shared" si="295"/>
        <v>3.6362580472748388E-2</v>
      </c>
      <c r="DS68" s="13">
        <f t="shared" si="295"/>
        <v>1.4301916306576972E-2</v>
      </c>
      <c r="DT68" s="13">
        <f t="shared" si="295"/>
        <v>0</v>
      </c>
      <c r="DU68" s="13">
        <f t="shared" si="295"/>
        <v>8.7309855351105276E-2</v>
      </c>
      <c r="DV68" s="13">
        <f t="shared" si="295"/>
        <v>8.9393900293102083E-2</v>
      </c>
      <c r="DW68" s="13">
        <f t="shared" si="295"/>
        <v>3.0006490517218942E-2</v>
      </c>
      <c r="DX68" s="13">
        <f t="shared" si="295"/>
        <v>1.8032147444576323E-3</v>
      </c>
      <c r="DY68" s="13">
        <f t="shared" si="295"/>
        <v>0</v>
      </c>
      <c r="DZ68" s="13">
        <f t="shared" si="295"/>
        <v>0.2648355506248779</v>
      </c>
      <c r="EA68" s="12">
        <f t="shared" si="44"/>
        <v>1</v>
      </c>
      <c r="EB68" s="26"/>
      <c r="EC68" s="30">
        <f t="shared" si="45"/>
        <v>1323</v>
      </c>
      <c r="ED68" s="14">
        <f t="shared" si="96"/>
        <v>100000</v>
      </c>
      <c r="EE68" s="29"/>
      <c r="EF68" s="128">
        <f t="shared" si="124"/>
        <v>-8.7342365835222964</v>
      </c>
      <c r="EG68" s="13">
        <f t="shared" si="97"/>
        <v>1.5</v>
      </c>
      <c r="EH68" s="13">
        <f t="shared" si="98"/>
        <v>0.74926606198035017</v>
      </c>
      <c r="EI68" s="12">
        <f t="shared" si="46"/>
        <v>5.3414996220710531</v>
      </c>
      <c r="EJ68" s="29"/>
      <c r="EK68" s="28">
        <f t="shared" si="99"/>
        <v>-1.6266115004347195</v>
      </c>
      <c r="EL68" s="24">
        <f t="shared" si="100"/>
        <v>-0.70630112915098542</v>
      </c>
      <c r="EM68" s="24">
        <f t="shared" si="101"/>
        <v>0.19659460749998972</v>
      </c>
      <c r="EN68" s="24">
        <f t="shared" si="102"/>
        <v>4.7096816892188434E-2</v>
      </c>
      <c r="EO68" s="24">
        <f t="shared" si="103"/>
        <v>9.2589802314186707E-3</v>
      </c>
      <c r="EP68" s="24">
        <f t="shared" si="104"/>
        <v>0.28222240795912656</v>
      </c>
      <c r="EQ68" s="24">
        <f t="shared" si="105"/>
        <v>-1.6262938817079555</v>
      </c>
      <c r="ER68" s="24">
        <f t="shared" si="47"/>
        <v>-20.10929575626913</v>
      </c>
      <c r="ES68" s="25">
        <f t="shared" si="48"/>
        <v>-8.7317827860482549</v>
      </c>
      <c r="ET68" s="26">
        <v>5.9</v>
      </c>
      <c r="EU68" s="26">
        <v>0.29083888041780526</v>
      </c>
      <c r="EV68" s="26">
        <v>0.42947248937097016</v>
      </c>
      <c r="EW68" s="26">
        <v>0.28222240795912656</v>
      </c>
      <c r="EX68" s="26">
        <v>0.42704509956395531</v>
      </c>
      <c r="EY68" s="26">
        <f t="shared" si="106"/>
        <v>0.99434797369542771</v>
      </c>
      <c r="EZ68" s="26">
        <f t="shared" si="107"/>
        <v>1.0305307878314418</v>
      </c>
      <c r="FA68" s="23">
        <f t="shared" si="125"/>
        <v>-1.3214513170898101</v>
      </c>
      <c r="FB68" s="190">
        <f t="shared" si="108"/>
        <v>4.5531332385076007E-2</v>
      </c>
      <c r="FC68" s="124">
        <v>6.2646889236044334E-2</v>
      </c>
      <c r="FD68" s="26"/>
      <c r="FE68" s="27">
        <f t="shared" si="109"/>
        <v>0.88818423022188309</v>
      </c>
      <c r="FF68" s="26"/>
      <c r="FG68" s="23">
        <f t="shared" si="282"/>
        <v>-4.9062747045267372</v>
      </c>
      <c r="FH68" s="13">
        <f t="shared" si="50"/>
        <v>13.456144618700392</v>
      </c>
      <c r="FI68" s="13">
        <f t="shared" si="283"/>
        <v>-21.845149910644157</v>
      </c>
      <c r="FJ68" s="13">
        <f t="shared" si="284"/>
        <v>-1.5076677932086113E-2</v>
      </c>
      <c r="FK68" s="12">
        <f t="shared" si="53"/>
        <v>0.49623090191166053</v>
      </c>
      <c r="FL68" s="13"/>
      <c r="FM68" s="23">
        <f t="shared" si="285"/>
        <v>-6.0787157282944051</v>
      </c>
      <c r="FN68" s="13">
        <f t="shared" si="286"/>
        <v>11.240832184113117</v>
      </c>
      <c r="FO68" s="13">
        <f t="shared" si="287"/>
        <v>11.763586269173118</v>
      </c>
      <c r="FP68" s="24">
        <f t="shared" si="288"/>
        <v>0.41510203122164702</v>
      </c>
      <c r="FQ68" s="25">
        <f t="shared" si="289"/>
        <v>0.70282206661897273</v>
      </c>
      <c r="FR68" s="13"/>
      <c r="FS68" s="23">
        <f t="shared" si="111"/>
        <v>11.191342929467623</v>
      </c>
      <c r="FT68" s="13">
        <f t="shared" si="126"/>
        <v>-6.1494835419208895</v>
      </c>
      <c r="FU68" s="13">
        <f t="shared" si="290"/>
        <v>-0.12764669565607889</v>
      </c>
      <c r="FV68" s="13">
        <f t="shared" si="58"/>
        <v>0.42704509956395531</v>
      </c>
      <c r="FW68" s="23">
        <f t="shared" si="291"/>
        <v>-0.12772923533862013</v>
      </c>
      <c r="FX68" s="13">
        <f t="shared" si="292"/>
        <v>0.42699859809836282</v>
      </c>
      <c r="FY68" s="13">
        <f t="shared" si="293"/>
        <v>-0.12769688462055484</v>
      </c>
      <c r="FZ68" s="13">
        <f t="shared" si="116"/>
        <v>0.42701682379380013</v>
      </c>
      <c r="GA68" s="13">
        <f t="shared" si="294"/>
        <v>-0.12773754977550311</v>
      </c>
      <c r="GB68" s="12">
        <f t="shared" si="118"/>
        <v>0.42699391395632003</v>
      </c>
      <c r="GC68" s="22"/>
      <c r="GD68" s="11">
        <f t="shared" si="143"/>
        <v>1.5</v>
      </c>
      <c r="GE68" s="10">
        <f t="shared" si="144"/>
        <v>0.74926606198035017</v>
      </c>
      <c r="GF68" s="10">
        <f t="shared" si="145"/>
        <v>5.3414996220710531</v>
      </c>
      <c r="GG68" s="5">
        <f t="shared" si="146"/>
        <v>-8.7342365835222964</v>
      </c>
      <c r="GH68" s="10">
        <f t="shared" si="147"/>
        <v>0.28222240795912656</v>
      </c>
      <c r="GI68" s="9">
        <f t="shared" si="276"/>
        <v>11.191342929467623</v>
      </c>
      <c r="GJ68" s="8">
        <f t="shared" si="277"/>
        <v>-6.1494835419208895</v>
      </c>
      <c r="GK68" s="8">
        <f t="shared" si="121"/>
        <v>0.42704509956395531</v>
      </c>
      <c r="GL68" s="7">
        <f t="shared" si="122"/>
        <v>0.42699859809836282</v>
      </c>
      <c r="GM68" s="6">
        <f t="shared" si="278"/>
        <v>0.41510203122164702</v>
      </c>
      <c r="GN68" s="5">
        <f t="shared" si="279"/>
        <v>0.70282206661897273</v>
      </c>
      <c r="GO68" s="4">
        <f t="shared" si="280"/>
        <v>0.49623090191166053</v>
      </c>
      <c r="GP68" s="4">
        <f t="shared" si="151"/>
        <v>0.88818423022188309</v>
      </c>
      <c r="GQ68" s="4">
        <f t="shared" si="152"/>
        <v>4.5531332385076007E-2</v>
      </c>
      <c r="GR68" s="1"/>
    </row>
    <row r="69" spans="1:200" x14ac:dyDescent="0.4">
      <c r="A69" s="32"/>
      <c r="B69" s="33"/>
      <c r="C69" s="33"/>
      <c r="D69" s="32"/>
      <c r="E69" s="32"/>
      <c r="F69" s="20" t="s">
        <v>84</v>
      </c>
      <c r="G69" s="19">
        <v>1050</v>
      </c>
      <c r="H69" s="18">
        <v>1E-4</v>
      </c>
      <c r="I69" s="17">
        <v>1.5</v>
      </c>
      <c r="J69" s="16">
        <v>49.6</v>
      </c>
      <c r="K69" s="16">
        <v>0.92</v>
      </c>
      <c r="L69" s="16">
        <v>14.6</v>
      </c>
      <c r="M69" s="16">
        <v>0</v>
      </c>
      <c r="N69" s="16">
        <v>9</v>
      </c>
      <c r="O69" s="16">
        <v>0</v>
      </c>
      <c r="P69" s="16">
        <v>8.6999999999999993</v>
      </c>
      <c r="Q69" s="16">
        <v>12.4</v>
      </c>
      <c r="R69" s="16">
        <v>2.2999999999999998</v>
      </c>
      <c r="S69" s="16">
        <v>0.21</v>
      </c>
      <c r="T69" s="16">
        <v>0</v>
      </c>
      <c r="U69" s="15">
        <v>6</v>
      </c>
      <c r="V69" s="16"/>
      <c r="W69" s="28">
        <f t="shared" si="69"/>
        <v>47.816446543912079</v>
      </c>
      <c r="X69" s="24">
        <f t="shared" si="156"/>
        <v>0.88691796008869184</v>
      </c>
      <c r="Y69" s="24">
        <f t="shared" si="156"/>
        <v>14.075002410103151</v>
      </c>
      <c r="Z69" s="24">
        <f t="shared" si="155"/>
        <v>0</v>
      </c>
      <c r="AA69" s="24">
        <f t="shared" si="155"/>
        <v>8.6763713486937242</v>
      </c>
      <c r="AB69" s="24">
        <f t="shared" si="155"/>
        <v>0</v>
      </c>
      <c r="AC69" s="24">
        <f t="shared" si="155"/>
        <v>8.3871589704039327</v>
      </c>
      <c r="AD69" s="24">
        <f t="shared" si="155"/>
        <v>11.95411163597802</v>
      </c>
      <c r="AE69" s="24">
        <f t="shared" si="155"/>
        <v>2.2172949002217295</v>
      </c>
      <c r="AF69" s="24">
        <f t="shared" si="155"/>
        <v>0.20244866480285356</v>
      </c>
      <c r="AG69" s="24">
        <f t="shared" si="155"/>
        <v>0</v>
      </c>
      <c r="AH69" s="24">
        <f t="shared" si="155"/>
        <v>5.7842475657958161</v>
      </c>
      <c r="AI69" s="14">
        <f t="shared" si="123"/>
        <v>100</v>
      </c>
      <c r="AJ69" s="26"/>
      <c r="AK69" s="50">
        <f t="shared" si="70"/>
        <v>0.79574715499936888</v>
      </c>
      <c r="AL69" s="47">
        <f t="shared" si="71"/>
        <v>1.1100349938531812E-2</v>
      </c>
      <c r="AM69" s="47">
        <f t="shared" si="72"/>
        <v>0.13804435474797128</v>
      </c>
      <c r="AN69" s="49">
        <f t="shared" si="73"/>
        <v>0</v>
      </c>
      <c r="AO69" s="49">
        <f t="shared" si="74"/>
        <v>0.12075673415022582</v>
      </c>
      <c r="AP69" s="47">
        <f t="shared" si="75"/>
        <v>0</v>
      </c>
      <c r="AQ69" s="47">
        <f t="shared" si="76"/>
        <v>0.2080148554167642</v>
      </c>
      <c r="AR69" s="47">
        <f t="shared" si="77"/>
        <v>0.21316176241044971</v>
      </c>
      <c r="AS69" s="47">
        <f t="shared" si="78"/>
        <v>3.5774361087798155E-2</v>
      </c>
      <c r="AT69" s="47">
        <f t="shared" si="79"/>
        <v>2.1491365690324156E-3</v>
      </c>
      <c r="AU69" s="47">
        <f t="shared" si="80"/>
        <v>0</v>
      </c>
      <c r="AV69" s="47">
        <f t="shared" si="81"/>
        <v>0.32099043095426283</v>
      </c>
      <c r="AW69" s="47">
        <f t="shared" si="82"/>
        <v>1.8457391402744052</v>
      </c>
      <c r="AX69" s="47">
        <f t="shared" si="83"/>
        <v>8.6690912995414107E-2</v>
      </c>
      <c r="AY69" s="46">
        <f t="shared" si="84"/>
        <v>1.7038321408021605E-2</v>
      </c>
      <c r="AZ69" s="26"/>
      <c r="BA69" s="23">
        <f t="shared" si="85"/>
        <v>0.43112655392953608</v>
      </c>
      <c r="BB69" s="13">
        <f t="shared" si="6"/>
        <v>6.0140404980963498E-3</v>
      </c>
      <c r="BC69" s="13">
        <f t="shared" si="7"/>
        <v>7.4790825927572996E-2</v>
      </c>
      <c r="BD69" s="13">
        <f t="shared" si="8"/>
        <v>0</v>
      </c>
      <c r="BE69" s="13">
        <f t="shared" si="9"/>
        <v>6.5424594145125498E-2</v>
      </c>
      <c r="BF69" s="13">
        <f t="shared" si="10"/>
        <v>4.696812843364518E-2</v>
      </c>
      <c r="BG69" s="13">
        <f t="shared" si="11"/>
        <v>9.2311643808390634E-3</v>
      </c>
      <c r="BH69" s="13">
        <f t="shared" si="12"/>
        <v>0</v>
      </c>
      <c r="BI69" s="13">
        <f t="shared" si="13"/>
        <v>0.11270002942335541</v>
      </c>
      <c r="BJ69" s="13">
        <f t="shared" si="14"/>
        <v>0.11548856377329629</v>
      </c>
      <c r="BK69" s="13">
        <f t="shared" si="15"/>
        <v>1.9382132776617392E-2</v>
      </c>
      <c r="BL69" s="13">
        <f t="shared" si="16"/>
        <v>1.1643771983471643E-3</v>
      </c>
      <c r="BM69" s="13">
        <f t="shared" si="17"/>
        <v>0</v>
      </c>
      <c r="BN69" s="13">
        <f t="shared" si="86"/>
        <v>0.17390888232805277</v>
      </c>
      <c r="BO69" s="12">
        <f t="shared" si="87"/>
        <v>0.82609111767194721</v>
      </c>
      <c r="BP69" s="13"/>
      <c r="BQ69" s="23">
        <f t="shared" si="88"/>
        <v>1.5914943099987378</v>
      </c>
      <c r="BR69" s="13">
        <f t="shared" si="18"/>
        <v>2.2200699877063624E-2</v>
      </c>
      <c r="BS69" s="13">
        <f t="shared" si="19"/>
        <v>0.41397065912068093</v>
      </c>
      <c r="BT69" s="13">
        <f t="shared" si="20"/>
        <v>0</v>
      </c>
      <c r="BU69" s="13">
        <f t="shared" si="21"/>
        <v>0.12075673415022582</v>
      </c>
      <c r="BV69" s="13">
        <f t="shared" si="89"/>
        <v>8.6690912995414107E-2</v>
      </c>
      <c r="BW69" s="24">
        <f t="shared" si="90"/>
        <v>5.1114964224064814E-2</v>
      </c>
      <c r="BX69" s="13">
        <f t="shared" si="22"/>
        <v>0</v>
      </c>
      <c r="BY69" s="13">
        <f t="shared" si="23"/>
        <v>0.20811808859563111</v>
      </c>
      <c r="BZ69" s="13">
        <f t="shared" si="24"/>
        <v>0.21308576891226416</v>
      </c>
      <c r="CA69" s="13">
        <f t="shared" si="25"/>
        <v>3.5762820971318214E-2</v>
      </c>
      <c r="CB69" s="13">
        <f t="shared" si="26"/>
        <v>2.1491365690324156E-3</v>
      </c>
      <c r="CC69" s="13">
        <f t="shared" si="27"/>
        <v>0</v>
      </c>
      <c r="CD69" s="13">
        <f t="shared" si="91"/>
        <v>0.32099043095426283</v>
      </c>
      <c r="CE69" s="12">
        <f t="shared" si="92"/>
        <v>2.9285286491492171</v>
      </c>
      <c r="CF69" s="13"/>
      <c r="CG69" s="23">
        <f t="shared" si="281"/>
        <v>0.54344501989457794</v>
      </c>
      <c r="CH69" s="13">
        <f t="shared" si="281"/>
        <v>7.5808375251897467E-3</v>
      </c>
      <c r="CI69" s="13">
        <f t="shared" si="281"/>
        <v>0.14135789972242402</v>
      </c>
      <c r="CJ69" s="13">
        <f t="shared" si="281"/>
        <v>0</v>
      </c>
      <c r="CK69" s="13">
        <f t="shared" si="281"/>
        <v>4.1234609121992893E-2</v>
      </c>
      <c r="CL69" s="13">
        <f t="shared" si="281"/>
        <v>2.9602207586597849E-2</v>
      </c>
      <c r="CM69" s="13">
        <f t="shared" si="281"/>
        <v>1.7454145186155002E-2</v>
      </c>
      <c r="CN69" s="13">
        <f t="shared" si="281"/>
        <v>0</v>
      </c>
      <c r="CO69" s="13">
        <f t="shared" si="281"/>
        <v>7.1065751279603379E-2</v>
      </c>
      <c r="CP69" s="13">
        <f t="shared" si="157"/>
        <v>7.276205714230212E-2</v>
      </c>
      <c r="CQ69" s="13">
        <f t="shared" si="157"/>
        <v>1.2211873352069772E-2</v>
      </c>
      <c r="CR69" s="13">
        <f t="shared" si="157"/>
        <v>7.3386223134841899E-4</v>
      </c>
      <c r="CS69" s="13">
        <f t="shared" si="157"/>
        <v>0</v>
      </c>
      <c r="CT69" s="13">
        <f t="shared" si="157"/>
        <v>0.10960808973049163</v>
      </c>
      <c r="CU69" s="12">
        <f t="shared" si="29"/>
        <v>0.99999999999999989</v>
      </c>
      <c r="CV69" s="26"/>
      <c r="CW69" s="23">
        <f t="shared" si="30"/>
        <v>0.79574715499936888</v>
      </c>
      <c r="CX69" s="13">
        <f t="shared" si="31"/>
        <v>1.1100349938531812E-2</v>
      </c>
      <c r="CY69" s="13">
        <f t="shared" si="32"/>
        <v>0.27598043941378725</v>
      </c>
      <c r="CZ69" s="13">
        <f t="shared" si="33"/>
        <v>0</v>
      </c>
      <c r="DA69" s="13">
        <f t="shared" si="34"/>
        <v>0.17270194986072424</v>
      </c>
      <c r="DB69" s="13">
        <f t="shared" si="35"/>
        <v>8.6690912995414107E-2</v>
      </c>
      <c r="DC69" s="24">
        <f t="shared" si="36"/>
        <v>3.4076642816043209E-2</v>
      </c>
      <c r="DD69" s="13">
        <f t="shared" si="37"/>
        <v>0</v>
      </c>
      <c r="DE69" s="13">
        <f t="shared" si="38"/>
        <v>0.20811808859563111</v>
      </c>
      <c r="DF69" s="13">
        <f t="shared" si="39"/>
        <v>0.21308576891226416</v>
      </c>
      <c r="DG69" s="13">
        <f t="shared" si="40"/>
        <v>7.1525641942636428E-2</v>
      </c>
      <c r="DH69" s="13">
        <f t="shared" si="41"/>
        <v>4.2982731380648313E-3</v>
      </c>
      <c r="DI69" s="13">
        <f t="shared" si="42"/>
        <v>0</v>
      </c>
      <c r="DJ69" s="13">
        <f t="shared" si="93"/>
        <v>0.64198086190852566</v>
      </c>
      <c r="DK69" s="12">
        <f t="shared" si="94"/>
        <v>2.3945385287095342</v>
      </c>
      <c r="DL69" s="26"/>
      <c r="DM69" s="23">
        <f t="shared" si="154"/>
        <v>0.3323175407113676</v>
      </c>
      <c r="DN69" s="13">
        <f t="shared" si="154"/>
        <v>4.6356948553732472E-3</v>
      </c>
      <c r="DO69" s="13">
        <f t="shared" si="154"/>
        <v>0.1152541235419247</v>
      </c>
      <c r="DP69" s="13">
        <f t="shared" si="154"/>
        <v>0</v>
      </c>
      <c r="DQ69" s="13">
        <f t="shared" si="154"/>
        <v>7.212327042981298E-2</v>
      </c>
      <c r="DR69" s="13">
        <f t="shared" si="295"/>
        <v>3.6203599130281532E-2</v>
      </c>
      <c r="DS69" s="13">
        <f t="shared" si="295"/>
        <v>1.4230985389242331E-2</v>
      </c>
      <c r="DT69" s="13">
        <f t="shared" si="295"/>
        <v>0</v>
      </c>
      <c r="DU69" s="13">
        <f t="shared" si="295"/>
        <v>8.6913652088024748E-2</v>
      </c>
      <c r="DV69" s="13">
        <f t="shared" si="295"/>
        <v>8.8988239845570763E-2</v>
      </c>
      <c r="DW69" s="13">
        <f t="shared" si="295"/>
        <v>2.9870324108413098E-2</v>
      </c>
      <c r="DX69" s="13">
        <f t="shared" si="295"/>
        <v>1.795031938943684E-3</v>
      </c>
      <c r="DY69" s="13">
        <f t="shared" si="295"/>
        <v>0</v>
      </c>
      <c r="DZ69" s="13">
        <f t="shared" si="295"/>
        <v>0.26810212248056925</v>
      </c>
      <c r="EA69" s="12">
        <f t="shared" si="44"/>
        <v>1</v>
      </c>
      <c r="EB69" s="26"/>
      <c r="EC69" s="30">
        <f t="shared" si="45"/>
        <v>1323</v>
      </c>
      <c r="ED69" s="14">
        <f t="shared" si="96"/>
        <v>100000</v>
      </c>
      <c r="EE69" s="29"/>
      <c r="EF69" s="128">
        <f t="shared" si="124"/>
        <v>-8.7342365835222964</v>
      </c>
      <c r="EG69" s="13">
        <f t="shared" si="97"/>
        <v>1.5</v>
      </c>
      <c r="EH69" s="13">
        <f t="shared" si="98"/>
        <v>0.74926606198035017</v>
      </c>
      <c r="EI69" s="12">
        <f t="shared" si="46"/>
        <v>5.3414996220710531</v>
      </c>
      <c r="EJ69" s="29"/>
      <c r="EK69" s="28">
        <f t="shared" si="99"/>
        <v>-1.6272016796489328</v>
      </c>
      <c r="EL69" s="24">
        <f t="shared" si="100"/>
        <v>-0.70655739455012279</v>
      </c>
      <c r="EM69" s="24">
        <f t="shared" si="101"/>
        <v>0.19647861568036404</v>
      </c>
      <c r="EN69" s="24">
        <f t="shared" si="102"/>
        <v>4.6968128433645194E-2</v>
      </c>
      <c r="EO69" s="24">
        <f t="shared" si="103"/>
        <v>9.2282328557401535E-3</v>
      </c>
      <c r="EP69" s="24">
        <f t="shared" si="104"/>
        <v>0.28210286899969128</v>
      </c>
      <c r="EQ69" s="24">
        <f t="shared" si="105"/>
        <v>-1.6268840609221686</v>
      </c>
      <c r="ER69" s="24">
        <f t="shared" si="47"/>
        <v>-20.10929575626913</v>
      </c>
      <c r="ES69" s="25">
        <f t="shared" si="48"/>
        <v>-8.7317827860482549</v>
      </c>
      <c r="ET69" s="26">
        <v>6</v>
      </c>
      <c r="EU69" s="26">
        <v>0.29083888041780526</v>
      </c>
      <c r="EV69" s="26">
        <v>0.43183403820801136</v>
      </c>
      <c r="EW69" s="26">
        <v>0.28210286899969128</v>
      </c>
      <c r="EX69" s="26">
        <v>0.42937701958463359</v>
      </c>
      <c r="EY69" s="26">
        <f t="shared" si="106"/>
        <v>0.99431027106252745</v>
      </c>
      <c r="EZ69" s="26">
        <f t="shared" si="107"/>
        <v>1.0309674674670661</v>
      </c>
      <c r="FA69" s="23">
        <f t="shared" si="125"/>
        <v>-1.323501809698346</v>
      </c>
      <c r="FB69" s="190">
        <f t="shared" si="108"/>
        <v>4.5326586943664204E-2</v>
      </c>
      <c r="FC69" s="124">
        <v>6.2646889236044334E-2</v>
      </c>
      <c r="FD69" s="26"/>
      <c r="FE69" s="27">
        <f t="shared" si="109"/>
        <v>0.88818423022188309</v>
      </c>
      <c r="FF69" s="26"/>
      <c r="FG69" s="23">
        <f t="shared" si="282"/>
        <v>-4.9233627117337253</v>
      </c>
      <c r="FH69" s="13">
        <f t="shared" si="50"/>
        <v>13.431136373318058</v>
      </c>
      <c r="FI69" s="13">
        <f t="shared" si="283"/>
        <v>-21.845149910644157</v>
      </c>
      <c r="FJ69" s="13">
        <f t="shared" si="284"/>
        <v>-2.299691610743082E-2</v>
      </c>
      <c r="FK69" s="12">
        <f t="shared" si="53"/>
        <v>0.49425102433696211</v>
      </c>
      <c r="FL69" s="13"/>
      <c r="FM69" s="23">
        <f t="shared" si="285"/>
        <v>-6.0793662086732771</v>
      </c>
      <c r="FN69" s="13">
        <f t="shared" si="286"/>
        <v>11.237024172928649</v>
      </c>
      <c r="FO69" s="13">
        <f t="shared" si="287"/>
        <v>11.759852610215148</v>
      </c>
      <c r="FP69" s="24">
        <f t="shared" si="288"/>
        <v>0.41333791026326716</v>
      </c>
      <c r="FQ69" s="25">
        <f t="shared" si="289"/>
        <v>0.70133715612583747</v>
      </c>
      <c r="FR69" s="13"/>
      <c r="FS69" s="23">
        <f t="shared" si="111"/>
        <v>11.197062407221523</v>
      </c>
      <c r="FT69" s="13">
        <f t="shared" si="126"/>
        <v>-6.1479002991466976</v>
      </c>
      <c r="FU69" s="13">
        <f t="shared" si="290"/>
        <v>-0.12351046067637128</v>
      </c>
      <c r="FV69" s="13">
        <f t="shared" si="58"/>
        <v>0.42937701958463359</v>
      </c>
      <c r="FW69" s="23">
        <f t="shared" si="291"/>
        <v>-0.12359300035891252</v>
      </c>
      <c r="FX69" s="13">
        <f t="shared" si="292"/>
        <v>0.42933045446668594</v>
      </c>
      <c r="FY69" s="13">
        <f t="shared" si="293"/>
        <v>-0.12356064964084723</v>
      </c>
      <c r="FZ69" s="13">
        <f t="shared" si="116"/>
        <v>0.4293487051148237</v>
      </c>
      <c r="GA69" s="13">
        <f t="shared" si="294"/>
        <v>-0.1236013147957955</v>
      </c>
      <c r="GB69" s="12">
        <f t="shared" si="118"/>
        <v>0.42932576391058563</v>
      </c>
      <c r="GC69" s="22"/>
      <c r="GD69" s="11">
        <f t="shared" si="143"/>
        <v>1.5</v>
      </c>
      <c r="GE69" s="10">
        <f t="shared" si="144"/>
        <v>0.74926606198035017</v>
      </c>
      <c r="GF69" s="10">
        <f t="shared" si="145"/>
        <v>5.3414996220710531</v>
      </c>
      <c r="GG69" s="5">
        <f t="shared" si="146"/>
        <v>-8.7342365835222964</v>
      </c>
      <c r="GH69" s="10">
        <f t="shared" si="147"/>
        <v>0.28210286899969128</v>
      </c>
      <c r="GI69" s="9">
        <f t="shared" si="276"/>
        <v>11.197062407221523</v>
      </c>
      <c r="GJ69" s="8">
        <f t="shared" si="277"/>
        <v>-6.1479002991466976</v>
      </c>
      <c r="GK69" s="8">
        <f t="shared" si="121"/>
        <v>0.42937701958463359</v>
      </c>
      <c r="GL69" s="7">
        <f t="shared" si="122"/>
        <v>0.42933045446668594</v>
      </c>
      <c r="GM69" s="6">
        <f t="shared" si="278"/>
        <v>0.41333791026326716</v>
      </c>
      <c r="GN69" s="5">
        <f t="shared" si="279"/>
        <v>0.70133715612583747</v>
      </c>
      <c r="GO69" s="4">
        <f t="shared" si="280"/>
        <v>0.49425102433696211</v>
      </c>
      <c r="GP69" s="4">
        <f t="shared" si="151"/>
        <v>0.88818423022188309</v>
      </c>
      <c r="GQ69" s="4">
        <f t="shared" si="152"/>
        <v>4.5326586943664204E-2</v>
      </c>
      <c r="GR69" s="1"/>
    </row>
    <row r="70" spans="1:200" x14ac:dyDescent="0.4">
      <c r="A70" s="32"/>
      <c r="B70" s="33"/>
      <c r="C70" s="33"/>
      <c r="D70" s="32"/>
      <c r="E70" s="32"/>
      <c r="F70" s="20" t="s">
        <v>84</v>
      </c>
      <c r="G70" s="19">
        <v>1050</v>
      </c>
      <c r="H70" s="18">
        <v>1E-4</v>
      </c>
      <c r="I70" s="17">
        <v>1.5</v>
      </c>
      <c r="J70" s="16">
        <v>49.6</v>
      </c>
      <c r="K70" s="16">
        <v>0.92</v>
      </c>
      <c r="L70" s="16">
        <v>14.6</v>
      </c>
      <c r="M70" s="16">
        <v>0</v>
      </c>
      <c r="N70" s="16">
        <v>9</v>
      </c>
      <c r="O70" s="16">
        <v>0</v>
      </c>
      <c r="P70" s="16">
        <v>8.6999999999999993</v>
      </c>
      <c r="Q70" s="16">
        <v>12.4</v>
      </c>
      <c r="R70" s="16">
        <v>2.2999999999999998</v>
      </c>
      <c r="S70" s="16">
        <v>0.21</v>
      </c>
      <c r="T70" s="16">
        <v>0</v>
      </c>
      <c r="U70" s="15">
        <v>6.1</v>
      </c>
      <c r="V70" s="16"/>
      <c r="W70" s="28">
        <f t="shared" si="69"/>
        <v>47.770393913127229</v>
      </c>
      <c r="X70" s="24">
        <f t="shared" si="156"/>
        <v>0.88606375806606963</v>
      </c>
      <c r="Y70" s="24">
        <f t="shared" si="156"/>
        <v>14.061446595396321</v>
      </c>
      <c r="Z70" s="24">
        <f t="shared" si="155"/>
        <v>0</v>
      </c>
      <c r="AA70" s="24">
        <f t="shared" si="155"/>
        <v>8.6680150245593772</v>
      </c>
      <c r="AB70" s="24">
        <f t="shared" si="155"/>
        <v>0</v>
      </c>
      <c r="AC70" s="24">
        <f t="shared" si="155"/>
        <v>8.3790811904073959</v>
      </c>
      <c r="AD70" s="24">
        <f t="shared" si="155"/>
        <v>11.942598478281807</v>
      </c>
      <c r="AE70" s="24">
        <f t="shared" si="155"/>
        <v>2.2151593951651738</v>
      </c>
      <c r="AF70" s="24">
        <f t="shared" si="155"/>
        <v>0.20225368390638546</v>
      </c>
      <c r="AG70" s="24">
        <f t="shared" si="155"/>
        <v>0</v>
      </c>
      <c r="AH70" s="24">
        <f t="shared" si="155"/>
        <v>5.8749879610902438</v>
      </c>
      <c r="AI70" s="14">
        <f t="shared" si="123"/>
        <v>100</v>
      </c>
      <c r="AJ70" s="26"/>
      <c r="AK70" s="50">
        <f t="shared" si="70"/>
        <v>0.79498076074433732</v>
      </c>
      <c r="AL70" s="47">
        <f t="shared" si="71"/>
        <v>1.1089659049637917E-2</v>
      </c>
      <c r="AM70" s="47">
        <f t="shared" si="72"/>
        <v>0.13791140246563674</v>
      </c>
      <c r="AN70" s="49">
        <f t="shared" si="73"/>
        <v>0</v>
      </c>
      <c r="AO70" s="49">
        <f t="shared" si="74"/>
        <v>0.12064043179623352</v>
      </c>
      <c r="AP70" s="47">
        <f t="shared" si="75"/>
        <v>0</v>
      </c>
      <c r="AQ70" s="47">
        <f t="shared" si="76"/>
        <v>0.20781451365097708</v>
      </c>
      <c r="AR70" s="47">
        <f t="shared" si="77"/>
        <v>0.21295646359275691</v>
      </c>
      <c r="AS70" s="47">
        <f t="shared" si="78"/>
        <v>3.5739906343420037E-2</v>
      </c>
      <c r="AT70" s="47">
        <f t="shared" si="79"/>
        <v>2.1470667081357267E-3</v>
      </c>
      <c r="AU70" s="47">
        <f t="shared" si="80"/>
        <v>0</v>
      </c>
      <c r="AV70" s="47">
        <f t="shared" si="81"/>
        <v>0.32602596898392033</v>
      </c>
      <c r="AW70" s="47">
        <f t="shared" si="82"/>
        <v>1.8493061733350555</v>
      </c>
      <c r="AX70" s="47">
        <f t="shared" si="83"/>
        <v>8.6621754066583845E-2</v>
      </c>
      <c r="AY70" s="46">
        <f t="shared" si="84"/>
        <v>1.7014742207434149E-2</v>
      </c>
      <c r="AZ70" s="26"/>
      <c r="BA70" s="23">
        <f t="shared" si="85"/>
        <v>0.42988055315397655</v>
      </c>
      <c r="BB70" s="13">
        <f t="shared" si="6"/>
        <v>5.996659292841015E-3</v>
      </c>
      <c r="BC70" s="13">
        <f t="shared" si="7"/>
        <v>7.4574672628127378E-2</v>
      </c>
      <c r="BD70" s="13">
        <f t="shared" si="8"/>
        <v>0</v>
      </c>
      <c r="BE70" s="13">
        <f t="shared" si="9"/>
        <v>6.5235510233910846E-2</v>
      </c>
      <c r="BF70" s="13">
        <f t="shared" si="10"/>
        <v>4.6840136758084461E-2</v>
      </c>
      <c r="BG70" s="13">
        <f t="shared" si="11"/>
        <v>9.2006085594521156E-3</v>
      </c>
      <c r="BH70" s="13">
        <f t="shared" si="12"/>
        <v>0</v>
      </c>
      <c r="BI70" s="13">
        <f t="shared" si="13"/>
        <v>0.11237431456587986</v>
      </c>
      <c r="BJ70" s="13">
        <f t="shared" si="14"/>
        <v>0.11515478976026414</v>
      </c>
      <c r="BK70" s="13">
        <f t="shared" si="15"/>
        <v>1.9326116388270292E-2</v>
      </c>
      <c r="BL70" s="13">
        <f t="shared" si="16"/>
        <v>1.1610120266151965E-3</v>
      </c>
      <c r="BM70" s="13">
        <f t="shared" si="17"/>
        <v>0</v>
      </c>
      <c r="BN70" s="13">
        <f t="shared" si="86"/>
        <v>0.17629637195011474</v>
      </c>
      <c r="BO70" s="12">
        <f t="shared" si="87"/>
        <v>0.82370362804988528</v>
      </c>
      <c r="BP70" s="13"/>
      <c r="BQ70" s="23">
        <f t="shared" si="88"/>
        <v>1.5899615214886746</v>
      </c>
      <c r="BR70" s="13">
        <f t="shared" si="18"/>
        <v>2.2179318099275834E-2</v>
      </c>
      <c r="BS70" s="13">
        <f t="shared" si="19"/>
        <v>0.41357195868812707</v>
      </c>
      <c r="BT70" s="13">
        <f t="shared" si="20"/>
        <v>0</v>
      </c>
      <c r="BU70" s="13">
        <f t="shared" si="21"/>
        <v>0.12064043179623352</v>
      </c>
      <c r="BV70" s="13">
        <f t="shared" si="89"/>
        <v>8.6621754066583845E-2</v>
      </c>
      <c r="BW70" s="24">
        <f t="shared" si="90"/>
        <v>5.1044226622302444E-2</v>
      </c>
      <c r="BX70" s="13">
        <f t="shared" si="22"/>
        <v>0</v>
      </c>
      <c r="BY70" s="13">
        <f t="shared" si="23"/>
        <v>0.20791764740465005</v>
      </c>
      <c r="BZ70" s="13">
        <f t="shared" si="24"/>
        <v>0.21288054328488071</v>
      </c>
      <c r="CA70" s="13">
        <f t="shared" si="25"/>
        <v>3.5728377341373768E-2</v>
      </c>
      <c r="CB70" s="13">
        <f t="shared" si="26"/>
        <v>2.1470667081357267E-3</v>
      </c>
      <c r="CC70" s="13">
        <f t="shared" si="27"/>
        <v>0</v>
      </c>
      <c r="CD70" s="13">
        <f t="shared" si="91"/>
        <v>0.32602596898392033</v>
      </c>
      <c r="CE70" s="12">
        <f t="shared" si="92"/>
        <v>2.9310528337952717</v>
      </c>
      <c r="CF70" s="13"/>
      <c r="CG70" s="23">
        <f t="shared" si="281"/>
        <v>0.54245406399921969</v>
      </c>
      <c r="CH70" s="13">
        <f t="shared" si="281"/>
        <v>7.567014092528984E-3</v>
      </c>
      <c r="CI70" s="13">
        <f t="shared" si="281"/>
        <v>0.14110013777971164</v>
      </c>
      <c r="CJ70" s="13">
        <f t="shared" si="281"/>
        <v>0</v>
      </c>
      <c r="CK70" s="13">
        <f t="shared" si="281"/>
        <v>4.1159419033747792E-2</v>
      </c>
      <c r="CL70" s="13">
        <f t="shared" si="281"/>
        <v>2.9553119298235824E-2</v>
      </c>
      <c r="CM70" s="13">
        <f t="shared" si="281"/>
        <v>1.7414980048724629E-2</v>
      </c>
      <c r="CN70" s="13">
        <f t="shared" si="281"/>
        <v>0</v>
      </c>
      <c r="CO70" s="13">
        <f t="shared" si="281"/>
        <v>7.0936164987318917E-2</v>
      </c>
      <c r="CP70" s="13">
        <f t="shared" si="157"/>
        <v>7.2629377686526553E-2</v>
      </c>
      <c r="CQ70" s="13">
        <f t="shared" si="157"/>
        <v>1.2189605362763421E-2</v>
      </c>
      <c r="CR70" s="13">
        <f t="shared" si="157"/>
        <v>7.3252405530868539E-4</v>
      </c>
      <c r="CS70" s="13">
        <f t="shared" si="157"/>
        <v>0</v>
      </c>
      <c r="CT70" s="13">
        <f t="shared" si="157"/>
        <v>0.11123169300287428</v>
      </c>
      <c r="CU70" s="12">
        <f t="shared" si="29"/>
        <v>0.99999999999999989</v>
      </c>
      <c r="CV70" s="26"/>
      <c r="CW70" s="23">
        <f t="shared" si="30"/>
        <v>0.79498076074433732</v>
      </c>
      <c r="CX70" s="13">
        <f t="shared" si="31"/>
        <v>1.1089659049637917E-2</v>
      </c>
      <c r="CY70" s="13">
        <f t="shared" si="32"/>
        <v>0.27571463912541805</v>
      </c>
      <c r="CZ70" s="13">
        <f t="shared" si="33"/>
        <v>0</v>
      </c>
      <c r="DA70" s="13">
        <f t="shared" si="34"/>
        <v>0.17270194986072424</v>
      </c>
      <c r="DB70" s="13">
        <f t="shared" si="35"/>
        <v>8.6621754066583845E-2</v>
      </c>
      <c r="DC70" s="24">
        <f t="shared" si="36"/>
        <v>3.4029484414868298E-2</v>
      </c>
      <c r="DD70" s="13">
        <f t="shared" si="37"/>
        <v>0</v>
      </c>
      <c r="DE70" s="13">
        <f t="shared" si="38"/>
        <v>0.20791764740465005</v>
      </c>
      <c r="DF70" s="13">
        <f t="shared" si="39"/>
        <v>0.21288054328488071</v>
      </c>
      <c r="DG70" s="13">
        <f t="shared" si="40"/>
        <v>7.1456754682747536E-2</v>
      </c>
      <c r="DH70" s="13">
        <f t="shared" si="41"/>
        <v>4.2941334162714534E-3</v>
      </c>
      <c r="DI70" s="13">
        <f t="shared" si="42"/>
        <v>0</v>
      </c>
      <c r="DJ70" s="13">
        <f t="shared" si="93"/>
        <v>0.65205193796784067</v>
      </c>
      <c r="DK70" s="12">
        <f t="shared" si="94"/>
        <v>2.4030880255365084</v>
      </c>
      <c r="DL70" s="26"/>
      <c r="DM70" s="23">
        <f t="shared" si="154"/>
        <v>0.33081632977920217</v>
      </c>
      <c r="DN70" s="13">
        <f t="shared" si="154"/>
        <v>4.6147535719845562E-3</v>
      </c>
      <c r="DO70" s="13">
        <f t="shared" si="154"/>
        <v>0.11473347467738415</v>
      </c>
      <c r="DP70" s="13">
        <f t="shared" si="154"/>
        <v>0</v>
      </c>
      <c r="DQ70" s="13">
        <f t="shared" si="154"/>
        <v>7.1866676553459657E-2</v>
      </c>
      <c r="DR70" s="13">
        <f t="shared" si="295"/>
        <v>3.6046017934463659E-2</v>
      </c>
      <c r="DS70" s="13">
        <f t="shared" si="295"/>
        <v>1.4160731547597366E-2</v>
      </c>
      <c r="DT70" s="13">
        <f t="shared" si="295"/>
        <v>0</v>
      </c>
      <c r="DU70" s="13">
        <f t="shared" si="295"/>
        <v>8.6521028441407508E-2</v>
      </c>
      <c r="DV70" s="13">
        <f t="shared" si="295"/>
        <v>8.8586244458254276E-2</v>
      </c>
      <c r="DW70" s="13">
        <f t="shared" si="295"/>
        <v>2.9735387935610161E-2</v>
      </c>
      <c r="DX70" s="13">
        <f t="shared" si="295"/>
        <v>1.7869230634249256E-3</v>
      </c>
      <c r="DY70" s="13">
        <f t="shared" si="295"/>
        <v>0</v>
      </c>
      <c r="DZ70" s="13">
        <f t="shared" si="295"/>
        <v>0.27133918151927244</v>
      </c>
      <c r="EA70" s="12">
        <f t="shared" si="44"/>
        <v>1</v>
      </c>
      <c r="EB70" s="26"/>
      <c r="EC70" s="30">
        <f t="shared" si="45"/>
        <v>1323</v>
      </c>
      <c r="ED70" s="14">
        <f t="shared" si="96"/>
        <v>100000</v>
      </c>
      <c r="EE70" s="29"/>
      <c r="EF70" s="128">
        <f t="shared" si="124"/>
        <v>-8.7342365835222964</v>
      </c>
      <c r="EG70" s="13">
        <f t="shared" si="97"/>
        <v>1.5</v>
      </c>
      <c r="EH70" s="13">
        <f t="shared" si="98"/>
        <v>0.74926606198035017</v>
      </c>
      <c r="EI70" s="12">
        <f t="shared" si="46"/>
        <v>5.3414996220710531</v>
      </c>
      <c r="EJ70" s="29"/>
      <c r="EK70" s="28">
        <f t="shared" si="99"/>
        <v>-1.6277884475039901</v>
      </c>
      <c r="EL70" s="24">
        <f t="shared" si="100"/>
        <v>-0.7068121786817152</v>
      </c>
      <c r="EM70" s="24">
        <f t="shared" si="101"/>
        <v>0.1963633621613135</v>
      </c>
      <c r="EN70" s="24">
        <f t="shared" si="102"/>
        <v>4.6840136758084468E-2</v>
      </c>
      <c r="EO70" s="24">
        <f t="shared" si="103"/>
        <v>9.1976867379131941E-3</v>
      </c>
      <c r="EP70" s="24">
        <f t="shared" si="104"/>
        <v>0.28198405147545036</v>
      </c>
      <c r="EQ70" s="24">
        <f t="shared" si="105"/>
        <v>-1.6274708287772264</v>
      </c>
      <c r="ER70" s="24">
        <f t="shared" si="47"/>
        <v>-20.109295756269134</v>
      </c>
      <c r="ES70" s="25">
        <f t="shared" si="48"/>
        <v>-8.7317827860482566</v>
      </c>
      <c r="ET70" s="26">
        <v>6.1</v>
      </c>
      <c r="EU70" s="26">
        <v>0.2908388804178052</v>
      </c>
      <c r="EV70" s="26">
        <v>0.43418920932614491</v>
      </c>
      <c r="EW70" s="26">
        <v>0.28198405147545036</v>
      </c>
      <c r="EX70" s="26">
        <v>0.43170297741609354</v>
      </c>
      <c r="EY70" s="26">
        <f t="shared" si="106"/>
        <v>0.99427385145312575</v>
      </c>
      <c r="EZ70" s="26">
        <f t="shared" si="107"/>
        <v>1.0314018785673265</v>
      </c>
      <c r="FA70" s="23">
        <f t="shared" si="125"/>
        <v>-1.3255404500312231</v>
      </c>
      <c r="FB70" s="190">
        <f t="shared" si="108"/>
        <v>4.5123894563059319E-2</v>
      </c>
      <c r="FC70" s="124">
        <v>6.2646889236044334E-2</v>
      </c>
      <c r="FD70" s="26"/>
      <c r="FE70" s="27">
        <f t="shared" si="109"/>
        <v>0.88818423022188309</v>
      </c>
      <c r="FF70" s="26"/>
      <c r="FG70" s="23">
        <f t="shared" si="282"/>
        <v>-4.9402959099636332</v>
      </c>
      <c r="FH70" s="13">
        <f t="shared" si="50"/>
        <v>13.406353620687685</v>
      </c>
      <c r="FI70" s="13">
        <f t="shared" si="283"/>
        <v>-21.845149910644157</v>
      </c>
      <c r="FJ70" s="13">
        <f t="shared" si="284"/>
        <v>-3.0846470507896129E-2</v>
      </c>
      <c r="FK70" s="12">
        <f t="shared" si="53"/>
        <v>0.49228899378491209</v>
      </c>
      <c r="FL70" s="13"/>
      <c r="FM70" s="23">
        <f t="shared" si="285"/>
        <v>-6.0800148832163963</v>
      </c>
      <c r="FN70" s="13">
        <f t="shared" si="286"/>
        <v>11.233230049335365</v>
      </c>
      <c r="FO70" s="13">
        <f t="shared" si="287"/>
        <v>11.756132567690202</v>
      </c>
      <c r="FP70" s="24">
        <f t="shared" si="288"/>
        <v>0.41158274827401542</v>
      </c>
      <c r="FQ70" s="25">
        <f t="shared" si="289"/>
        <v>0.69985370721554641</v>
      </c>
      <c r="FR70" s="13"/>
      <c r="FS70" s="23">
        <f t="shared" si="111"/>
        <v>11.20276102637888</v>
      </c>
      <c r="FT70" s="13">
        <f t="shared" si="126"/>
        <v>-6.1463218039224001</v>
      </c>
      <c r="FU70" s="13">
        <f t="shared" si="290"/>
        <v>-0.11939033674331156</v>
      </c>
      <c r="FV70" s="13">
        <f t="shared" si="58"/>
        <v>0.43170297741609354</v>
      </c>
      <c r="FW70" s="23">
        <f t="shared" si="291"/>
        <v>-0.1194728764258528</v>
      </c>
      <c r="FX70" s="13">
        <f t="shared" si="292"/>
        <v>0.43165635086750953</v>
      </c>
      <c r="FY70" s="13">
        <f t="shared" si="293"/>
        <v>-0.11944052570778751</v>
      </c>
      <c r="FZ70" s="13">
        <f t="shared" si="116"/>
        <v>0.43167462559757197</v>
      </c>
      <c r="GA70" s="13">
        <f t="shared" si="294"/>
        <v>-0.11948119086273579</v>
      </c>
      <c r="GB70" s="12">
        <f t="shared" si="118"/>
        <v>0.43165165412114748</v>
      </c>
      <c r="GC70" s="22"/>
      <c r="GD70" s="11">
        <f t="shared" si="143"/>
        <v>1.5</v>
      </c>
      <c r="GE70" s="10">
        <f t="shared" si="144"/>
        <v>0.74926606198035017</v>
      </c>
      <c r="GF70" s="10">
        <f t="shared" si="145"/>
        <v>5.3414996220710531</v>
      </c>
      <c r="GG70" s="5">
        <f t="shared" si="146"/>
        <v>-8.7342365835222964</v>
      </c>
      <c r="GH70" s="10">
        <f t="shared" si="147"/>
        <v>0.28198405147545036</v>
      </c>
      <c r="GI70" s="9">
        <f t="shared" si="276"/>
        <v>11.20276102637888</v>
      </c>
      <c r="GJ70" s="8">
        <f t="shared" si="277"/>
        <v>-6.1463218039224001</v>
      </c>
      <c r="GK70" s="8">
        <f t="shared" si="121"/>
        <v>0.43170297741609354</v>
      </c>
      <c r="GL70" s="7">
        <f t="shared" si="122"/>
        <v>0.43165635086750953</v>
      </c>
      <c r="GM70" s="6">
        <f t="shared" si="278"/>
        <v>0.41158274827401542</v>
      </c>
      <c r="GN70" s="5">
        <f t="shared" si="279"/>
        <v>0.69985370721554641</v>
      </c>
      <c r="GO70" s="4">
        <f t="shared" si="280"/>
        <v>0.49228899378491209</v>
      </c>
      <c r="GP70" s="4">
        <f t="shared" si="151"/>
        <v>0.88818423022188309</v>
      </c>
      <c r="GQ70" s="4">
        <f t="shared" si="152"/>
        <v>4.5123894563059319E-2</v>
      </c>
      <c r="GR70" s="1"/>
    </row>
    <row r="71" spans="1:200" x14ac:dyDescent="0.4">
      <c r="A71" s="32"/>
      <c r="B71" s="33"/>
      <c r="C71" s="33"/>
      <c r="D71" s="32"/>
      <c r="E71" s="32"/>
      <c r="F71" s="20" t="s">
        <v>84</v>
      </c>
      <c r="G71" s="19">
        <v>1050</v>
      </c>
      <c r="H71" s="18">
        <v>1E-4</v>
      </c>
      <c r="I71" s="17">
        <v>1.5</v>
      </c>
      <c r="J71" s="16">
        <v>49.6</v>
      </c>
      <c r="K71" s="16">
        <v>0.92</v>
      </c>
      <c r="L71" s="16">
        <v>14.6</v>
      </c>
      <c r="M71" s="16">
        <v>0</v>
      </c>
      <c r="N71" s="16">
        <v>9</v>
      </c>
      <c r="O71" s="16">
        <v>0</v>
      </c>
      <c r="P71" s="16">
        <v>8.6999999999999993</v>
      </c>
      <c r="Q71" s="16">
        <v>12.4</v>
      </c>
      <c r="R71" s="16">
        <v>2.2999999999999998</v>
      </c>
      <c r="S71" s="16">
        <v>0.21</v>
      </c>
      <c r="T71" s="16">
        <v>0</v>
      </c>
      <c r="U71" s="15">
        <v>6.2</v>
      </c>
      <c r="V71" s="16"/>
      <c r="W71" s="28">
        <f t="shared" si="69"/>
        <v>47.724429904743573</v>
      </c>
      <c r="X71" s="24">
        <f t="shared" si="156"/>
        <v>0.88521119984605023</v>
      </c>
      <c r="Y71" s="24">
        <f t="shared" si="156"/>
        <v>14.047916867122101</v>
      </c>
      <c r="Z71" s="24">
        <f t="shared" si="155"/>
        <v>0</v>
      </c>
      <c r="AA71" s="24">
        <f t="shared" si="155"/>
        <v>8.6596747811026642</v>
      </c>
      <c r="AB71" s="24">
        <f t="shared" si="155"/>
        <v>0</v>
      </c>
      <c r="AC71" s="24">
        <f t="shared" si="155"/>
        <v>8.3710189550659084</v>
      </c>
      <c r="AD71" s="24">
        <f t="shared" si="155"/>
        <v>11.931107476185893</v>
      </c>
      <c r="AE71" s="24">
        <f t="shared" si="155"/>
        <v>2.2130279996151252</v>
      </c>
      <c r="AF71" s="24">
        <f t="shared" si="155"/>
        <v>0.20205907822572886</v>
      </c>
      <c r="AG71" s="24">
        <f t="shared" si="155"/>
        <v>0</v>
      </c>
      <c r="AH71" s="24">
        <f t="shared" si="155"/>
        <v>5.9655537380929466</v>
      </c>
      <c r="AI71" s="14">
        <f t="shared" si="123"/>
        <v>99.999999999999986</v>
      </c>
      <c r="AJ71" s="26"/>
      <c r="AK71" s="50">
        <f t="shared" si="70"/>
        <v>0.79421584131708389</v>
      </c>
      <c r="AL71" s="47">
        <f t="shared" si="71"/>
        <v>1.1078988733993118E-2</v>
      </c>
      <c r="AM71" s="47">
        <f t="shared" si="72"/>
        <v>0.13777870603297471</v>
      </c>
      <c r="AN71" s="49">
        <f t="shared" si="73"/>
        <v>0</v>
      </c>
      <c r="AO71" s="49">
        <f t="shared" si="74"/>
        <v>0.12052435325125491</v>
      </c>
      <c r="AP71" s="47">
        <f t="shared" si="75"/>
        <v>0</v>
      </c>
      <c r="AQ71" s="47">
        <f t="shared" si="76"/>
        <v>0.20761455741730925</v>
      </c>
      <c r="AR71" s="47">
        <f t="shared" si="77"/>
        <v>0.2127515598463961</v>
      </c>
      <c r="AS71" s="47">
        <f t="shared" si="78"/>
        <v>3.5705517902793242E-2</v>
      </c>
      <c r="AT71" s="47">
        <f t="shared" si="79"/>
        <v>2.1450008304217498E-3</v>
      </c>
      <c r="AU71" s="47">
        <f t="shared" si="80"/>
        <v>0</v>
      </c>
      <c r="AV71" s="47">
        <f t="shared" si="81"/>
        <v>0.3310518167643145</v>
      </c>
      <c r="AW71" s="47">
        <f t="shared" si="82"/>
        <v>1.8528663420965414</v>
      </c>
      <c r="AX71" s="47">
        <f t="shared" si="83"/>
        <v>8.6552642057088999E-2</v>
      </c>
      <c r="AY71" s="46">
        <f t="shared" si="84"/>
        <v>1.6991251479782029E-2</v>
      </c>
      <c r="AZ71" s="26"/>
      <c r="BA71" s="23">
        <f t="shared" si="85"/>
        <v>0.42864173376824294</v>
      </c>
      <c r="BB71" s="13">
        <f t="shared" si="6"/>
        <v>5.9793782650599085E-3</v>
      </c>
      <c r="BC71" s="13">
        <f t="shared" si="7"/>
        <v>7.4359765139387426E-2</v>
      </c>
      <c r="BD71" s="13">
        <f t="shared" si="8"/>
        <v>0</v>
      </c>
      <c r="BE71" s="13">
        <f t="shared" si="9"/>
        <v>6.5047516117584664E-2</v>
      </c>
      <c r="BF71" s="13">
        <f t="shared" si="10"/>
        <v>4.6712836263814693E-2</v>
      </c>
      <c r="BG71" s="13">
        <f t="shared" si="11"/>
        <v>9.170252108177547E-3</v>
      </c>
      <c r="BH71" s="13">
        <f t="shared" si="12"/>
        <v>0</v>
      </c>
      <c r="BI71" s="13">
        <f t="shared" si="13"/>
        <v>0.11205047698280858</v>
      </c>
      <c r="BJ71" s="13">
        <f t="shared" si="14"/>
        <v>0.11482293947099555</v>
      </c>
      <c r="BK71" s="13">
        <f t="shared" si="15"/>
        <v>1.9270422853270679E-2</v>
      </c>
      <c r="BL71" s="13">
        <f t="shared" si="16"/>
        <v>1.1576662502243171E-3</v>
      </c>
      <c r="BM71" s="13">
        <f t="shared" si="17"/>
        <v>0</v>
      </c>
      <c r="BN71" s="13">
        <f t="shared" si="86"/>
        <v>0.17867010115242593</v>
      </c>
      <c r="BO71" s="12">
        <f t="shared" si="87"/>
        <v>0.8213298988475739</v>
      </c>
      <c r="BP71" s="13"/>
      <c r="BQ71" s="23">
        <f t="shared" si="88"/>
        <v>1.5884316826341678</v>
      </c>
      <c r="BR71" s="13">
        <f t="shared" si="18"/>
        <v>2.2157977467986235E-2</v>
      </c>
      <c r="BS71" s="13">
        <f t="shared" si="19"/>
        <v>0.41317402550359122</v>
      </c>
      <c r="BT71" s="13">
        <f t="shared" si="20"/>
        <v>0</v>
      </c>
      <c r="BU71" s="13">
        <f t="shared" si="21"/>
        <v>0.12052435325125491</v>
      </c>
      <c r="BV71" s="13">
        <f t="shared" si="89"/>
        <v>8.6552642057088999E-2</v>
      </c>
      <c r="BW71" s="24">
        <f t="shared" si="90"/>
        <v>5.097375443934609E-2</v>
      </c>
      <c r="BX71" s="13">
        <f t="shared" si="22"/>
        <v>0</v>
      </c>
      <c r="BY71" s="13">
        <f t="shared" si="23"/>
        <v>0.20771759193711933</v>
      </c>
      <c r="BZ71" s="13">
        <f t="shared" si="24"/>
        <v>0.21267571258798385</v>
      </c>
      <c r="CA71" s="13">
        <f t="shared" si="25"/>
        <v>3.5693999993792344E-2</v>
      </c>
      <c r="CB71" s="13">
        <f t="shared" si="26"/>
        <v>2.1450008304217498E-3</v>
      </c>
      <c r="CC71" s="13">
        <f t="shared" si="27"/>
        <v>0</v>
      </c>
      <c r="CD71" s="13">
        <f t="shared" si="91"/>
        <v>0.3310518167643145</v>
      </c>
      <c r="CE71" s="12">
        <f t="shared" si="92"/>
        <v>2.9335721609706318</v>
      </c>
      <c r="CF71" s="13"/>
      <c r="CG71" s="23">
        <f t="shared" si="281"/>
        <v>0.54146671548335223</v>
      </c>
      <c r="CH71" s="13">
        <f t="shared" si="281"/>
        <v>7.5532409813484254E-3</v>
      </c>
      <c r="CI71" s="13">
        <f t="shared" si="281"/>
        <v>0.14084331416851331</v>
      </c>
      <c r="CJ71" s="13">
        <f t="shared" si="281"/>
        <v>0</v>
      </c>
      <c r="CK71" s="13">
        <f t="shared" si="281"/>
        <v>4.1084502660189204E-2</v>
      </c>
      <c r="CL71" s="13">
        <f t="shared" si="281"/>
        <v>2.9504180332980561E-2</v>
      </c>
      <c r="CM71" s="13">
        <f t="shared" si="281"/>
        <v>1.7376001557936924E-2</v>
      </c>
      <c r="CN71" s="13">
        <f t="shared" si="281"/>
        <v>0</v>
      </c>
      <c r="CO71" s="13">
        <f t="shared" si="281"/>
        <v>7.0807050428373222E-2</v>
      </c>
      <c r="CP71" s="13">
        <f t="shared" si="157"/>
        <v>7.2497181224141352E-2</v>
      </c>
      <c r="CQ71" s="13">
        <f t="shared" si="157"/>
        <v>1.2167418435680226E-2</v>
      </c>
      <c r="CR71" s="13">
        <f t="shared" si="157"/>
        <v>7.3119075063489587E-4</v>
      </c>
      <c r="CS71" s="13">
        <f t="shared" si="157"/>
        <v>0</v>
      </c>
      <c r="CT71" s="13">
        <f t="shared" si="157"/>
        <v>0.1128493858677672</v>
      </c>
      <c r="CU71" s="12">
        <f t="shared" si="29"/>
        <v>1</v>
      </c>
      <c r="CV71" s="26"/>
      <c r="CW71" s="23">
        <f t="shared" si="30"/>
        <v>0.79421584131708389</v>
      </c>
      <c r="CX71" s="13">
        <f t="shared" si="31"/>
        <v>1.1078988733993118E-2</v>
      </c>
      <c r="CY71" s="13">
        <f t="shared" si="32"/>
        <v>0.27544935033572748</v>
      </c>
      <c r="CZ71" s="13">
        <f t="shared" si="33"/>
        <v>0</v>
      </c>
      <c r="DA71" s="13">
        <f t="shared" si="34"/>
        <v>0.17270194986072424</v>
      </c>
      <c r="DB71" s="13">
        <f t="shared" si="35"/>
        <v>8.6552642057088999E-2</v>
      </c>
      <c r="DC71" s="24">
        <f t="shared" si="36"/>
        <v>3.3982502959564058E-2</v>
      </c>
      <c r="DD71" s="13">
        <f t="shared" si="37"/>
        <v>0</v>
      </c>
      <c r="DE71" s="13">
        <f t="shared" si="38"/>
        <v>0.20771759193711933</v>
      </c>
      <c r="DF71" s="13">
        <f t="shared" si="39"/>
        <v>0.21267571258798385</v>
      </c>
      <c r="DG71" s="13">
        <f t="shared" si="40"/>
        <v>7.1387999987584688E-2</v>
      </c>
      <c r="DH71" s="13">
        <f t="shared" si="41"/>
        <v>4.2900016608434996E-3</v>
      </c>
      <c r="DI71" s="13">
        <f t="shared" si="42"/>
        <v>0</v>
      </c>
      <c r="DJ71" s="13">
        <f t="shared" si="93"/>
        <v>0.662103633528629</v>
      </c>
      <c r="DK71" s="12">
        <f t="shared" si="94"/>
        <v>2.4116210699496889</v>
      </c>
      <c r="DL71" s="26"/>
      <c r="DM71" s="23">
        <f t="shared" si="154"/>
        <v>0.32932862099005161</v>
      </c>
      <c r="DN71" s="13">
        <f t="shared" si="154"/>
        <v>4.5940006380124415E-3</v>
      </c>
      <c r="DO71" s="13">
        <f t="shared" si="154"/>
        <v>0.11421750861609195</v>
      </c>
      <c r="DP71" s="13">
        <f t="shared" si="154"/>
        <v>0</v>
      </c>
      <c r="DQ71" s="13">
        <f t="shared" si="154"/>
        <v>7.161239052548464E-2</v>
      </c>
      <c r="DR71" s="13">
        <f t="shared" si="295"/>
        <v>3.5889818319962949E-2</v>
      </c>
      <c r="DS71" s="13">
        <f t="shared" si="295"/>
        <v>1.4091145322541488E-2</v>
      </c>
      <c r="DT71" s="13">
        <f t="shared" si="295"/>
        <v>0</v>
      </c>
      <c r="DU71" s="13">
        <f t="shared" si="295"/>
        <v>8.6131936117747027E-2</v>
      </c>
      <c r="DV71" s="13">
        <f t="shared" si="295"/>
        <v>8.8187864684902875E-2</v>
      </c>
      <c r="DW71" s="13">
        <f t="shared" si="295"/>
        <v>2.9601665401386621E-2</v>
      </c>
      <c r="DX71" s="13">
        <f t="shared" si="295"/>
        <v>1.7788871204931864E-3</v>
      </c>
      <c r="DY71" s="13">
        <f t="shared" si="295"/>
        <v>0</v>
      </c>
      <c r="DZ71" s="13">
        <f t="shared" si="295"/>
        <v>0.27454712590582969</v>
      </c>
      <c r="EA71" s="12">
        <f t="shared" si="44"/>
        <v>1</v>
      </c>
      <c r="EB71" s="26"/>
      <c r="EC71" s="30">
        <f t="shared" si="45"/>
        <v>1323</v>
      </c>
      <c r="ED71" s="14">
        <f t="shared" si="96"/>
        <v>100000</v>
      </c>
      <c r="EE71" s="29"/>
      <c r="EF71" s="128">
        <f t="shared" si="124"/>
        <v>-8.7342365835222964</v>
      </c>
      <c r="EG71" s="13">
        <f t="shared" si="97"/>
        <v>1.5</v>
      </c>
      <c r="EH71" s="13">
        <f t="shared" si="98"/>
        <v>0.74926606198035017</v>
      </c>
      <c r="EI71" s="12">
        <f t="shared" si="46"/>
        <v>5.3414996220710531</v>
      </c>
      <c r="EJ71" s="29"/>
      <c r="EK71" s="28">
        <f t="shared" si="99"/>
        <v>-1.6283718334922079</v>
      </c>
      <c r="EL71" s="24">
        <f t="shared" si="100"/>
        <v>-0.70706549435180543</v>
      </c>
      <c r="EM71" s="24">
        <f t="shared" si="101"/>
        <v>0.19624883993580813</v>
      </c>
      <c r="EN71" s="24">
        <f t="shared" si="102"/>
        <v>4.67128362638147E-2</v>
      </c>
      <c r="EO71" s="24">
        <f t="shared" si="103"/>
        <v>9.1673399268849855E-3</v>
      </c>
      <c r="EP71" s="24">
        <f t="shared" si="104"/>
        <v>0.28186594889537148</v>
      </c>
      <c r="EQ71" s="24">
        <f t="shared" si="105"/>
        <v>-1.6280542147654442</v>
      </c>
      <c r="ER71" s="24">
        <f t="shared" si="47"/>
        <v>-20.109295756269134</v>
      </c>
      <c r="ES71" s="25">
        <f t="shared" si="48"/>
        <v>-8.7317827860482566</v>
      </c>
      <c r="ET71" s="26">
        <v>6.2</v>
      </c>
      <c r="EU71" s="26">
        <v>0.2908388804178052</v>
      </c>
      <c r="EV71" s="26">
        <v>0.43653792014389803</v>
      </c>
      <c r="EW71" s="26">
        <v>0.28186594889537148</v>
      </c>
      <c r="EX71" s="26">
        <v>0.43402288999383654</v>
      </c>
      <c r="EY71" s="26">
        <f t="shared" si="106"/>
        <v>0.99423869030843315</v>
      </c>
      <c r="EZ71" s="26">
        <f t="shared" si="107"/>
        <v>1.0318340386896627</v>
      </c>
      <c r="FA71" s="23">
        <f t="shared" si="125"/>
        <v>-1.3275673405552446</v>
      </c>
      <c r="FB71" s="190">
        <f t="shared" si="108"/>
        <v>4.4923226716942266E-2</v>
      </c>
      <c r="FC71" s="124">
        <v>6.2646889236044334E-2</v>
      </c>
      <c r="FD71" s="26"/>
      <c r="FE71" s="27">
        <f t="shared" si="109"/>
        <v>0.88818423022188309</v>
      </c>
      <c r="FF71" s="26"/>
      <c r="FG71" s="23">
        <f t="shared" si="282"/>
        <v>-4.9570763832286584</v>
      </c>
      <c r="FH71" s="13">
        <f t="shared" si="50"/>
        <v>13.381793322675591</v>
      </c>
      <c r="FI71" s="13">
        <f t="shared" si="283"/>
        <v>-21.845149910644157</v>
      </c>
      <c r="FJ71" s="13">
        <f t="shared" si="284"/>
        <v>-3.8626295254964305E-2</v>
      </c>
      <c r="FK71" s="12">
        <f t="shared" si="53"/>
        <v>0.49034462663366862</v>
      </c>
      <c r="FL71" s="13"/>
      <c r="FM71" s="23">
        <f t="shared" si="285"/>
        <v>-6.0806617566973511</v>
      </c>
      <c r="FN71" s="13">
        <f t="shared" si="286"/>
        <v>11.229449737500705</v>
      </c>
      <c r="FO71" s="13">
        <f t="shared" si="287"/>
        <v>11.752426067246375</v>
      </c>
      <c r="FP71" s="24">
        <f t="shared" si="288"/>
        <v>0.40983652183584285</v>
      </c>
      <c r="FQ71" s="25">
        <f t="shared" si="289"/>
        <v>0.69837175387824191</v>
      </c>
      <c r="FR71" s="13"/>
      <c r="FS71" s="23">
        <f t="shared" si="111"/>
        <v>11.208438900837137</v>
      </c>
      <c r="FT71" s="13">
        <f t="shared" si="126"/>
        <v>-6.1447480334089466</v>
      </c>
      <c r="FU71" s="13">
        <f t="shared" si="290"/>
        <v>-0.11528623279851047</v>
      </c>
      <c r="FV71" s="13">
        <f t="shared" si="58"/>
        <v>0.43402288999383654</v>
      </c>
      <c r="FW71" s="23">
        <f t="shared" si="291"/>
        <v>-0.11536877248105171</v>
      </c>
      <c r="FX71" s="13">
        <f t="shared" si="292"/>
        <v>0.43397620422260852</v>
      </c>
      <c r="FY71" s="13">
        <f t="shared" si="293"/>
        <v>-0.11533642176298642</v>
      </c>
      <c r="FZ71" s="13">
        <f t="shared" si="116"/>
        <v>0.43399450216919888</v>
      </c>
      <c r="GA71" s="13">
        <f t="shared" si="294"/>
        <v>-0.11537708691793469</v>
      </c>
      <c r="GB71" s="12">
        <f t="shared" si="118"/>
        <v>0.43397150150839858</v>
      </c>
      <c r="GC71" s="22"/>
      <c r="GD71" s="11">
        <f t="shared" si="143"/>
        <v>1.5</v>
      </c>
      <c r="GE71" s="10">
        <f t="shared" si="144"/>
        <v>0.74926606198035017</v>
      </c>
      <c r="GF71" s="10">
        <f t="shared" si="145"/>
        <v>5.3414996220710531</v>
      </c>
      <c r="GG71" s="5">
        <f t="shared" si="146"/>
        <v>-8.7342365835222964</v>
      </c>
      <c r="GH71" s="10">
        <f t="shared" si="147"/>
        <v>0.28186594889537148</v>
      </c>
      <c r="GI71" s="9">
        <f t="shared" si="276"/>
        <v>11.208438900837137</v>
      </c>
      <c r="GJ71" s="8">
        <f t="shared" si="277"/>
        <v>-6.1447480334089466</v>
      </c>
      <c r="GK71" s="8">
        <f t="shared" si="121"/>
        <v>0.43402288999383654</v>
      </c>
      <c r="GL71" s="7">
        <f t="shared" si="122"/>
        <v>0.43397620422260852</v>
      </c>
      <c r="GM71" s="6">
        <f t="shared" si="278"/>
        <v>0.40983652183584285</v>
      </c>
      <c r="GN71" s="5">
        <f t="shared" si="279"/>
        <v>0.69837175387824191</v>
      </c>
      <c r="GO71" s="4">
        <f t="shared" si="280"/>
        <v>0.49034462663366862</v>
      </c>
      <c r="GP71" s="4">
        <f t="shared" si="151"/>
        <v>0.88818423022188309</v>
      </c>
      <c r="GQ71" s="4">
        <f t="shared" si="152"/>
        <v>4.4923226716942266E-2</v>
      </c>
      <c r="GR71" s="1"/>
    </row>
    <row r="72" spans="1:200" x14ac:dyDescent="0.4">
      <c r="A72" s="32"/>
      <c r="B72" s="33"/>
      <c r="C72" s="33"/>
      <c r="D72" s="32"/>
      <c r="E72" s="32"/>
      <c r="F72" s="20" t="s">
        <v>84</v>
      </c>
      <c r="G72" s="19">
        <v>1050</v>
      </c>
      <c r="H72" s="18">
        <v>1E-4</v>
      </c>
      <c r="I72" s="17">
        <v>1.5</v>
      </c>
      <c r="J72" s="16">
        <v>49.6</v>
      </c>
      <c r="K72" s="16">
        <v>0.92</v>
      </c>
      <c r="L72" s="16">
        <v>14.6</v>
      </c>
      <c r="M72" s="16">
        <v>0</v>
      </c>
      <c r="N72" s="16">
        <v>9</v>
      </c>
      <c r="O72" s="16">
        <v>0</v>
      </c>
      <c r="P72" s="16">
        <v>8.6999999999999993</v>
      </c>
      <c r="Q72" s="16">
        <v>12.4</v>
      </c>
      <c r="R72" s="16">
        <v>2.2999999999999998</v>
      </c>
      <c r="S72" s="16">
        <v>0.21</v>
      </c>
      <c r="T72" s="16">
        <v>0</v>
      </c>
      <c r="U72" s="15">
        <v>6.3</v>
      </c>
      <c r="V72" s="16"/>
      <c r="W72" s="28">
        <f t="shared" si="69"/>
        <v>47.678554263193313</v>
      </c>
      <c r="X72" s="24">
        <f t="shared" si="156"/>
        <v>0.88436028068826311</v>
      </c>
      <c r="Y72" s="24">
        <f t="shared" si="156"/>
        <v>14.034413150052869</v>
      </c>
      <c r="Z72" s="24">
        <f t="shared" si="155"/>
        <v>0</v>
      </c>
      <c r="AA72" s="24">
        <f t="shared" si="155"/>
        <v>8.6513505719503989</v>
      </c>
      <c r="AB72" s="24">
        <f t="shared" si="155"/>
        <v>0</v>
      </c>
      <c r="AC72" s="24">
        <f t="shared" si="155"/>
        <v>8.3629722195520522</v>
      </c>
      <c r="AD72" s="24">
        <f t="shared" si="155"/>
        <v>11.919638565798328</v>
      </c>
      <c r="AE72" s="24">
        <f t="shared" si="155"/>
        <v>2.2109007017206572</v>
      </c>
      <c r="AF72" s="24">
        <f t="shared" si="155"/>
        <v>0.20186484667884261</v>
      </c>
      <c r="AG72" s="24">
        <f t="shared" si="155"/>
        <v>0</v>
      </c>
      <c r="AH72" s="24">
        <f t="shared" si="155"/>
        <v>6.0559454003652791</v>
      </c>
      <c r="AI72" s="14">
        <f t="shared" si="123"/>
        <v>100</v>
      </c>
      <c r="AJ72" s="26"/>
      <c r="AK72" s="50">
        <f t="shared" si="70"/>
        <v>0.79345239246452504</v>
      </c>
      <c r="AL72" s="47">
        <f t="shared" si="71"/>
        <v>1.1068338932268624E-2</v>
      </c>
      <c r="AM72" s="47">
        <f t="shared" si="72"/>
        <v>0.13764626471217015</v>
      </c>
      <c r="AN72" s="49">
        <f t="shared" si="73"/>
        <v>0</v>
      </c>
      <c r="AO72" s="49">
        <f t="shared" si="74"/>
        <v>0.12040849786987334</v>
      </c>
      <c r="AP72" s="47">
        <f t="shared" si="75"/>
        <v>0</v>
      </c>
      <c r="AQ72" s="47">
        <f t="shared" si="76"/>
        <v>0.20741498560396954</v>
      </c>
      <c r="AR72" s="47">
        <f t="shared" si="77"/>
        <v>0.2125470500320672</v>
      </c>
      <c r="AS72" s="47">
        <f t="shared" si="78"/>
        <v>3.5671195574712121E-2</v>
      </c>
      <c r="AT72" s="47">
        <f t="shared" si="79"/>
        <v>2.1429389244038491E-3</v>
      </c>
      <c r="AU72" s="47">
        <f t="shared" si="80"/>
        <v>0</v>
      </c>
      <c r="AV72" s="47">
        <f t="shared" si="81"/>
        <v>0.33606800224002659</v>
      </c>
      <c r="AW72" s="47">
        <f t="shared" si="82"/>
        <v>1.8564196663540167</v>
      </c>
      <c r="AX72" s="47">
        <f t="shared" si="83"/>
        <v>8.6483577603879744E-2</v>
      </c>
      <c r="AY72" s="46">
        <f t="shared" si="84"/>
        <v>1.6967848583678141E-2</v>
      </c>
      <c r="AZ72" s="26"/>
      <c r="BA72" s="23">
        <f t="shared" si="85"/>
        <v>0.42741003386527082</v>
      </c>
      <c r="BB72" s="13">
        <f t="shared" si="6"/>
        <v>5.962196551174602E-3</v>
      </c>
      <c r="BC72" s="13">
        <f t="shared" si="7"/>
        <v>7.4146092721860443E-2</v>
      </c>
      <c r="BD72" s="13">
        <f t="shared" si="8"/>
        <v>0</v>
      </c>
      <c r="BE72" s="13">
        <f t="shared" si="9"/>
        <v>6.4860602401586281E-2</v>
      </c>
      <c r="BF72" s="13">
        <f t="shared" si="10"/>
        <v>4.6586221408509605E-2</v>
      </c>
      <c r="BG72" s="13">
        <f t="shared" si="11"/>
        <v>9.1400931002862985E-3</v>
      </c>
      <c r="BH72" s="13">
        <f t="shared" si="12"/>
        <v>0</v>
      </c>
      <c r="BI72" s="13">
        <f t="shared" si="13"/>
        <v>0.11172850049112537</v>
      </c>
      <c r="BJ72" s="13">
        <f t="shared" si="14"/>
        <v>0.11449299632205834</v>
      </c>
      <c r="BK72" s="13">
        <f t="shared" si="15"/>
        <v>1.9215049388466063E-2</v>
      </c>
      <c r="BL72" s="13">
        <f t="shared" si="16"/>
        <v>1.1543397019772757E-3</v>
      </c>
      <c r="BM72" s="13">
        <f t="shared" si="17"/>
        <v>0</v>
      </c>
      <c r="BN72" s="13">
        <f t="shared" si="86"/>
        <v>0.18103018855648068</v>
      </c>
      <c r="BO72" s="12">
        <f t="shared" si="87"/>
        <v>0.81896981144351921</v>
      </c>
      <c r="BP72" s="13"/>
      <c r="BQ72" s="23">
        <f t="shared" si="88"/>
        <v>1.5869047849290501</v>
      </c>
      <c r="BR72" s="13">
        <f t="shared" si="18"/>
        <v>2.2136677864537248E-2</v>
      </c>
      <c r="BS72" s="13">
        <f t="shared" si="19"/>
        <v>0.41277685735449615</v>
      </c>
      <c r="BT72" s="13">
        <f t="shared" si="20"/>
        <v>0</v>
      </c>
      <c r="BU72" s="13">
        <f t="shared" si="21"/>
        <v>0.12040849786987334</v>
      </c>
      <c r="BV72" s="13">
        <f t="shared" si="89"/>
        <v>8.6483577603879744E-2</v>
      </c>
      <c r="BW72" s="24">
        <f t="shared" si="90"/>
        <v>5.0903545751034431E-2</v>
      </c>
      <c r="BX72" s="13">
        <f t="shared" si="22"/>
        <v>0</v>
      </c>
      <c r="BY72" s="13">
        <f t="shared" si="23"/>
        <v>0.20751792108069611</v>
      </c>
      <c r="BZ72" s="13">
        <f t="shared" si="24"/>
        <v>0.21247127568267965</v>
      </c>
      <c r="CA72" s="13">
        <f t="shared" si="25"/>
        <v>3.5659688737429952E-2</v>
      </c>
      <c r="CB72" s="13">
        <f t="shared" si="26"/>
        <v>2.1429389244038491E-3</v>
      </c>
      <c r="CC72" s="13">
        <f t="shared" si="27"/>
        <v>0</v>
      </c>
      <c r="CD72" s="13">
        <f t="shared" si="91"/>
        <v>0.33606800224002659</v>
      </c>
      <c r="CE72" s="12">
        <f t="shared" si="92"/>
        <v>2.9360866446831926</v>
      </c>
      <c r="CF72" s="13"/>
      <c r="CG72" s="23">
        <f t="shared" si="281"/>
        <v>0.54048295468483321</v>
      </c>
      <c r="CH72" s="13">
        <f t="shared" si="281"/>
        <v>7.5395179173691667E-3</v>
      </c>
      <c r="CI72" s="13">
        <f t="shared" si="281"/>
        <v>0.14058742377442179</v>
      </c>
      <c r="CJ72" s="13">
        <f t="shared" si="281"/>
        <v>0</v>
      </c>
      <c r="CK72" s="13">
        <f t="shared" si="281"/>
        <v>4.1009858509426095E-2</v>
      </c>
      <c r="CL72" s="13">
        <f t="shared" si="281"/>
        <v>2.9455390139963473E-2</v>
      </c>
      <c r="CM72" s="13">
        <f t="shared" si="281"/>
        <v>1.7337208301809834E-2</v>
      </c>
      <c r="CN72" s="13">
        <f t="shared" si="281"/>
        <v>0</v>
      </c>
      <c r="CO72" s="13">
        <f t="shared" si="281"/>
        <v>7.0678405031567984E-2</v>
      </c>
      <c r="CP72" s="13">
        <f t="shared" si="157"/>
        <v>7.236546512257494E-2</v>
      </c>
      <c r="CQ72" s="13">
        <f t="shared" si="157"/>
        <v>1.2145312128987827E-2</v>
      </c>
      <c r="CR72" s="13">
        <f t="shared" si="157"/>
        <v>7.2986229077550769E-4</v>
      </c>
      <c r="CS72" s="13">
        <f t="shared" si="157"/>
        <v>0</v>
      </c>
      <c r="CT72" s="13">
        <f t="shared" si="157"/>
        <v>0.11446120054004358</v>
      </c>
      <c r="CU72" s="12">
        <f t="shared" si="29"/>
        <v>1</v>
      </c>
      <c r="CV72" s="26"/>
      <c r="CW72" s="23">
        <f t="shared" si="30"/>
        <v>0.79345239246452504</v>
      </c>
      <c r="CX72" s="13">
        <f t="shared" si="31"/>
        <v>1.1068338932268624E-2</v>
      </c>
      <c r="CY72" s="13">
        <f t="shared" si="32"/>
        <v>0.27518457156966408</v>
      </c>
      <c r="CZ72" s="13">
        <f t="shared" si="33"/>
        <v>0</v>
      </c>
      <c r="DA72" s="13">
        <f t="shared" si="34"/>
        <v>0.17270194986072424</v>
      </c>
      <c r="DB72" s="13">
        <f t="shared" si="35"/>
        <v>8.6483577603879744E-2</v>
      </c>
      <c r="DC72" s="24">
        <f t="shared" si="36"/>
        <v>3.3935697167356282E-2</v>
      </c>
      <c r="DD72" s="13">
        <f t="shared" si="37"/>
        <v>0</v>
      </c>
      <c r="DE72" s="13">
        <f t="shared" si="38"/>
        <v>0.20751792108069611</v>
      </c>
      <c r="DF72" s="13">
        <f t="shared" si="39"/>
        <v>0.21247127568267965</v>
      </c>
      <c r="DG72" s="13">
        <f t="shared" si="40"/>
        <v>7.1319377474859905E-2</v>
      </c>
      <c r="DH72" s="13">
        <f t="shared" si="41"/>
        <v>4.2858778488076982E-3</v>
      </c>
      <c r="DI72" s="13">
        <f t="shared" si="42"/>
        <v>0</v>
      </c>
      <c r="DJ72" s="13">
        <f t="shared" si="93"/>
        <v>0.67213600448005317</v>
      </c>
      <c r="DK72" s="12">
        <f t="shared" si="94"/>
        <v>2.4201377093942789</v>
      </c>
      <c r="DL72" s="26"/>
      <c r="DM72" s="23">
        <f t="shared" si="154"/>
        <v>0.32785423299863098</v>
      </c>
      <c r="DN72" s="13">
        <f t="shared" si="154"/>
        <v>4.5734335237637572E-3</v>
      </c>
      <c r="DO72" s="13">
        <f t="shared" si="154"/>
        <v>0.1137061624640105</v>
      </c>
      <c r="DP72" s="13">
        <f t="shared" si="154"/>
        <v>0</v>
      </c>
      <c r="DQ72" s="13">
        <f t="shared" si="154"/>
        <v>7.1360381349517804E-2</v>
      </c>
      <c r="DR72" s="13">
        <f t="shared" si="295"/>
        <v>3.5734982050060773E-2</v>
      </c>
      <c r="DS72" s="13">
        <f t="shared" si="295"/>
        <v>1.4022217428218098E-2</v>
      </c>
      <c r="DT72" s="13">
        <f t="shared" si="295"/>
        <v>0</v>
      </c>
      <c r="DU72" s="13">
        <f t="shared" si="295"/>
        <v>8.5746327688367152E-2</v>
      </c>
      <c r="DV72" s="13">
        <f t="shared" si="295"/>
        <v>8.7793051964740368E-2</v>
      </c>
      <c r="DW72" s="13">
        <f t="shared" si="295"/>
        <v>2.9469140205542265E-2</v>
      </c>
      <c r="DX72" s="13">
        <f t="shared" si="295"/>
        <v>1.7709231306016811E-3</v>
      </c>
      <c r="DY72" s="13">
        <f t="shared" si="295"/>
        <v>0</v>
      </c>
      <c r="DZ72" s="13">
        <f t="shared" si="295"/>
        <v>0.27772634667482532</v>
      </c>
      <c r="EA72" s="12">
        <f t="shared" si="44"/>
        <v>1</v>
      </c>
      <c r="EB72" s="26"/>
      <c r="EC72" s="30">
        <f t="shared" si="45"/>
        <v>1323</v>
      </c>
      <c r="ED72" s="14">
        <f t="shared" si="96"/>
        <v>100000</v>
      </c>
      <c r="EE72" s="29"/>
      <c r="EF72" s="128">
        <f t="shared" si="124"/>
        <v>-8.7342365835222964</v>
      </c>
      <c r="EG72" s="13">
        <f t="shared" si="97"/>
        <v>1.5</v>
      </c>
      <c r="EH72" s="13">
        <f t="shared" si="98"/>
        <v>0.74926606198035017</v>
      </c>
      <c r="EI72" s="12">
        <f t="shared" si="46"/>
        <v>5.3414996220710531</v>
      </c>
      <c r="EJ72" s="29"/>
      <c r="EK72" s="28">
        <f t="shared" si="99"/>
        <v>-1.6289518667669194</v>
      </c>
      <c r="EL72" s="24">
        <f t="shared" si="100"/>
        <v>-0.70731735421924424</v>
      </c>
      <c r="EM72" s="24">
        <f t="shared" si="101"/>
        <v>0.19613504208498239</v>
      </c>
      <c r="EN72" s="24">
        <f t="shared" si="102"/>
        <v>4.6586221408509605E-2</v>
      </c>
      <c r="EO72" s="24">
        <f t="shared" si="103"/>
        <v>9.1371904965383399E-3</v>
      </c>
      <c r="EP72" s="24">
        <f t="shared" si="104"/>
        <v>0.2817485548458265</v>
      </c>
      <c r="EQ72" s="24">
        <f t="shared" si="105"/>
        <v>-1.6286342480401557</v>
      </c>
      <c r="ER72" s="24">
        <f t="shared" si="47"/>
        <v>-20.10929575626913</v>
      </c>
      <c r="ES72" s="25">
        <f t="shared" si="48"/>
        <v>-8.7317827860482549</v>
      </c>
      <c r="ET72" s="26">
        <v>6.3</v>
      </c>
      <c r="EU72" s="26">
        <v>0.29083888041780526</v>
      </c>
      <c r="EV72" s="26">
        <v>0.43888008998954919</v>
      </c>
      <c r="EW72" s="26">
        <v>0.2817485548458265</v>
      </c>
      <c r="EX72" s="26">
        <v>0.43633667605969639</v>
      </c>
      <c r="EY72" s="26">
        <f t="shared" si="106"/>
        <v>0.99420476346987319</v>
      </c>
      <c r="EZ72" s="26">
        <f t="shared" si="107"/>
        <v>1.0322639652116512</v>
      </c>
      <c r="FA72" s="23">
        <f t="shared" si="125"/>
        <v>-1.329582582559464</v>
      </c>
      <c r="FB72" s="190">
        <f t="shared" si="108"/>
        <v>4.4724555376811082E-2</v>
      </c>
      <c r="FC72" s="124">
        <v>6.2646889236044334E-2</v>
      </c>
      <c r="FD72" s="26"/>
      <c r="FE72" s="27">
        <f t="shared" si="109"/>
        <v>0.88818423022188309</v>
      </c>
      <c r="FF72" s="26"/>
      <c r="FG72" s="23">
        <f t="shared" si="282"/>
        <v>-4.9737061783825851</v>
      </c>
      <c r="FH72" s="13">
        <f t="shared" si="50"/>
        <v>13.357452495506369</v>
      </c>
      <c r="FI72" s="13">
        <f t="shared" si="283"/>
        <v>-21.845149910644157</v>
      </c>
      <c r="FJ72" s="13">
        <f t="shared" si="284"/>
        <v>-4.6337327270258299E-2</v>
      </c>
      <c r="FK72" s="12">
        <f t="shared" si="53"/>
        <v>0.48841774051028697</v>
      </c>
      <c r="FL72" s="13"/>
      <c r="FM72" s="23">
        <f t="shared" si="285"/>
        <v>-6.0813068339155922</v>
      </c>
      <c r="FN72" s="13">
        <f t="shared" si="286"/>
        <v>11.22568316214322</v>
      </c>
      <c r="FO72" s="13">
        <f t="shared" si="287"/>
        <v>11.748733035072064</v>
      </c>
      <c r="FP72" s="24">
        <f t="shared" si="288"/>
        <v>0.40809920697805813</v>
      </c>
      <c r="FQ72" s="25">
        <f t="shared" si="289"/>
        <v>0.69689132969053613</v>
      </c>
      <c r="FR72" s="13"/>
      <c r="FS72" s="23">
        <f t="shared" si="111"/>
        <v>11.214096143665955</v>
      </c>
      <c r="FT72" s="13">
        <f t="shared" si="126"/>
        <v>-6.1431789649406729</v>
      </c>
      <c r="FU72" s="13">
        <f t="shared" si="290"/>
        <v>-0.11119805843796371</v>
      </c>
      <c r="FV72" s="13">
        <f t="shared" si="58"/>
        <v>0.43633667605969639</v>
      </c>
      <c r="FW72" s="23">
        <f t="shared" si="291"/>
        <v>-0.11128059812050495</v>
      </c>
      <c r="FX72" s="13">
        <f t="shared" si="292"/>
        <v>0.43628993325979437</v>
      </c>
      <c r="FY72" s="13">
        <f t="shared" si="293"/>
        <v>-0.11124824740243966</v>
      </c>
      <c r="FZ72" s="13">
        <f t="shared" si="116"/>
        <v>0.43630825356301073</v>
      </c>
      <c r="GA72" s="13">
        <f t="shared" si="294"/>
        <v>-0.11128891255738793</v>
      </c>
      <c r="GB72" s="12">
        <f t="shared" si="118"/>
        <v>0.4362852247987381</v>
      </c>
      <c r="GC72" s="22"/>
      <c r="GD72" s="11">
        <f t="shared" si="143"/>
        <v>1.5</v>
      </c>
      <c r="GE72" s="10">
        <f t="shared" si="144"/>
        <v>0.74926606198035017</v>
      </c>
      <c r="GF72" s="10">
        <f t="shared" si="145"/>
        <v>5.3414996220710531</v>
      </c>
      <c r="GG72" s="5">
        <f t="shared" si="146"/>
        <v>-8.7342365835222964</v>
      </c>
      <c r="GH72" s="10">
        <f t="shared" si="147"/>
        <v>0.2817485548458265</v>
      </c>
      <c r="GI72" s="9">
        <f t="shared" si="276"/>
        <v>11.214096143665955</v>
      </c>
      <c r="GJ72" s="8">
        <f t="shared" si="277"/>
        <v>-6.1431789649406729</v>
      </c>
      <c r="GK72" s="8">
        <f t="shared" si="121"/>
        <v>0.43633667605969639</v>
      </c>
      <c r="GL72" s="7">
        <f t="shared" si="122"/>
        <v>0.43628993325979437</v>
      </c>
      <c r="GM72" s="6">
        <f t="shared" si="278"/>
        <v>0.40809920697805813</v>
      </c>
      <c r="GN72" s="5">
        <f t="shared" si="279"/>
        <v>0.69689132969053613</v>
      </c>
      <c r="GO72" s="4">
        <f t="shared" si="280"/>
        <v>0.48841774051028697</v>
      </c>
      <c r="GP72" s="4">
        <f t="shared" si="151"/>
        <v>0.88818423022188309</v>
      </c>
      <c r="GQ72" s="4">
        <f t="shared" si="152"/>
        <v>4.4724555376811082E-2</v>
      </c>
      <c r="GR72" s="1"/>
    </row>
    <row r="73" spans="1:200" x14ac:dyDescent="0.4">
      <c r="A73" s="32"/>
      <c r="B73" s="33"/>
      <c r="C73" s="33"/>
      <c r="D73" s="32"/>
      <c r="E73" s="32"/>
      <c r="F73" s="20" t="s">
        <v>84</v>
      </c>
      <c r="G73" s="19">
        <v>1050</v>
      </c>
      <c r="H73" s="18">
        <v>1E-4</v>
      </c>
      <c r="I73" s="17">
        <v>1.5</v>
      </c>
      <c r="J73" s="16">
        <v>49.6</v>
      </c>
      <c r="K73" s="16">
        <v>0.92</v>
      </c>
      <c r="L73" s="16">
        <v>14.6</v>
      </c>
      <c r="M73" s="16">
        <v>0</v>
      </c>
      <c r="N73" s="16">
        <v>9</v>
      </c>
      <c r="O73" s="16">
        <v>0</v>
      </c>
      <c r="P73" s="16">
        <v>8.6999999999999993</v>
      </c>
      <c r="Q73" s="16">
        <v>12.4</v>
      </c>
      <c r="R73" s="16">
        <v>2.2999999999999998</v>
      </c>
      <c r="S73" s="16">
        <v>0.21</v>
      </c>
      <c r="T73" s="16">
        <v>0</v>
      </c>
      <c r="U73" s="15">
        <v>6.4</v>
      </c>
      <c r="V73" s="16"/>
      <c r="W73" s="28">
        <f t="shared" si="69"/>
        <v>47.632766733890328</v>
      </c>
      <c r="X73" s="24">
        <f t="shared" si="156"/>
        <v>0.88351099587054649</v>
      </c>
      <c r="Y73" s="24">
        <f t="shared" si="156"/>
        <v>14.020935369249973</v>
      </c>
      <c r="Z73" s="24">
        <f t="shared" si="155"/>
        <v>0</v>
      </c>
      <c r="AA73" s="24">
        <f t="shared" si="155"/>
        <v>8.6430423509075194</v>
      </c>
      <c r="AB73" s="24">
        <f t="shared" si="155"/>
        <v>0</v>
      </c>
      <c r="AC73" s="24">
        <f t="shared" si="155"/>
        <v>8.3549409392106</v>
      </c>
      <c r="AD73" s="24">
        <f t="shared" si="155"/>
        <v>11.908191683472582</v>
      </c>
      <c r="AE73" s="24">
        <f t="shared" si="155"/>
        <v>2.2087774896763657</v>
      </c>
      <c r="AF73" s="24">
        <f t="shared" si="155"/>
        <v>0.20167098818784207</v>
      </c>
      <c r="AG73" s="24">
        <f t="shared" si="155"/>
        <v>0</v>
      </c>
      <c r="AH73" s="24">
        <f t="shared" si="155"/>
        <v>6.1461634495342361</v>
      </c>
      <c r="AI73" s="14">
        <f t="shared" si="123"/>
        <v>100</v>
      </c>
      <c r="AJ73" s="26"/>
      <c r="AK73" s="50">
        <f t="shared" si="70"/>
        <v>0.79269040994991391</v>
      </c>
      <c r="AL73" s="47">
        <f t="shared" si="71"/>
        <v>1.1057709585363534E-2</v>
      </c>
      <c r="AM73" s="47">
        <f t="shared" si="72"/>
        <v>0.13751407776824218</v>
      </c>
      <c r="AN73" s="49">
        <f t="shared" si="73"/>
        <v>0</v>
      </c>
      <c r="AO73" s="49">
        <f t="shared" si="74"/>
        <v>0.12029286500915129</v>
      </c>
      <c r="AP73" s="47">
        <f t="shared" si="75"/>
        <v>0</v>
      </c>
      <c r="AQ73" s="47">
        <f t="shared" si="76"/>
        <v>0.20721579710343749</v>
      </c>
      <c r="AR73" s="47">
        <f t="shared" si="77"/>
        <v>0.21234293301484633</v>
      </c>
      <c r="AS73" s="47">
        <f t="shared" si="78"/>
        <v>3.563693916870548E-2</v>
      </c>
      <c r="AT73" s="47">
        <f t="shared" si="79"/>
        <v>2.1408809786395123E-3</v>
      </c>
      <c r="AU73" s="47">
        <f t="shared" si="80"/>
        <v>0</v>
      </c>
      <c r="AV73" s="47">
        <f t="shared" si="81"/>
        <v>0.34107455324829278</v>
      </c>
      <c r="AW73" s="47">
        <f t="shared" si="82"/>
        <v>1.8599661658265925</v>
      </c>
      <c r="AX73" s="47">
        <f t="shared" si="83"/>
        <v>8.6414561332286186E-2</v>
      </c>
      <c r="AY73" s="46">
        <f t="shared" si="84"/>
        <v>1.6944532884787245E-2</v>
      </c>
      <c r="AZ73" s="26"/>
      <c r="BA73" s="23">
        <f t="shared" ref="BA73:BA95" si="296">IF(OR(AW73="",$AK73=""),"",AK73/$AW73)</f>
        <v>0.42618539224751556</v>
      </c>
      <c r="BB73" s="13">
        <f t="shared" ref="BB73:BB95" si="297">IF(OR(AW73="",$AL73=""),"",AL73/$AW73)</f>
        <v>5.9451132975041768E-3</v>
      </c>
      <c r="BC73" s="13">
        <f t="shared" ref="BC73:BC95" si="298">IF(OR(AW73="",$AM73=""),"",AM73/$AW73)</f>
        <v>7.3933644759139577E-2</v>
      </c>
      <c r="BD73" s="13">
        <f t="shared" ref="BD73:BD95" si="299">IF(OR(AW73="",$AN73=""),"",AN73/$AW73)</f>
        <v>0</v>
      </c>
      <c r="BE73" s="13">
        <f t="shared" ref="BE73:BE95" si="300">IF(OR(AW73="",$AO73=""),"",AO73/$AW73)</f>
        <v>6.4674759799026565E-2</v>
      </c>
      <c r="BF73" s="13">
        <f t="shared" ref="BF73:BF95" si="301">IF(OR(AW73="",$AX73=""),"",AX73/$AW73)</f>
        <v>4.6460286708431851E-2</v>
      </c>
      <c r="BG73" s="13">
        <f t="shared" ref="BG73:BG95" si="302">IF(OR(AW73="",$AY73=""),"",AY73/$AW73)</f>
        <v>9.1101296335984044E-3</v>
      </c>
      <c r="BH73" s="13">
        <f t="shared" ref="BH73:BH95" si="303">IF(OR(AW73="",$AP73=""),"",AP73/$AW73)</f>
        <v>0</v>
      </c>
      <c r="BI73" s="13">
        <f t="shared" ref="BI73:BI95" si="304">IF(OR(AW73="",$AQ73=""),"",AQ73/$AW73)</f>
        <v>0.11140836909328841</v>
      </c>
      <c r="BJ73" s="13">
        <f t="shared" ref="BJ73:BJ95" si="305">IF(OR(AW73="",$AR73=""),"",AR73/$AW73)</f>
        <v>0.11416494392008386</v>
      </c>
      <c r="BK73" s="13">
        <f t="shared" ref="BK73:BK95" si="306">IF(OR(AW73="",$AS73=""),"",AS73/$AW73)</f>
        <v>1.9159993242601793E-2</v>
      </c>
      <c r="BL73" s="13">
        <f t="shared" ref="BL73:BL95" si="307">IF(OR(AW73="",$AT73=""),"",AT73/$AW73)</f>
        <v>1.1510322165930785E-3</v>
      </c>
      <c r="BM73" s="13">
        <f t="shared" ref="BM73:BM95" si="308">IF(OR(AW73="",$AU73=""),"",AU73/$AW73)</f>
        <v>0</v>
      </c>
      <c r="BN73" s="13">
        <f t="shared" ref="BN73:BN95" si="309">IF(OR(AV73="",AW73=""),"",AV73/AW73)</f>
        <v>0.18337675142424698</v>
      </c>
      <c r="BO73" s="12">
        <f t="shared" ref="BO73:BO95" si="310">IF(SUM(BA73:BE73,BH73:BM73)=0,"",SUM(BA73:BE73,BH73:BM73))</f>
        <v>0.81662324857575308</v>
      </c>
      <c r="BP73" s="13"/>
      <c r="BQ73" s="23">
        <f t="shared" ref="BQ73:BQ95" si="311">IF(W73="","",W73/(60.09/2))</f>
        <v>1.5853808198998278</v>
      </c>
      <c r="BR73" s="13">
        <f t="shared" ref="BR73:BR95" si="312">IF(X73="","",X73/(79.9/2))</f>
        <v>2.2115419170727069E-2</v>
      </c>
      <c r="BS73" s="13">
        <f t="shared" ref="BS73:BS95" si="313">IF(Y73="","",Y73/(102/3))</f>
        <v>0.41238045203676388</v>
      </c>
      <c r="BT73" s="13">
        <f t="shared" ref="BT73:BT95" si="314">IF(Z73="","",Z73/(151.9922/3))</f>
        <v>0</v>
      </c>
      <c r="BU73" s="13">
        <f t="shared" ref="BU73:BU95" si="315">IF(AA73="","",AA73/(71.85))</f>
        <v>0.12029286500915129</v>
      </c>
      <c r="BV73" s="13">
        <f t="shared" ref="BV73:BV95" si="316">IF($AA73="","",$AA73*(1-$EP73)/71.85)</f>
        <v>8.6414561332286186E-2</v>
      </c>
      <c r="BW73" s="24">
        <f t="shared" ref="BW73:BW95" si="317">IF(AA73="","",$AA73*$EP73*1.111/(159.6/3))</f>
        <v>5.0833598654361739E-2</v>
      </c>
      <c r="BX73" s="13">
        <f t="shared" ref="BX73:BX95" si="318">IF(AB73="","",AB73/71)</f>
        <v>0</v>
      </c>
      <c r="BY73" s="13">
        <f t="shared" ref="BY73:BY95" si="319">IF(AC73="","",AC73/40.3)</f>
        <v>0.20731863372731019</v>
      </c>
      <c r="BZ73" s="13">
        <f t="shared" ref="BZ73:BZ95" si="320">IF(AD73="","",AD73/56.1)</f>
        <v>0.21226723143444887</v>
      </c>
      <c r="CA73" s="13">
        <f t="shared" ref="CA73:CA95" si="321">IF(AE73="","",AE73/62)</f>
        <v>3.5625443381876863E-2</v>
      </c>
      <c r="CB73" s="13">
        <f t="shared" ref="CB73:CB95" si="322">IF(AF73="","",AF73/94.2)</f>
        <v>2.1408809786395123E-3</v>
      </c>
      <c r="CC73" s="13">
        <f t="shared" ref="CC73:CC95" si="323">IF(AG73="","",AG73/(70.97/5))</f>
        <v>0</v>
      </c>
      <c r="CD73" s="13">
        <f t="shared" ref="CD73:CD95" si="324">IF(AH73="","",AH73/(18.02))</f>
        <v>0.34107455324829278</v>
      </c>
      <c r="CE73" s="12">
        <f t="shared" ref="CE73:CE95" si="325">IF(SUM(BQ73:BU73,BX73:CD73)=0,"",SUM(BQ73:BU73,BX73:CD73))</f>
        <v>2.9385962988870387</v>
      </c>
      <c r="CF73" s="13"/>
      <c r="CG73" s="23">
        <f t="shared" si="281"/>
        <v>0.53950276208415338</v>
      </c>
      <c r="CH73" s="13">
        <f t="shared" si="281"/>
        <v>7.5258446283019698E-3</v>
      </c>
      <c r="CI73" s="13">
        <f t="shared" si="281"/>
        <v>0.14033246152013071</v>
      </c>
      <c r="CJ73" s="13">
        <f t="shared" si="281"/>
        <v>0</v>
      </c>
      <c r="CK73" s="13">
        <f t="shared" si="281"/>
        <v>4.0935485100389905E-2</v>
      </c>
      <c r="CL73" s="13">
        <f t="shared" si="281"/>
        <v>2.9406748169190425E-2</v>
      </c>
      <c r="CM73" s="13">
        <f t="shared" si="281"/>
        <v>1.7298598883288056E-2</v>
      </c>
      <c r="CN73" s="13">
        <f t="shared" si="281"/>
        <v>0</v>
      </c>
      <c r="CO73" s="13">
        <f t="shared" si="281"/>
        <v>7.055022624435682E-2</v>
      </c>
      <c r="CP73" s="13">
        <f t="shared" si="157"/>
        <v>7.2234226768352894E-2</v>
      </c>
      <c r="CQ73" s="13">
        <f t="shared" si="157"/>
        <v>1.2123286004059017E-2</v>
      </c>
      <c r="CR73" s="13">
        <f t="shared" si="157"/>
        <v>7.2853864937158866E-4</v>
      </c>
      <c r="CS73" s="13">
        <f t="shared" si="157"/>
        <v>0</v>
      </c>
      <c r="CT73" s="13">
        <f t="shared" si="157"/>
        <v>0.11606716900088353</v>
      </c>
      <c r="CU73" s="12">
        <f t="shared" ref="CU73:CU95" si="326">IF(SUM(CG73:CK73,CN73:CT73)=0,"",SUM(CG73:CK73,CN73:CT73))</f>
        <v>0.99999999999999978</v>
      </c>
      <c r="CV73" s="26"/>
      <c r="CW73" s="23">
        <f t="shared" ref="CW73:CW95" si="327">IF(W73="","",W73/60.09)</f>
        <v>0.79269040994991391</v>
      </c>
      <c r="CX73" s="13">
        <f t="shared" ref="CX73:CX95" si="328">IF(X73="","",X73/79.9)</f>
        <v>1.1057709585363534E-2</v>
      </c>
      <c r="CY73" s="13">
        <f t="shared" ref="CY73:CY95" si="329">IF(Y73="","",Y73/(102/2))</f>
        <v>0.27492030135784262</v>
      </c>
      <c r="CZ73" s="13">
        <f t="shared" ref="CZ73:CZ95" si="330">IF(Z73="","",Z73/(151.9922/2))</f>
        <v>0</v>
      </c>
      <c r="DA73" s="13">
        <f t="shared" ref="DA73:DA95" si="331">IF(Q73="","",Q73/71.8)</f>
        <v>0.17270194986072424</v>
      </c>
      <c r="DB73" s="13">
        <f t="shared" ref="DB73:DB95" si="332">IF($AA73="","",$AA73*(1-$EP73)/71.85)</f>
        <v>8.6414561332286186E-2</v>
      </c>
      <c r="DC73" s="24">
        <f t="shared" ref="DC73:DC95" si="333">IF($AA73="","",$AA73*$EP73*1.111/(159.6/2))</f>
        <v>3.388906576957449E-2</v>
      </c>
      <c r="DD73" s="13">
        <f t="shared" ref="DD73:DD95" si="334">IF(AB73="","",AB73/71)</f>
        <v>0</v>
      </c>
      <c r="DE73" s="13">
        <f t="shared" ref="DE73:DE95" si="335">IF(AC73="","",AC73/40.3)</f>
        <v>0.20731863372731019</v>
      </c>
      <c r="DF73" s="13">
        <f t="shared" ref="DF73:DF95" si="336">IF(AD73="","",AD73/56.1)</f>
        <v>0.21226723143444887</v>
      </c>
      <c r="DG73" s="13">
        <f t="shared" ref="DG73:DG95" si="337">IF(AE73="","",AE73/(62/2))</f>
        <v>7.1250886763753726E-2</v>
      </c>
      <c r="DH73" s="13">
        <f t="shared" ref="DH73:DH95" si="338">IF(AF73="","",AF73/(94.2/2))</f>
        <v>4.2817619572790245E-3</v>
      </c>
      <c r="DI73" s="13">
        <f t="shared" ref="DI73:DI95" si="339">IF(AG73="","",AG73/(70.97/2))</f>
        <v>0</v>
      </c>
      <c r="DJ73" s="13">
        <f t="shared" si="93"/>
        <v>0.68214910649658556</v>
      </c>
      <c r="DK73" s="12">
        <f t="shared" si="94"/>
        <v>2.4286379911332219</v>
      </c>
      <c r="DL73" s="26"/>
      <c r="DM73" s="23">
        <f t="shared" si="154"/>
        <v>0.32639298769267716</v>
      </c>
      <c r="DN73" s="13">
        <f t="shared" si="154"/>
        <v>4.5530497446447009E-3</v>
      </c>
      <c r="DO73" s="13">
        <f t="shared" si="154"/>
        <v>0.11319937444837656</v>
      </c>
      <c r="DP73" s="13">
        <f t="shared" si="154"/>
        <v>0</v>
      </c>
      <c r="DQ73" s="13">
        <f t="shared" si="154"/>
        <v>7.1110618581792059E-2</v>
      </c>
      <c r="DR73" s="13">
        <f t="shared" si="295"/>
        <v>3.5581491209385412E-2</v>
      </c>
      <c r="DS73" s="13">
        <f t="shared" si="295"/>
        <v>1.3953938748097069E-2</v>
      </c>
      <c r="DT73" s="13">
        <f t="shared" si="295"/>
        <v>0</v>
      </c>
      <c r="DU73" s="13">
        <f t="shared" si="295"/>
        <v>8.5364156570149702E-2</v>
      </c>
      <c r="DV73" s="13">
        <f t="shared" si="295"/>
        <v>8.7401758602731597E-2</v>
      </c>
      <c r="DW73" s="13">
        <f t="shared" si="295"/>
        <v>2.9337796338476732E-2</v>
      </c>
      <c r="DX73" s="13">
        <f t="shared" si="295"/>
        <v>1.7630301316669762E-3</v>
      </c>
      <c r="DY73" s="13">
        <f t="shared" si="295"/>
        <v>0</v>
      </c>
      <c r="DZ73" s="13">
        <f t="shared" si="295"/>
        <v>0.28087722788948438</v>
      </c>
      <c r="EA73" s="12">
        <f t="shared" ref="EA73:EA95" si="340">IF($DK73="","",DK73/$DK73)</f>
        <v>1</v>
      </c>
      <c r="EB73" s="26"/>
      <c r="EC73" s="30">
        <f t="shared" ref="EC73:EC95" si="341">IF(G73="","",G73+273)</f>
        <v>1323</v>
      </c>
      <c r="ED73" s="14">
        <f t="shared" ref="ED73:ED95" si="342">IF(H73="","",H73*1000000000)</f>
        <v>100000</v>
      </c>
      <c r="EE73" s="29"/>
      <c r="EF73" s="128">
        <f t="shared" si="124"/>
        <v>-8.7342365835222964</v>
      </c>
      <c r="EG73" s="13">
        <f t="shared" si="97"/>
        <v>1.5</v>
      </c>
      <c r="EH73" s="13">
        <f t="shared" si="98"/>
        <v>0.74926606198035017</v>
      </c>
      <c r="EI73" s="12">
        <f t="shared" ref="EI73:EI95" si="343">IF(EF73="","",27489/($EC73)-6.702-0.055*($ED73/100000)/($EC73)+$EF73)</f>
        <v>5.3414996220710531</v>
      </c>
      <c r="EJ73" s="29"/>
      <c r="EK73" s="28">
        <f t="shared" si="99"/>
        <v>-1.6295285761473299</v>
      </c>
      <c r="EL73" s="24">
        <f t="shared" ref="EL73:EL95" si="344">IF(EK73="","",EK73/2.303)</f>
        <v>-0.70756777079779853</v>
      </c>
      <c r="EM73" s="24">
        <f t="shared" si="101"/>
        <v>0.19602196177675615</v>
      </c>
      <c r="EN73" s="24">
        <f t="shared" ref="EN73:EN95" si="345">IF(OR(AA73=0,EM73=""),"",BE73/(1+2*EM73))</f>
        <v>4.6460286708431851E-2</v>
      </c>
      <c r="EO73" s="24">
        <f t="shared" ref="EO73:EO95" si="346">IF(OR(AA73=0,EM73=""),"",EM73*EN73)</f>
        <v>9.1072365452973605E-3</v>
      </c>
      <c r="EP73" s="24">
        <f t="shared" ref="EP73:EP95" si="347">IF(EN73="","",EO73*2/(EO73*2+EN73))</f>
        <v>0.28163186298944509</v>
      </c>
      <c r="EQ73" s="24">
        <f t="shared" ref="EQ73:EQ95" si="348">IF(AA73="","",LN(AY73/AX73))</f>
        <v>-1.629210957420566</v>
      </c>
      <c r="ER73" s="24">
        <f t="shared" ref="ER73:ER95" si="349">IF(EQ73="","",(11492/$EC73-6.675+($BC73*-2.243+$BE73*-1.828+$BJ73*3.201+$BK73*5.854+$BL73*6.215)-3.36*(1-1673/$EC73-LN($EC73/1673))-0.000000701*($ED73/$EC73)-0.000000000154*(($EC73-1673)*$ED73/$EC73)+0.0000000000000000385*($ED73^2/$EC73)-$EQ73)/-0.196)</f>
        <v>-20.109295756269134</v>
      </c>
      <c r="ES73" s="25">
        <f t="shared" ref="ES73:ES95" si="350">IF(ER73="","",ER73/2.303)</f>
        <v>-8.7317827860482566</v>
      </c>
      <c r="ET73" s="26">
        <v>6.4</v>
      </c>
      <c r="EU73" s="26">
        <v>0.2908388804178052</v>
      </c>
      <c r="EV73" s="26">
        <v>0.44121564008908432</v>
      </c>
      <c r="EW73" s="26">
        <v>0.28163186298944509</v>
      </c>
      <c r="EX73" s="26">
        <v>0.43864425615219227</v>
      </c>
      <c r="EY73" s="26">
        <f t="shared" si="106"/>
        <v>0.9941720471731853</v>
      </c>
      <c r="EZ73" s="26">
        <f t="shared" si="107"/>
        <v>1.0326916753332884</v>
      </c>
      <c r="FA73" s="23">
        <f t="shared" si="125"/>
        <v>-1.3315862761720574</v>
      </c>
      <c r="FB73" s="190">
        <f t="shared" ref="FB73:FC95" si="351">IF(FA73="","",1-1/(1+10^FA73))</f>
        <v>4.4527853001640194E-2</v>
      </c>
      <c r="FC73" s="124">
        <v>6.2646889236044001E-2</v>
      </c>
      <c r="FD73" s="26"/>
      <c r="FE73" s="27">
        <f t="shared" ref="FE73:FE95" si="352">IF(EG73="","",1/(1+10^(2.1-2*EG73)))</f>
        <v>0.88818423022188309</v>
      </c>
      <c r="FF73" s="26"/>
      <c r="FG73" s="23">
        <f t="shared" si="282"/>
        <v>-4.990187305945712</v>
      </c>
      <c r="FH73" s="13">
        <f t="shared" ref="FH73:FH95" si="353">IF($EA73="","",-8.02+(21100+44000*$DW73+18700*$DU73+4300*$DO73+44200*$DX73+35600*$DV73+12600*$DT73+16500*$DR73)/($EC73))</f>
        <v>13.333328208552214</v>
      </c>
      <c r="FI73" s="13">
        <f t="shared" si="283"/>
        <v>-21.845149910644157</v>
      </c>
      <c r="FJ73" s="13">
        <f t="shared" si="284"/>
        <v>-5.3980486661288296E-2</v>
      </c>
      <c r="FK73" s="12">
        <f t="shared" ref="FK73:FK95" si="354">IF(FJ73="","",1-1/(1+EXP(FJ73)))</f>
        <v>0.48650815432507166</v>
      </c>
      <c r="FL73" s="13"/>
      <c r="FM73" s="23">
        <f t="shared" si="285"/>
        <v>-6.0819501196953034</v>
      </c>
      <c r="FN73" s="13">
        <f t="shared" si="286"/>
        <v>11.221930248527563</v>
      </c>
      <c r="FO73" s="13">
        <f t="shared" si="287"/>
        <v>11.745053397891184</v>
      </c>
      <c r="FP73" s="24">
        <f t="shared" si="288"/>
        <v>0.40637077919304865</v>
      </c>
      <c r="FQ73" s="25">
        <f t="shared" si="289"/>
        <v>0.6954124678166318</v>
      </c>
      <c r="FR73" s="13"/>
      <c r="FS73" s="23">
        <f t="shared" ref="FS73:FS95" si="355">IF($CU73="","",195.99657+(-7632.6971*$CG73-10669.7107*$CH73-6900.9065*$CI73-4625.0612*$CK73+19113.53*$CN73+11739.931*$CP73+33266.912*$CQ73-4094.9829)/$EC73-57.2083*LOG($EC73))</f>
        <v>11.2197328671148</v>
      </c>
      <c r="FT73" s="13">
        <f t="shared" ref="FT73:FT95" si="356">IF($CU73="","",0.646657+(-3368.52*$CG73-1233.439*$CI73+1295.54*$CP73+44885.3*$CR73+10914.48*($CG73*$CL73)-225569.4*($CL73*$CQ73)-871863.8*($CL73*$CR73)+54392.37*($CL73*$CI73)-7584.703)/($EC73)+3.86057*ERF($CL73))</f>
        <v>-6.1416145760232359</v>
      </c>
      <c r="FU73" s="13">
        <f t="shared" si="290"/>
        <v>-0.10712572390655595</v>
      </c>
      <c r="FV73" s="13">
        <f t="shared" ref="FV73:FV95" si="357">IF($FU73="","",1-1/(1+10^FU73))</f>
        <v>0.43864425615219227</v>
      </c>
      <c r="FW73" s="23">
        <f t="shared" si="291"/>
        <v>-0.10720826358909719</v>
      </c>
      <c r="FX73" s="13">
        <f t="shared" si="292"/>
        <v>0.43859745850327891</v>
      </c>
      <c r="FY73" s="13">
        <f t="shared" si="293"/>
        <v>-0.1071759128710319</v>
      </c>
      <c r="FZ73" s="13">
        <f t="shared" si="116"/>
        <v>0.43861580030882619</v>
      </c>
      <c r="GA73" s="13">
        <f t="shared" si="294"/>
        <v>-0.10721657802598017</v>
      </c>
      <c r="GB73" s="12">
        <f t="shared" si="118"/>
        <v>0.43859274451493713</v>
      </c>
      <c r="GC73" s="22"/>
      <c r="GD73" s="11">
        <f t="shared" ref="GD73:GD95" si="358">EG73</f>
        <v>1.5</v>
      </c>
      <c r="GE73" s="10">
        <f t="shared" ref="GE73:GE95" si="359">EH73</f>
        <v>0.74926606198035017</v>
      </c>
      <c r="GF73" s="10">
        <f t="shared" ref="GF73:GF95" si="360">EI73</f>
        <v>5.3414996220710531</v>
      </c>
      <c r="GG73" s="5">
        <f t="shared" ref="GG73:GG95" si="361">EF73</f>
        <v>-8.7342365835222964</v>
      </c>
      <c r="GH73" s="10">
        <f t="shared" ref="GH73:GH95" si="362">EP73</f>
        <v>0.28163186298944509</v>
      </c>
      <c r="GI73" s="9">
        <f t="shared" si="276"/>
        <v>11.2197328671148</v>
      </c>
      <c r="GJ73" s="8">
        <f t="shared" si="277"/>
        <v>-6.1416145760232359</v>
      </c>
      <c r="GK73" s="8">
        <f t="shared" si="121"/>
        <v>0.43864425615219227</v>
      </c>
      <c r="GL73" s="7">
        <f t="shared" si="122"/>
        <v>0.43859745850327891</v>
      </c>
      <c r="GM73" s="6">
        <f t="shared" si="278"/>
        <v>0.40637077919304865</v>
      </c>
      <c r="GN73" s="5">
        <f t="shared" si="279"/>
        <v>0.6954124678166318</v>
      </c>
      <c r="GO73" s="4">
        <f t="shared" si="280"/>
        <v>0.48650815432507166</v>
      </c>
      <c r="GP73" s="4">
        <f t="shared" ref="GP73:GP95" si="363">FE73</f>
        <v>0.88818423022188309</v>
      </c>
      <c r="GQ73" s="4">
        <f t="shared" ref="GQ73:GQ95" si="364">FB73</f>
        <v>4.4527853001640194E-2</v>
      </c>
      <c r="GR73" s="1"/>
    </row>
    <row r="74" spans="1:200" x14ac:dyDescent="0.4">
      <c r="A74" s="32"/>
      <c r="B74" s="33"/>
      <c r="C74" s="33"/>
      <c r="D74" s="32"/>
      <c r="E74" s="32"/>
      <c r="F74" s="20" t="s">
        <v>84</v>
      </c>
      <c r="G74" s="19">
        <v>1050</v>
      </c>
      <c r="H74" s="18">
        <v>1E-4</v>
      </c>
      <c r="I74" s="17">
        <v>1.5</v>
      </c>
      <c r="J74" s="16">
        <v>49.6</v>
      </c>
      <c r="K74" s="16">
        <v>0.92</v>
      </c>
      <c r="L74" s="16">
        <v>14.6</v>
      </c>
      <c r="M74" s="16">
        <v>0</v>
      </c>
      <c r="N74" s="16">
        <v>9</v>
      </c>
      <c r="O74" s="16">
        <v>0</v>
      </c>
      <c r="P74" s="16">
        <v>8.6999999999999993</v>
      </c>
      <c r="Q74" s="16">
        <v>12.4</v>
      </c>
      <c r="R74" s="16">
        <v>2.2999999999999998</v>
      </c>
      <c r="S74" s="16">
        <v>0.21</v>
      </c>
      <c r="T74" s="16">
        <v>0</v>
      </c>
      <c r="U74" s="15">
        <v>6.5</v>
      </c>
      <c r="V74" s="16"/>
      <c r="W74" s="28">
        <f t="shared" ref="W74:W95" si="365">IF(J74="","",J74/SUM($J74:$U74)*100)</f>
        <v>47.587067063225561</v>
      </c>
      <c r="X74" s="24">
        <f t="shared" si="156"/>
        <v>0.88266334068886121</v>
      </c>
      <c r="Y74" s="24">
        <f t="shared" si="156"/>
        <v>14.007483450062361</v>
      </c>
      <c r="Z74" s="24">
        <f t="shared" si="155"/>
        <v>0</v>
      </c>
      <c r="AA74" s="24">
        <f t="shared" si="155"/>
        <v>8.6347500719562493</v>
      </c>
      <c r="AB74" s="24">
        <f t="shared" si="155"/>
        <v>0</v>
      </c>
      <c r="AC74" s="24">
        <f t="shared" si="155"/>
        <v>8.3469250695577077</v>
      </c>
      <c r="AD74" s="24">
        <f t="shared" si="155"/>
        <v>11.89676676580639</v>
      </c>
      <c r="AE74" s="24">
        <f t="shared" si="155"/>
        <v>2.2066583517221527</v>
      </c>
      <c r="AF74" s="24">
        <f t="shared" si="155"/>
        <v>0.20147750167897915</v>
      </c>
      <c r="AG74" s="24">
        <f t="shared" si="155"/>
        <v>0</v>
      </c>
      <c r="AH74" s="24">
        <f t="shared" si="155"/>
        <v>6.2362083853017367</v>
      </c>
      <c r="AI74" s="14">
        <f t="shared" ref="AI74:AI95" si="366">SUM(W74:AH74)</f>
        <v>100.00000000000001</v>
      </c>
      <c r="AJ74" s="26"/>
      <c r="AK74" s="50">
        <f t="shared" ref="AK74:AK95" si="367">IF(W74="","",W74/60.09)</f>
        <v>0.79192988955276344</v>
      </c>
      <c r="AL74" s="47">
        <f t="shared" ref="AL74:AL95" si="368">IF(X74="","",X74/79.9)</f>
        <v>1.104710063440377E-2</v>
      </c>
      <c r="AM74" s="47">
        <f t="shared" ref="AM74:AM95" si="369">IF(Y74="","",Y74/101.96)</f>
        <v>0.13738214446903063</v>
      </c>
      <c r="AN74" s="49">
        <f t="shared" ref="AN74:AN95" si="370">IF(Z74="","",Z74/151.9922)</f>
        <v>0</v>
      </c>
      <c r="AO74" s="49">
        <f t="shared" ref="AO74:AO95" si="371">IF(AA74="","",AA74/71.85)</f>
        <v>0.12017745402861865</v>
      </c>
      <c r="AP74" s="47">
        <f t="shared" ref="AP74:AP95" si="372">IF(AB74="","",AB74/71)</f>
        <v>0</v>
      </c>
      <c r="AQ74" s="47">
        <f t="shared" ref="AQ74:AQ95" si="373">IF(AC74="","",AC74/40.32)</f>
        <v>0.20701699081244315</v>
      </c>
      <c r="AR74" s="47">
        <f t="shared" ref="AR74:AR95" si="374">IF(AD74="","",AD74/56.08)</f>
        <v>0.2121392076641653</v>
      </c>
      <c r="AS74" s="47">
        <f t="shared" ref="AS74:AS95" si="375">IF(AE74="","",AE74/61.98)</f>
        <v>3.5602748495033122E-2</v>
      </c>
      <c r="AT74" s="47">
        <f t="shared" ref="AT74:AT95" si="376">IF(AF74="","",AF74/94.2)</f>
        <v>2.1388269817301394E-3</v>
      </c>
      <c r="AU74" s="47">
        <f t="shared" ref="AU74:AU95" si="377">IF(AG74="","",AG74/70.97)</f>
        <v>0</v>
      </c>
      <c r="AV74" s="47">
        <f t="shared" ref="AV74:AV95" si="378">IF(AH74="","",AH74/18.02)</f>
        <v>0.34607149751951927</v>
      </c>
      <c r="AW74" s="47">
        <f t="shared" ref="AW74:AW95" si="379">IF(SUM(AK74:AV74)=0,"",SUM(AK74:AV74))</f>
        <v>1.8635058601577073</v>
      </c>
      <c r="AX74" s="47">
        <f t="shared" ref="AX74:AX95" si="380">IF(OR(AA74="",I74=""),"",$AA74*(1-$EP74)/71.85)</f>
        <v>8.6345593856209546E-2</v>
      </c>
      <c r="AY74" s="46">
        <f t="shared" ref="AY74:AY95" si="381">IF(OR(AA74="",I74=""),"",($AA74*$EP74)*1.111/159.6)</f>
        <v>1.6921303755724409E-2</v>
      </c>
      <c r="AZ74" s="26"/>
      <c r="BA74" s="23">
        <f t="shared" si="296"/>
        <v>0.42496774841681634</v>
      </c>
      <c r="BB74" s="13">
        <f t="shared" si="297"/>
        <v>5.9281276601238385E-3</v>
      </c>
      <c r="BC74" s="13">
        <f t="shared" si="298"/>
        <v>7.3722410756145454E-2</v>
      </c>
      <c r="BD74" s="13">
        <f t="shared" si="299"/>
        <v>0</v>
      </c>
      <c r="BE74" s="13">
        <f t="shared" si="300"/>
        <v>6.448997912914968E-2</v>
      </c>
      <c r="BF74" s="13">
        <f t="shared" si="301"/>
        <v>4.6335026737668629E-2</v>
      </c>
      <c r="BG74" s="13">
        <f t="shared" si="302"/>
        <v>9.0803598300959309E-3</v>
      </c>
      <c r="BH74" s="13">
        <f t="shared" si="303"/>
        <v>0</v>
      </c>
      <c r="BI74" s="13">
        <f t="shared" si="304"/>
        <v>0.11109006697458061</v>
      </c>
      <c r="BJ74" s="13">
        <f t="shared" si="305"/>
        <v>0.11383876605905179</v>
      </c>
      <c r="BK74" s="13">
        <f t="shared" si="306"/>
        <v>1.9105251695865386E-2</v>
      </c>
      <c r="BL74" s="13">
        <f t="shared" si="307"/>
        <v>1.1477436306796115E-3</v>
      </c>
      <c r="BM74" s="13">
        <f t="shared" si="308"/>
        <v>0</v>
      </c>
      <c r="BN74" s="13">
        <f t="shared" si="309"/>
        <v>0.18570990567758744</v>
      </c>
      <c r="BO74" s="12">
        <f t="shared" si="310"/>
        <v>0.81429009432241262</v>
      </c>
      <c r="BP74" s="13"/>
      <c r="BQ74" s="23">
        <f t="shared" si="311"/>
        <v>1.5838597791055269</v>
      </c>
      <c r="BR74" s="13">
        <f t="shared" si="312"/>
        <v>2.209420126880754E-2</v>
      </c>
      <c r="BS74" s="13">
        <f t="shared" si="313"/>
        <v>0.41198480735477533</v>
      </c>
      <c r="BT74" s="13">
        <f t="shared" si="314"/>
        <v>0</v>
      </c>
      <c r="BU74" s="13">
        <f t="shared" si="315"/>
        <v>0.12017745402861865</v>
      </c>
      <c r="BV74" s="13">
        <f t="shared" si="316"/>
        <v>8.6345593856209546E-2</v>
      </c>
      <c r="BW74" s="24">
        <f t="shared" si="317"/>
        <v>5.076391126717323E-2</v>
      </c>
      <c r="BX74" s="13">
        <f t="shared" si="318"/>
        <v>0</v>
      </c>
      <c r="BY74" s="13">
        <f t="shared" si="319"/>
        <v>0.20711972877314413</v>
      </c>
      <c r="BZ74" s="13">
        <f t="shared" si="320"/>
        <v>0.21206357871312639</v>
      </c>
      <c r="CA74" s="13">
        <f t="shared" si="321"/>
        <v>3.5591263737454075E-2</v>
      </c>
      <c r="CB74" s="13">
        <f t="shared" si="322"/>
        <v>2.1388269817301394E-3</v>
      </c>
      <c r="CC74" s="13">
        <f t="shared" si="323"/>
        <v>0</v>
      </c>
      <c r="CD74" s="13">
        <f t="shared" si="324"/>
        <v>0.34607149751951927</v>
      </c>
      <c r="CE74" s="12">
        <f t="shared" si="325"/>
        <v>2.9411011374827023</v>
      </c>
      <c r="CF74" s="13"/>
      <c r="CG74" s="23">
        <f t="shared" si="281"/>
        <v>0.53852611830314601</v>
      </c>
      <c r="CH74" s="13">
        <f t="shared" si="281"/>
        <v>7.512220843829273E-3</v>
      </c>
      <c r="CI74" s="13">
        <f t="shared" si="281"/>
        <v>0.1400784223650991</v>
      </c>
      <c r="CJ74" s="13">
        <f t="shared" si="281"/>
        <v>0</v>
      </c>
      <c r="CK74" s="13">
        <f t="shared" si="281"/>
        <v>4.0861380962736601E-2</v>
      </c>
      <c r="CL74" s="13">
        <f t="shared" si="281"/>
        <v>2.9358253871579885E-2</v>
      </c>
      <c r="CM74" s="13">
        <f t="shared" si="281"/>
        <v>1.7260171920038841E-2</v>
      </c>
      <c r="CN74" s="13">
        <f t="shared" si="281"/>
        <v>0</v>
      </c>
      <c r="CO74" s="13">
        <f t="shared" si="281"/>
        <v>7.0422511532676688E-2</v>
      </c>
      <c r="CP74" s="13">
        <f t="shared" si="157"/>
        <v>7.2103463566925236E-2</v>
      </c>
      <c r="CQ74" s="13">
        <f t="shared" si="157"/>
        <v>1.2101339625442718E-2</v>
      </c>
      <c r="CR74" s="13">
        <f t="shared" si="157"/>
        <v>7.2721980025507323E-4</v>
      </c>
      <c r="CS74" s="13">
        <f t="shared" si="157"/>
        <v>0</v>
      </c>
      <c r="CT74" s="13">
        <f t="shared" si="157"/>
        <v>0.1176673229998894</v>
      </c>
      <c r="CU74" s="12">
        <f t="shared" si="326"/>
        <v>1</v>
      </c>
      <c r="CV74" s="26"/>
      <c r="CW74" s="23">
        <f t="shared" si="327"/>
        <v>0.79192988955276344</v>
      </c>
      <c r="CX74" s="13">
        <f t="shared" si="328"/>
        <v>1.104710063440377E-2</v>
      </c>
      <c r="CY74" s="13">
        <f t="shared" si="329"/>
        <v>0.27465653823651687</v>
      </c>
      <c r="CZ74" s="13">
        <f t="shared" si="330"/>
        <v>0</v>
      </c>
      <c r="DA74" s="13">
        <f t="shared" si="331"/>
        <v>0.17270194986072424</v>
      </c>
      <c r="DB74" s="13">
        <f t="shared" si="332"/>
        <v>8.6345593856209546E-2</v>
      </c>
      <c r="DC74" s="24">
        <f t="shared" si="333"/>
        <v>3.3842607511448818E-2</v>
      </c>
      <c r="DD74" s="13">
        <f t="shared" si="334"/>
        <v>0</v>
      </c>
      <c r="DE74" s="13">
        <f t="shared" si="335"/>
        <v>0.20711972877314413</v>
      </c>
      <c r="DF74" s="13">
        <f t="shared" si="336"/>
        <v>0.21206357871312639</v>
      </c>
      <c r="DG74" s="13">
        <f t="shared" si="337"/>
        <v>7.118252747490815E-2</v>
      </c>
      <c r="DH74" s="13">
        <f t="shared" si="338"/>
        <v>4.2776539634602788E-3</v>
      </c>
      <c r="DI74" s="13">
        <f t="shared" si="339"/>
        <v>0</v>
      </c>
      <c r="DJ74" s="13">
        <f t="shared" ref="DJ74:DJ95" si="382">IF(AH74="","",AH74/(18.02/2))</f>
        <v>0.69214299503903853</v>
      </c>
      <c r="DK74" s="12">
        <f t="shared" ref="DK74:DK95" si="383">IF(SUM(CW74:DA74,DD74:DJ74)=0,"",SUM(CW74:DA74,DD74:DJ74))</f>
        <v>2.437121962248086</v>
      </c>
      <c r="DL74" s="26"/>
      <c r="DM74" s="23">
        <f t="shared" si="154"/>
        <v>0.32494471012122011</v>
      </c>
      <c r="DN74" s="13">
        <f t="shared" si="154"/>
        <v>4.5328468601602279E-3</v>
      </c>
      <c r="DO74" s="13">
        <f t="shared" si="154"/>
        <v>0.11269708389282419</v>
      </c>
      <c r="DP74" s="13">
        <f t="shared" si="154"/>
        <v>0</v>
      </c>
      <c r="DQ74" s="13">
        <f t="shared" si="154"/>
        <v>7.086307231888303E-2</v>
      </c>
      <c r="DR74" s="13">
        <f t="shared" si="295"/>
        <v>3.5429328196838111E-2</v>
      </c>
      <c r="DS74" s="13">
        <f t="shared" si="295"/>
        <v>1.3886300331162426E-2</v>
      </c>
      <c r="DT74" s="13">
        <f t="shared" si="295"/>
        <v>0</v>
      </c>
      <c r="DU74" s="13">
        <f t="shared" si="295"/>
        <v>8.4985377006774707E-2</v>
      </c>
      <c r="DV74" s="13">
        <f t="shared" si="295"/>
        <v>8.7013937750374859E-2</v>
      </c>
      <c r="DW74" s="13">
        <f t="shared" si="295"/>
        <v>2.9207618074742109E-2</v>
      </c>
      <c r="DX74" s="13">
        <f t="shared" si="295"/>
        <v>1.7552071786815389E-3</v>
      </c>
      <c r="DY74" s="13">
        <f t="shared" si="295"/>
        <v>0</v>
      </c>
      <c r="DZ74" s="13">
        <f t="shared" si="295"/>
        <v>0.28400014679633917</v>
      </c>
      <c r="EA74" s="12">
        <f t="shared" si="340"/>
        <v>1</v>
      </c>
      <c r="EB74" s="26"/>
      <c r="EC74" s="30">
        <f t="shared" si="341"/>
        <v>1323</v>
      </c>
      <c r="ED74" s="14">
        <f t="shared" si="342"/>
        <v>100000</v>
      </c>
      <c r="EE74" s="29"/>
      <c r="EF74" s="128">
        <f t="shared" si="124"/>
        <v>-8.7342365835222964</v>
      </c>
      <c r="EG74" s="13">
        <f t="shared" ref="EG74:EG95" si="384">IF(I74="","",I74)</f>
        <v>1.5</v>
      </c>
      <c r="EH74" s="13">
        <f t="shared" ref="EH74:EH95" si="385">IF(EF74="","",24930/($EC74)-9.36-0.046*($ED74/100000)/($EC74)+$EF74)</f>
        <v>0.74926606198035017</v>
      </c>
      <c r="EI74" s="12">
        <f t="shared" si="343"/>
        <v>5.3414996220710531</v>
      </c>
      <c r="EJ74" s="29"/>
      <c r="EK74" s="28">
        <f t="shared" ref="EK74:EK95" si="386">IF(OR(EF74="",AW74=""),"",0.196*LN(10^$EF74)+11492/$EC74-6.675+($BC74*-2.243+$BE74*-1.828+$BJ74*3.201+$BK74*5.854+$BL74*6.215)-3.36*(1-1673.15/$EC74-LN($EC74/1673.15))-0.000000701*($ED74/$EC74)-0.000000000154*(($EC74-1673.15)*$ED74/$EC74)+0.0000000000000000385*($ED74^2/$EC74))</f>
        <v>-1.6301019901232898</v>
      </c>
      <c r="EL74" s="24">
        <f t="shared" si="344"/>
        <v>-0.70781675645822395</v>
      </c>
      <c r="EM74" s="24">
        <f t="shared" ref="EM74:EM95" si="387">IF(EK74="","",EXP(EK74))</f>
        <v>0.19590959226448165</v>
      </c>
      <c r="EN74" s="24">
        <f t="shared" si="345"/>
        <v>4.6335026737668643E-2</v>
      </c>
      <c r="EO74" s="24">
        <f t="shared" si="346"/>
        <v>9.0774761957405185E-3</v>
      </c>
      <c r="EP74" s="24">
        <f t="shared" si="347"/>
        <v>0.28151586706398762</v>
      </c>
      <c r="EQ74" s="24">
        <f t="shared" si="348"/>
        <v>-1.6297843713965261</v>
      </c>
      <c r="ER74" s="24">
        <f t="shared" si="349"/>
        <v>-20.10929575626913</v>
      </c>
      <c r="ES74" s="25">
        <f t="shared" si="350"/>
        <v>-8.7317827860482549</v>
      </c>
      <c r="ET74" s="26">
        <v>6.5</v>
      </c>
      <c r="EU74" s="26">
        <v>0.29083888041780526</v>
      </c>
      <c r="EV74" s="26">
        <v>0.44354449355362269</v>
      </c>
      <c r="EW74" s="26">
        <v>0.28151586706398762</v>
      </c>
      <c r="EX74" s="26">
        <v>0.44094555259636081</v>
      </c>
      <c r="EY74" s="26">
        <f t="shared" ref="EY74:EY95" si="388">EX74/EV74</f>
        <v>0.99414051804264436</v>
      </c>
      <c r="EZ74" s="26">
        <f t="shared" ref="EZ74:EZ95" si="389">EU74/EW74</f>
        <v>1.0331171860792434</v>
      </c>
      <c r="FA74" s="23">
        <f t="shared" si="125"/>
        <v>-1.3335785203768999</v>
      </c>
      <c r="FB74" s="190">
        <f t="shared" si="351"/>
        <v>4.4333092527786389E-2</v>
      </c>
      <c r="FC74" s="124">
        <v>6.2646889236044334E-2</v>
      </c>
      <c r="FD74" s="26"/>
      <c r="FE74" s="27">
        <f t="shared" si="352"/>
        <v>0.88818423022188309</v>
      </c>
      <c r="FF74" s="26"/>
      <c r="FG74" s="23">
        <f t="shared" si="282"/>
        <v>-5.0065217409078624</v>
      </c>
      <c r="FH74" s="13">
        <f t="shared" si="353"/>
        <v>13.309417583154485</v>
      </c>
      <c r="FI74" s="13">
        <f t="shared" si="283"/>
        <v>-21.845149910644157</v>
      </c>
      <c r="FJ74" s="13">
        <f t="shared" si="284"/>
        <v>-6.1556677096866963E-2</v>
      </c>
      <c r="FK74" s="12">
        <f t="shared" si="354"/>
        <v>0.48461568830324431</v>
      </c>
      <c r="FL74" s="13"/>
      <c r="FM74" s="23">
        <f t="shared" si="285"/>
        <v>-6.0825916188842939</v>
      </c>
      <c r="FN74" s="13">
        <f t="shared" si="286"/>
        <v>11.218190922459563</v>
      </c>
      <c r="FO74" s="13">
        <f t="shared" si="287"/>
        <v>11.741387082958227</v>
      </c>
      <c r="FP74" s="24">
        <f t="shared" si="288"/>
        <v>0.40465121345177146</v>
      </c>
      <c r="FQ74" s="25">
        <f t="shared" si="289"/>
        <v>0.69393520100935846</v>
      </c>
      <c r="FR74" s="13"/>
      <c r="FS74" s="23">
        <f t="shared" si="355"/>
        <v>11.225349182620306</v>
      </c>
      <c r="FT74" s="13">
        <f t="shared" si="356"/>
        <v>-6.1400548443315541</v>
      </c>
      <c r="FU74" s="13">
        <f t="shared" si="290"/>
        <v>-0.10306914009273171</v>
      </c>
      <c r="FV74" s="13">
        <f t="shared" si="357"/>
        <v>0.44094555259636081</v>
      </c>
      <c r="FW74" s="23">
        <f t="shared" si="291"/>
        <v>-0.10315167977527295</v>
      </c>
      <c r="FX74" s="13">
        <f t="shared" si="292"/>
        <v>0.44089870226351613</v>
      </c>
      <c r="FY74" s="13">
        <f t="shared" si="293"/>
        <v>-0.10311932905720766</v>
      </c>
      <c r="FZ74" s="13">
        <f t="shared" ref="FZ74:FZ95" si="390">IF($GA74="","",1-1/(1+10^FY74))</f>
        <v>0.44091706472281378</v>
      </c>
      <c r="GA74" s="13">
        <f t="shared" si="294"/>
        <v>-0.10315999421215594</v>
      </c>
      <c r="GB74" s="12">
        <f t="shared" ref="GB74:GB95" si="391">IF($GA74="","",1-1/(1+10^GA74))</f>
        <v>0.44089398296598103</v>
      </c>
      <c r="GC74" s="22"/>
      <c r="GD74" s="11">
        <f t="shared" si="358"/>
        <v>1.5</v>
      </c>
      <c r="GE74" s="10">
        <f t="shared" si="359"/>
        <v>0.74926606198035017</v>
      </c>
      <c r="GF74" s="10">
        <f t="shared" si="360"/>
        <v>5.3414996220710531</v>
      </c>
      <c r="GG74" s="5">
        <f t="shared" si="361"/>
        <v>-8.7342365835222964</v>
      </c>
      <c r="GH74" s="10">
        <f t="shared" si="362"/>
        <v>0.28151586706398762</v>
      </c>
      <c r="GI74" s="9">
        <f t="shared" si="276"/>
        <v>11.225349182620306</v>
      </c>
      <c r="GJ74" s="8">
        <f t="shared" si="277"/>
        <v>-6.1400548443315541</v>
      </c>
      <c r="GK74" s="8">
        <f t="shared" ref="GK74:GK95" si="392">$FV74</f>
        <v>0.44094555259636081</v>
      </c>
      <c r="GL74" s="7">
        <f t="shared" ref="GL74:GL95" si="393">$FX74</f>
        <v>0.44089870226351613</v>
      </c>
      <c r="GM74" s="6">
        <f t="shared" si="278"/>
        <v>0.40465121345177146</v>
      </c>
      <c r="GN74" s="5">
        <f t="shared" si="279"/>
        <v>0.69393520100935846</v>
      </c>
      <c r="GO74" s="4">
        <f t="shared" si="280"/>
        <v>0.48461568830324431</v>
      </c>
      <c r="GP74" s="4">
        <f t="shared" si="363"/>
        <v>0.88818423022188309</v>
      </c>
      <c r="GQ74" s="4">
        <f t="shared" si="364"/>
        <v>4.4333092527786389E-2</v>
      </c>
      <c r="GR74" s="1"/>
    </row>
    <row r="75" spans="1:200" x14ac:dyDescent="0.4">
      <c r="A75" s="32"/>
      <c r="B75" s="33"/>
      <c r="C75" s="33"/>
      <c r="D75" s="32"/>
      <c r="E75" s="32"/>
      <c r="F75" s="20" t="s">
        <v>84</v>
      </c>
      <c r="G75" s="19">
        <v>1050</v>
      </c>
      <c r="H75" s="18">
        <v>1E-4</v>
      </c>
      <c r="I75" s="17">
        <v>1.5</v>
      </c>
      <c r="J75" s="16">
        <v>49.6</v>
      </c>
      <c r="K75" s="16">
        <v>0.92</v>
      </c>
      <c r="L75" s="16">
        <v>14.6</v>
      </c>
      <c r="M75" s="16">
        <v>0</v>
      </c>
      <c r="N75" s="16">
        <v>9</v>
      </c>
      <c r="O75" s="16">
        <v>0</v>
      </c>
      <c r="P75" s="16">
        <v>8.6999999999999993</v>
      </c>
      <c r="Q75" s="16">
        <v>12.4</v>
      </c>
      <c r="R75" s="16">
        <v>2.2999999999999998</v>
      </c>
      <c r="S75" s="16">
        <v>0.21</v>
      </c>
      <c r="T75" s="16">
        <v>0</v>
      </c>
      <c r="U75" s="15">
        <v>6.6</v>
      </c>
      <c r="V75" s="16"/>
      <c r="W75" s="28">
        <f t="shared" si="365"/>
        <v>47.541454998562251</v>
      </c>
      <c r="X75" s="24">
        <f t="shared" si="156"/>
        <v>0.88181731045720324</v>
      </c>
      <c r="Y75" s="24">
        <f t="shared" si="156"/>
        <v>13.994057318125181</v>
      </c>
      <c r="Z75" s="24">
        <f t="shared" si="155"/>
        <v>0</v>
      </c>
      <c r="AA75" s="24">
        <f t="shared" si="155"/>
        <v>8.6264736892552492</v>
      </c>
      <c r="AB75" s="24">
        <f t="shared" si="155"/>
        <v>0</v>
      </c>
      <c r="AC75" s="24">
        <f t="shared" si="155"/>
        <v>8.3389245662800722</v>
      </c>
      <c r="AD75" s="24">
        <f t="shared" si="155"/>
        <v>11.885363749640563</v>
      </c>
      <c r="AE75" s="24">
        <f t="shared" si="155"/>
        <v>2.2045432761430077</v>
      </c>
      <c r="AF75" s="24">
        <f t="shared" si="155"/>
        <v>0.20128438608262245</v>
      </c>
      <c r="AG75" s="24">
        <f t="shared" si="155"/>
        <v>0</v>
      </c>
      <c r="AH75" s="24">
        <f t="shared" si="155"/>
        <v>6.3260807054538484</v>
      </c>
      <c r="AI75" s="14">
        <f t="shared" si="366"/>
        <v>99.999999999999986</v>
      </c>
      <c r="AJ75" s="26"/>
      <c r="AK75" s="50">
        <f t="shared" si="367"/>
        <v>0.79117082706876762</v>
      </c>
      <c r="AL75" s="47">
        <f t="shared" si="368"/>
        <v>1.1036512020740966E-2</v>
      </c>
      <c r="AM75" s="47">
        <f t="shared" si="369"/>
        <v>0.13725046408518224</v>
      </c>
      <c r="AN75" s="49">
        <f t="shared" si="370"/>
        <v>0</v>
      </c>
      <c r="AO75" s="49">
        <f t="shared" si="371"/>
        <v>0.12006226429026096</v>
      </c>
      <c r="AP75" s="47">
        <f t="shared" si="372"/>
        <v>0</v>
      </c>
      <c r="AQ75" s="47">
        <f t="shared" si="373"/>
        <v>0.20681856563194623</v>
      </c>
      <c r="AR75" s="47">
        <f t="shared" si="374"/>
        <v>0.21193587285379037</v>
      </c>
      <c r="AS75" s="47">
        <f t="shared" si="375"/>
        <v>3.5568623364682285E-2</v>
      </c>
      <c r="AT75" s="47">
        <f t="shared" si="376"/>
        <v>2.1367769223208325E-3</v>
      </c>
      <c r="AU75" s="47">
        <f t="shared" si="377"/>
        <v>0</v>
      </c>
      <c r="AV75" s="47">
        <f t="shared" si="378"/>
        <v>0.35105886267779401</v>
      </c>
      <c r="AW75" s="47">
        <f t="shared" si="379"/>
        <v>1.8670387689154857</v>
      </c>
      <c r="AX75" s="47">
        <f t="shared" si="380"/>
        <v>8.6276675778310052E-2</v>
      </c>
      <c r="AY75" s="46">
        <f t="shared" si="381"/>
        <v>1.6898160575955262E-2</v>
      </c>
      <c r="AZ75" s="26"/>
      <c r="BA75" s="23">
        <f t="shared" si="296"/>
        <v>0.42375704256443386</v>
      </c>
      <c r="BB75" s="13">
        <f t="shared" si="297"/>
        <v>5.9112388047259405E-3</v>
      </c>
      <c r="BC75" s="13">
        <f t="shared" si="298"/>
        <v>7.3512380337397848E-2</v>
      </c>
      <c r="BD75" s="13">
        <f t="shared" si="299"/>
        <v>0</v>
      </c>
      <c r="BE75" s="13">
        <f t="shared" si="300"/>
        <v>6.4306251315821364E-2</v>
      </c>
      <c r="BF75" s="13">
        <f t="shared" si="301"/>
        <v>4.6210436127379365E-2</v>
      </c>
      <c r="BG75" s="13">
        <f t="shared" si="302"/>
        <v>9.0507818355432239E-3</v>
      </c>
      <c r="BH75" s="13">
        <f t="shared" si="303"/>
        <v>0</v>
      </c>
      <c r="BI75" s="13">
        <f t="shared" si="304"/>
        <v>0.11077357850050525</v>
      </c>
      <c r="BJ75" s="13">
        <f t="shared" si="305"/>
        <v>0.11351444671762141</v>
      </c>
      <c r="BK75" s="13">
        <f t="shared" si="306"/>
        <v>1.9050822059438633E-2</v>
      </c>
      <c r="BL75" s="13">
        <f t="shared" si="307"/>
        <v>1.1444737827067354E-3</v>
      </c>
      <c r="BM75" s="13">
        <f t="shared" si="308"/>
        <v>0</v>
      </c>
      <c r="BN75" s="13">
        <f t="shared" si="309"/>
        <v>0.18802976591734888</v>
      </c>
      <c r="BO75" s="12">
        <f t="shared" si="310"/>
        <v>0.81197023408265112</v>
      </c>
      <c r="BP75" s="13"/>
      <c r="BQ75" s="23">
        <f t="shared" si="311"/>
        <v>1.5823416541375352</v>
      </c>
      <c r="BR75" s="13">
        <f t="shared" si="312"/>
        <v>2.2073024041481933E-2</v>
      </c>
      <c r="BS75" s="13">
        <f t="shared" si="313"/>
        <v>0.41158992112132886</v>
      </c>
      <c r="BT75" s="13">
        <f t="shared" si="314"/>
        <v>0</v>
      </c>
      <c r="BU75" s="13">
        <f t="shared" si="315"/>
        <v>0.12006226429026096</v>
      </c>
      <c r="BV75" s="13">
        <f t="shared" si="316"/>
        <v>8.6276675778310052E-2</v>
      </c>
      <c r="BW75" s="24">
        <f t="shared" si="317"/>
        <v>5.0694481727865788E-2</v>
      </c>
      <c r="BX75" s="13">
        <f t="shared" si="318"/>
        <v>0</v>
      </c>
      <c r="BY75" s="13">
        <f t="shared" si="319"/>
        <v>0.20692120511861223</v>
      </c>
      <c r="BZ75" s="13">
        <f t="shared" si="320"/>
        <v>0.21186031639287992</v>
      </c>
      <c r="CA75" s="13">
        <f t="shared" si="321"/>
        <v>3.5557149615209803E-2</v>
      </c>
      <c r="CB75" s="13">
        <f t="shared" si="322"/>
        <v>2.1367769223208325E-3</v>
      </c>
      <c r="CC75" s="13">
        <f t="shared" si="323"/>
        <v>0</v>
      </c>
      <c r="CD75" s="13">
        <f t="shared" si="324"/>
        <v>0.35105886267779401</v>
      </c>
      <c r="CE75" s="12">
        <f t="shared" si="325"/>
        <v>2.9436011743174242</v>
      </c>
      <c r="CF75" s="13"/>
      <c r="CG75" s="23">
        <f t="shared" si="281"/>
        <v>0.53755300410370843</v>
      </c>
      <c r="CH75" s="13">
        <f t="shared" si="281"/>
        <v>7.4986462955873518E-3</v>
      </c>
      <c r="CI75" s="13">
        <f t="shared" si="281"/>
        <v>0.1398253013052185</v>
      </c>
      <c r="CJ75" s="13">
        <f t="shared" si="281"/>
        <v>0</v>
      </c>
      <c r="CK75" s="13">
        <f t="shared" si="281"/>
        <v>4.0787544636749759E-2</v>
      </c>
      <c r="CL75" s="13">
        <f t="shared" si="281"/>
        <v>2.9309906698999834E-2</v>
      </c>
      <c r="CM75" s="13">
        <f t="shared" si="281"/>
        <v>1.7221926044251244E-2</v>
      </c>
      <c r="CN75" s="13">
        <f t="shared" si="281"/>
        <v>0</v>
      </c>
      <c r="CO75" s="13">
        <f t="shared" si="281"/>
        <v>7.0295258380780504E-2</v>
      </c>
      <c r="CP75" s="13">
        <f t="shared" si="157"/>
        <v>7.1973172942495195E-2</v>
      </c>
      <c r="CQ75" s="13">
        <f t="shared" si="157"/>
        <v>1.207947256083527E-2</v>
      </c>
      <c r="CR75" s="13">
        <f t="shared" si="157"/>
        <v>7.2590571744703776E-4</v>
      </c>
      <c r="CS75" s="13">
        <f t="shared" si="157"/>
        <v>0</v>
      </c>
      <c r="CT75" s="13">
        <f t="shared" si="157"/>
        <v>0.11926169405717782</v>
      </c>
      <c r="CU75" s="12">
        <f t="shared" si="326"/>
        <v>0.99999999999999989</v>
      </c>
      <c r="CV75" s="26"/>
      <c r="CW75" s="23">
        <f t="shared" si="327"/>
        <v>0.79117082706876762</v>
      </c>
      <c r="CX75" s="13">
        <f t="shared" si="328"/>
        <v>1.1036512020740966E-2</v>
      </c>
      <c r="CY75" s="13">
        <f t="shared" si="329"/>
        <v>0.27439328074755259</v>
      </c>
      <c r="CZ75" s="13">
        <f t="shared" si="330"/>
        <v>0</v>
      </c>
      <c r="DA75" s="13">
        <f t="shared" si="331"/>
        <v>0.17270194986072424</v>
      </c>
      <c r="DB75" s="13">
        <f t="shared" si="332"/>
        <v>8.6276675778310052E-2</v>
      </c>
      <c r="DC75" s="24">
        <f t="shared" si="333"/>
        <v>3.3796321151910523E-2</v>
      </c>
      <c r="DD75" s="13">
        <f t="shared" si="334"/>
        <v>0</v>
      </c>
      <c r="DE75" s="13">
        <f t="shared" si="335"/>
        <v>0.20692120511861223</v>
      </c>
      <c r="DF75" s="13">
        <f t="shared" si="336"/>
        <v>0.21186031639287992</v>
      </c>
      <c r="DG75" s="13">
        <f t="shared" si="337"/>
        <v>7.1114299230419606E-2</v>
      </c>
      <c r="DH75" s="13">
        <f t="shared" si="338"/>
        <v>4.273553844641665E-3</v>
      </c>
      <c r="DI75" s="13">
        <f t="shared" si="339"/>
        <v>0</v>
      </c>
      <c r="DJ75" s="13">
        <f t="shared" si="382"/>
        <v>0.70211772535558803</v>
      </c>
      <c r="DK75" s="12">
        <f t="shared" si="383"/>
        <v>2.4455896696399271</v>
      </c>
      <c r="DL75" s="26"/>
      <c r="DM75" s="23">
        <f t="shared" si="154"/>
        <v>0.32350922842475638</v>
      </c>
      <c r="DN75" s="13">
        <f t="shared" si="154"/>
        <v>4.5128224729399967E-3</v>
      </c>
      <c r="DO75" s="13">
        <f t="shared" si="154"/>
        <v>0.11219923119316762</v>
      </c>
      <c r="DP75" s="13">
        <f t="shared" si="154"/>
        <v>0</v>
      </c>
      <c r="DQ75" s="13">
        <f t="shared" si="154"/>
        <v>7.0617713185774034E-2</v>
      </c>
      <c r="DR75" s="13">
        <f t="shared" si="295"/>
        <v>3.5278475718705862E-2</v>
      </c>
      <c r="DS75" s="13">
        <f t="shared" si="295"/>
        <v>1.3819293388202149E-2</v>
      </c>
      <c r="DT75" s="13">
        <f t="shared" si="295"/>
        <v>0</v>
      </c>
      <c r="DU75" s="13">
        <f t="shared" si="295"/>
        <v>8.4609944050457978E-2</v>
      </c>
      <c r="DV75" s="13">
        <f t="shared" si="295"/>
        <v>8.6629543387003627E-2</v>
      </c>
      <c r="DW75" s="13">
        <f t="shared" si="295"/>
        <v>2.9078589966766592E-2</v>
      </c>
      <c r="DX75" s="13">
        <f t="shared" si="295"/>
        <v>1.7474533433365688E-3</v>
      </c>
      <c r="DY75" s="13">
        <f t="shared" si="295"/>
        <v>0</v>
      </c>
      <c r="DZ75" s="13">
        <f t="shared" si="295"/>
        <v>0.28709547397579716</v>
      </c>
      <c r="EA75" s="12">
        <f t="shared" si="340"/>
        <v>1</v>
      </c>
      <c r="EB75" s="26"/>
      <c r="EC75" s="30">
        <f t="shared" si="341"/>
        <v>1323</v>
      </c>
      <c r="ED75" s="14">
        <f t="shared" si="342"/>
        <v>100000</v>
      </c>
      <c r="EE75" s="29"/>
      <c r="EF75" s="128">
        <f t="shared" ref="EF75:EF95" si="394">IF(I75="","",-25096.3/(G75+273)+8.735+0.11*(H75*10000-1)/(273+G75)+I75)</f>
        <v>-8.7342365835222964</v>
      </c>
      <c r="EG75" s="13">
        <f t="shared" si="384"/>
        <v>1.5</v>
      </c>
      <c r="EH75" s="13">
        <f t="shared" si="385"/>
        <v>0.74926606198035017</v>
      </c>
      <c r="EI75" s="12">
        <f t="shared" si="343"/>
        <v>5.3414996220710531</v>
      </c>
      <c r="EJ75" s="29"/>
      <c r="EK75" s="28">
        <f t="shared" si="386"/>
        <v>-1.6306721368599872</v>
      </c>
      <c r="EL75" s="24">
        <f t="shared" si="344"/>
        <v>-0.70806432343030279</v>
      </c>
      <c r="EM75" s="24">
        <f t="shared" si="387"/>
        <v>0.19579792688561493</v>
      </c>
      <c r="EN75" s="24">
        <f t="shared" si="345"/>
        <v>4.6210436127379358E-2</v>
      </c>
      <c r="EO75" s="24">
        <f t="shared" si="346"/>
        <v>9.0479075942210014E-3</v>
      </c>
      <c r="EP75" s="24">
        <f t="shared" si="347"/>
        <v>0.28140056088123833</v>
      </c>
      <c r="EQ75" s="24">
        <f t="shared" si="348"/>
        <v>-1.6303545181332237</v>
      </c>
      <c r="ER75" s="24">
        <f t="shared" si="349"/>
        <v>-20.109295756269134</v>
      </c>
      <c r="ES75" s="25">
        <f t="shared" si="350"/>
        <v>-8.7317827860482566</v>
      </c>
      <c r="ET75" s="26">
        <v>6.6</v>
      </c>
      <c r="EU75" s="26">
        <v>0.29083888041780526</v>
      </c>
      <c r="EV75" s="26">
        <v>0.44586657536646768</v>
      </c>
      <c r="EW75" s="26">
        <v>0.28140056088123833</v>
      </c>
      <c r="EX75" s="26">
        <v>0.44324048949318973</v>
      </c>
      <c r="EY75" s="26">
        <f t="shared" si="388"/>
        <v>0.99411015308532713</v>
      </c>
      <c r="EZ75" s="26">
        <f t="shared" si="389"/>
        <v>1.0335405143010723</v>
      </c>
      <c r="FA75" s="23">
        <f t="shared" ref="FA75:FA95" si="395">IF(EP75="","",8*LOG(BG75/BF75)+8743600/(EC75)^2-27703/(EC75)+20.273)</f>
        <v>-1.3355594130298876</v>
      </c>
      <c r="FB75" s="190">
        <f t="shared" si="351"/>
        <v>4.4140247359133244E-2</v>
      </c>
      <c r="FC75" s="124">
        <v>6.2646889236044334E-2</v>
      </c>
      <c r="FD75" s="26"/>
      <c r="FE75" s="27">
        <f t="shared" si="352"/>
        <v>0.88818423022188309</v>
      </c>
      <c r="FF75" s="26"/>
      <c r="FG75" s="23">
        <f t="shared" si="282"/>
        <v>-5.0227114235101054</v>
      </c>
      <c r="FH75" s="13">
        <f t="shared" si="353"/>
        <v>13.285717791476468</v>
      </c>
      <c r="FI75" s="13">
        <f t="shared" si="283"/>
        <v>-21.845149910644157</v>
      </c>
      <c r="FJ75" s="13">
        <f t="shared" si="284"/>
        <v>-6.9066786172641059E-2</v>
      </c>
      <c r="FK75" s="12">
        <f t="shared" si="354"/>
        <v>0.48274016401402309</v>
      </c>
      <c r="FL75" s="13"/>
      <c r="FM75" s="23">
        <f t="shared" si="285"/>
        <v>-6.0832313363529309</v>
      </c>
      <c r="FN75" s="13">
        <f t="shared" si="286"/>
        <v>11.214465110281299</v>
      </c>
      <c r="FO75" s="13">
        <f t="shared" si="287"/>
        <v>11.737734018053402</v>
      </c>
      <c r="FP75" s="24">
        <f t="shared" si="288"/>
        <v>0.40294048421898876</v>
      </c>
      <c r="FQ75" s="25">
        <f t="shared" si="289"/>
        <v>0.69245956161132005</v>
      </c>
      <c r="FR75" s="13"/>
      <c r="FS75" s="23">
        <f t="shared" si="355"/>
        <v>11.230945200813636</v>
      </c>
      <c r="FT75" s="13">
        <f t="shared" si="356"/>
        <v>-6.1384997477078134</v>
      </c>
      <c r="FU75" s="13">
        <f t="shared" si="290"/>
        <v>-9.9028218523145028E-2</v>
      </c>
      <c r="FV75" s="13">
        <f t="shared" si="357"/>
        <v>0.44324048949318973</v>
      </c>
      <c r="FW75" s="23">
        <f t="shared" si="291"/>
        <v>-9.9110758205686267E-2</v>
      </c>
      <c r="FX75" s="13">
        <f t="shared" si="292"/>
        <v>0.44319358862664493</v>
      </c>
      <c r="FY75" s="13">
        <f t="shared" si="293"/>
        <v>-9.9078407487620979E-2</v>
      </c>
      <c r="FZ75" s="13">
        <f t="shared" si="390"/>
        <v>0.44321197089693121</v>
      </c>
      <c r="GA75" s="13">
        <f t="shared" si="294"/>
        <v>-9.911907264256925E-2</v>
      </c>
      <c r="GB75" s="12">
        <f t="shared" si="391"/>
        <v>0.44318886423651349</v>
      </c>
      <c r="GC75" s="22"/>
      <c r="GD75" s="11">
        <f t="shared" si="358"/>
        <v>1.5</v>
      </c>
      <c r="GE75" s="10">
        <f t="shared" si="359"/>
        <v>0.74926606198035017</v>
      </c>
      <c r="GF75" s="10">
        <f t="shared" si="360"/>
        <v>5.3414996220710531</v>
      </c>
      <c r="GG75" s="5">
        <f t="shared" si="361"/>
        <v>-8.7342365835222964</v>
      </c>
      <c r="GH75" s="10">
        <f t="shared" si="362"/>
        <v>0.28140056088123833</v>
      </c>
      <c r="GI75" s="9">
        <f t="shared" si="276"/>
        <v>11.230945200813636</v>
      </c>
      <c r="GJ75" s="8">
        <f t="shared" si="277"/>
        <v>-6.1384997477078134</v>
      </c>
      <c r="GK75" s="8">
        <f t="shared" si="392"/>
        <v>0.44324048949318973</v>
      </c>
      <c r="GL75" s="7">
        <f t="shared" si="393"/>
        <v>0.44319358862664493</v>
      </c>
      <c r="GM75" s="6">
        <f t="shared" si="278"/>
        <v>0.40294048421898876</v>
      </c>
      <c r="GN75" s="5">
        <f t="shared" si="279"/>
        <v>0.69245956161132005</v>
      </c>
      <c r="GO75" s="4">
        <f t="shared" si="280"/>
        <v>0.48274016401402309</v>
      </c>
      <c r="GP75" s="4">
        <f t="shared" si="363"/>
        <v>0.88818423022188309</v>
      </c>
      <c r="GQ75" s="4">
        <f t="shared" si="364"/>
        <v>4.4140247359133244E-2</v>
      </c>
      <c r="GR75" s="1"/>
    </row>
    <row r="76" spans="1:200" x14ac:dyDescent="0.4">
      <c r="A76" s="32"/>
      <c r="B76" s="33"/>
      <c r="C76" s="33"/>
      <c r="D76" s="32"/>
      <c r="E76" s="32"/>
      <c r="F76" s="20" t="s">
        <v>84</v>
      </c>
      <c r="G76" s="19">
        <v>1050</v>
      </c>
      <c r="H76" s="18">
        <v>1E-4</v>
      </c>
      <c r="I76" s="17">
        <v>1.5</v>
      </c>
      <c r="J76" s="16">
        <v>49.6</v>
      </c>
      <c r="K76" s="16">
        <v>0.92</v>
      </c>
      <c r="L76" s="16">
        <v>14.6</v>
      </c>
      <c r="M76" s="16">
        <v>0</v>
      </c>
      <c r="N76" s="16">
        <v>9</v>
      </c>
      <c r="O76" s="16">
        <v>0</v>
      </c>
      <c r="P76" s="16">
        <v>8.6999999999999993</v>
      </c>
      <c r="Q76" s="16">
        <v>12.4</v>
      </c>
      <c r="R76" s="16">
        <v>2.2999999999999998</v>
      </c>
      <c r="S76" s="16">
        <v>0.21</v>
      </c>
      <c r="T76" s="16">
        <v>0</v>
      </c>
      <c r="U76" s="15">
        <v>6.7</v>
      </c>
      <c r="V76" s="16"/>
      <c r="W76" s="28">
        <f t="shared" si="365"/>
        <v>47.495930288231349</v>
      </c>
      <c r="X76" s="24">
        <f t="shared" si="156"/>
        <v>0.88097290050751698</v>
      </c>
      <c r="Y76" s="24">
        <f t="shared" si="156"/>
        <v>13.98065689935842</v>
      </c>
      <c r="Z76" s="24">
        <f t="shared" si="155"/>
        <v>0</v>
      </c>
      <c r="AA76" s="24">
        <f t="shared" si="155"/>
        <v>8.6182131571387526</v>
      </c>
      <c r="AB76" s="24">
        <f t="shared" si="155"/>
        <v>0</v>
      </c>
      <c r="AC76" s="24">
        <f t="shared" ref="AC76:AH95" si="396">IF(P76="","",P76/SUM($J76:$U76)*100)</f>
        <v>8.3309393852341262</v>
      </c>
      <c r="AD76" s="24">
        <f t="shared" si="396"/>
        <v>11.873982572057837</v>
      </c>
      <c r="AE76" s="24">
        <f t="shared" si="396"/>
        <v>2.2024322512687924</v>
      </c>
      <c r="AF76" s="24">
        <f t="shared" si="396"/>
        <v>0.20109164033323754</v>
      </c>
      <c r="AG76" s="24">
        <f t="shared" si="396"/>
        <v>0</v>
      </c>
      <c r="AH76" s="24">
        <f t="shared" si="396"/>
        <v>6.4157809058699611</v>
      </c>
      <c r="AI76" s="14">
        <f t="shared" si="366"/>
        <v>100</v>
      </c>
      <c r="AJ76" s="26"/>
      <c r="AK76" s="50">
        <f t="shared" si="367"/>
        <v>0.79041321830972455</v>
      </c>
      <c r="AL76" s="47">
        <f t="shared" si="368"/>
        <v>1.1025943685951401E-2</v>
      </c>
      <c r="AM76" s="47">
        <f t="shared" si="369"/>
        <v>0.13711903589013752</v>
      </c>
      <c r="AN76" s="49">
        <f t="shared" si="370"/>
        <v>0</v>
      </c>
      <c r="AO76" s="49">
        <f t="shared" si="371"/>
        <v>0.11994729515850736</v>
      </c>
      <c r="AP76" s="47">
        <f t="shared" si="372"/>
        <v>0</v>
      </c>
      <c r="AQ76" s="47">
        <f t="shared" si="373"/>
        <v>0.20662052046711624</v>
      </c>
      <c r="AR76" s="47">
        <f t="shared" si="374"/>
        <v>0.21173292746180167</v>
      </c>
      <c r="AS76" s="47">
        <f t="shared" si="375"/>
        <v>3.5534563589364188E-2</v>
      </c>
      <c r="AT76" s="47">
        <f t="shared" si="376"/>
        <v>2.1347307891001863E-3</v>
      </c>
      <c r="AU76" s="47">
        <f t="shared" si="377"/>
        <v>0</v>
      </c>
      <c r="AV76" s="47">
        <f t="shared" si="378"/>
        <v>0.35603667624139629</v>
      </c>
      <c r="AW76" s="47">
        <f t="shared" si="379"/>
        <v>1.8705649115930996</v>
      </c>
      <c r="AX76" s="47">
        <f t="shared" si="380"/>
        <v>8.6207807690190763E-2</v>
      </c>
      <c r="AY76" s="46">
        <f t="shared" si="381"/>
        <v>1.6875102731697907E-2</v>
      </c>
      <c r="AZ76" s="26"/>
      <c r="BA76" s="23">
        <f t="shared" si="296"/>
        <v>0.42255321556125802</v>
      </c>
      <c r="BB76" s="13">
        <f t="shared" si="297"/>
        <v>5.8944459064833856E-3</v>
      </c>
      <c r="BC76" s="13">
        <f t="shared" si="298"/>
        <v>7.3303543245317099E-2</v>
      </c>
      <c r="BD76" s="13">
        <f t="shared" si="299"/>
        <v>0</v>
      </c>
      <c r="BE76" s="13">
        <f t="shared" si="300"/>
        <v>6.4123567386042829E-2</v>
      </c>
      <c r="BF76" s="13">
        <f t="shared" si="301"/>
        <v>4.6086509565054529E-2</v>
      </c>
      <c r="BG76" s="13">
        <f t="shared" si="302"/>
        <v>9.0213938191142096E-3</v>
      </c>
      <c r="BH76" s="13">
        <f t="shared" si="303"/>
        <v>0</v>
      </c>
      <c r="BI76" s="13">
        <f t="shared" si="304"/>
        <v>0.11045888821422627</v>
      </c>
      <c r="BJ76" s="13">
        <f t="shared" si="305"/>
        <v>0.11319197005650854</v>
      </c>
      <c r="BK76" s="13">
        <f t="shared" si="306"/>
        <v>1.8996701675057376E-2</v>
      </c>
      <c r="BL76" s="13">
        <f t="shared" si="307"/>
        <v>1.1412225129798384E-3</v>
      </c>
      <c r="BM76" s="13">
        <f t="shared" si="308"/>
        <v>0</v>
      </c>
      <c r="BN76" s="13">
        <f t="shared" si="309"/>
        <v>0.19033644544212655</v>
      </c>
      <c r="BO76" s="12">
        <f t="shared" si="310"/>
        <v>0.80966355455787331</v>
      </c>
      <c r="BP76" s="13"/>
      <c r="BQ76" s="23">
        <f t="shared" si="311"/>
        <v>1.5808264366194491</v>
      </c>
      <c r="BR76" s="13">
        <f t="shared" si="312"/>
        <v>2.2051887371902803E-2</v>
      </c>
      <c r="BS76" s="13">
        <f t="shared" si="313"/>
        <v>0.41119579115760058</v>
      </c>
      <c r="BT76" s="13">
        <f t="shared" si="314"/>
        <v>0</v>
      </c>
      <c r="BU76" s="13">
        <f t="shared" si="315"/>
        <v>0.11994729515850736</v>
      </c>
      <c r="BV76" s="13">
        <f t="shared" si="316"/>
        <v>8.6207807690190763E-2</v>
      </c>
      <c r="BW76" s="24">
        <f t="shared" si="317"/>
        <v>5.062530819509372E-2</v>
      </c>
      <c r="BX76" s="13">
        <f t="shared" si="318"/>
        <v>0</v>
      </c>
      <c r="BY76" s="13">
        <f t="shared" si="319"/>
        <v>0.20672306166834062</v>
      </c>
      <c r="BZ76" s="13">
        <f t="shared" si="320"/>
        <v>0.21165744335218961</v>
      </c>
      <c r="CA76" s="13">
        <f t="shared" si="321"/>
        <v>3.5523100826916003E-2</v>
      </c>
      <c r="CB76" s="13">
        <f t="shared" si="322"/>
        <v>2.1347307891001863E-3</v>
      </c>
      <c r="CC76" s="13">
        <f t="shared" si="323"/>
        <v>0</v>
      </c>
      <c r="CD76" s="13">
        <f t="shared" si="324"/>
        <v>0.35603667624139629</v>
      </c>
      <c r="CE76" s="12">
        <f t="shared" si="325"/>
        <v>2.9460964231854025</v>
      </c>
      <c r="CF76" s="13"/>
      <c r="CG76" s="23">
        <f t="shared" si="281"/>
        <v>0.53658340038654095</v>
      </c>
      <c r="CH76" s="13">
        <f t="shared" si="281"/>
        <v>7.4851207171487211E-3</v>
      </c>
      <c r="CI76" s="13">
        <f t="shared" si="281"/>
        <v>0.13957309337248511</v>
      </c>
      <c r="CJ76" s="13">
        <f t="shared" si="281"/>
        <v>0</v>
      </c>
      <c r="CK76" s="13">
        <f t="shared" si="281"/>
        <v>4.0713974673244724E-2</v>
      </c>
      <c r="CL76" s="13">
        <f t="shared" si="281"/>
        <v>2.9261706104303419E-2</v>
      </c>
      <c r="CM76" s="13">
        <f t="shared" si="281"/>
        <v>1.7183859902438703E-2</v>
      </c>
      <c r="CN76" s="13">
        <f t="shared" si="281"/>
        <v>0</v>
      </c>
      <c r="CO76" s="13">
        <f t="shared" si="281"/>
        <v>7.0168464291072263E-2</v>
      </c>
      <c r="CP76" s="13">
        <f t="shared" si="157"/>
        <v>7.1843352337850372E-2</v>
      </c>
      <c r="CQ76" s="13">
        <f t="shared" si="157"/>
        <v>1.2057684381052071E-2</v>
      </c>
      <c r="CR76" s="13">
        <f t="shared" si="157"/>
        <v>7.2459637515599545E-4</v>
      </c>
      <c r="CS76" s="13">
        <f t="shared" si="157"/>
        <v>0</v>
      </c>
      <c r="CT76" s="13">
        <f t="shared" si="157"/>
        <v>0.12085031346544978</v>
      </c>
      <c r="CU76" s="12">
        <f t="shared" si="326"/>
        <v>1</v>
      </c>
      <c r="CV76" s="26"/>
      <c r="CW76" s="23">
        <f t="shared" si="327"/>
        <v>0.79041321830972455</v>
      </c>
      <c r="CX76" s="13">
        <f t="shared" si="328"/>
        <v>1.1025943685951401E-2</v>
      </c>
      <c r="CY76" s="13">
        <f t="shared" si="329"/>
        <v>0.27413052743840038</v>
      </c>
      <c r="CZ76" s="13">
        <f t="shared" si="330"/>
        <v>0</v>
      </c>
      <c r="DA76" s="13">
        <f t="shared" si="331"/>
        <v>0.17270194986072424</v>
      </c>
      <c r="DB76" s="13">
        <f t="shared" si="332"/>
        <v>8.6207807690190763E-2</v>
      </c>
      <c r="DC76" s="24">
        <f t="shared" si="333"/>
        <v>3.3750205463395813E-2</v>
      </c>
      <c r="DD76" s="13">
        <f t="shared" si="334"/>
        <v>0</v>
      </c>
      <c r="DE76" s="13">
        <f t="shared" si="335"/>
        <v>0.20672306166834062</v>
      </c>
      <c r="DF76" s="13">
        <f t="shared" si="336"/>
        <v>0.21165744335218961</v>
      </c>
      <c r="DG76" s="13">
        <f t="shared" si="337"/>
        <v>7.1046201653832006E-2</v>
      </c>
      <c r="DH76" s="13">
        <f t="shared" si="338"/>
        <v>4.2694615782003726E-3</v>
      </c>
      <c r="DI76" s="13">
        <f t="shared" si="339"/>
        <v>0</v>
      </c>
      <c r="DJ76" s="13">
        <f t="shared" si="382"/>
        <v>0.71207335248279258</v>
      </c>
      <c r="DK76" s="12">
        <f t="shared" si="383"/>
        <v>2.4540411600301559</v>
      </c>
      <c r="DL76" s="26"/>
      <c r="DM76" s="23">
        <f t="shared" si="154"/>
        <v>0.32208637376726468</v>
      </c>
      <c r="DN76" s="13">
        <f t="shared" si="154"/>
        <v>4.4929742277900146E-3</v>
      </c>
      <c r="DO76" s="13">
        <f t="shared" si="154"/>
        <v>0.11170575779382273</v>
      </c>
      <c r="DP76" s="13">
        <f t="shared" si="154"/>
        <v>0</v>
      </c>
      <c r="DQ76" s="13">
        <f t="shared" si="154"/>
        <v>7.0374512324235847E-2</v>
      </c>
      <c r="DR76" s="13">
        <f t="shared" si="295"/>
        <v>3.5128916781954636E-2</v>
      </c>
      <c r="DS76" s="13">
        <f t="shared" si="295"/>
        <v>1.3752909288196731E-2</v>
      </c>
      <c r="DT76" s="13">
        <f t="shared" si="295"/>
        <v>0</v>
      </c>
      <c r="DU76" s="13">
        <f t="shared" si="295"/>
        <v>8.4237813544170689E-2</v>
      </c>
      <c r="DV76" s="13">
        <f t="shared" si="295"/>
        <v>8.6248530301581694E-2</v>
      </c>
      <c r="DW76" s="13">
        <f t="shared" si="295"/>
        <v>2.8950696838743718E-2</v>
      </c>
      <c r="DX76" s="13">
        <f t="shared" si="295"/>
        <v>1.7397677136547734E-3</v>
      </c>
      <c r="DY76" s="13">
        <f t="shared" si="295"/>
        <v>0</v>
      </c>
      <c r="DZ76" s="13">
        <f t="shared" si="295"/>
        <v>0.29016357348873578</v>
      </c>
      <c r="EA76" s="12">
        <f t="shared" si="340"/>
        <v>1</v>
      </c>
      <c r="EB76" s="26"/>
      <c r="EC76" s="30">
        <f t="shared" si="341"/>
        <v>1323</v>
      </c>
      <c r="ED76" s="14">
        <f t="shared" si="342"/>
        <v>100000</v>
      </c>
      <c r="EE76" s="29"/>
      <c r="EF76" s="128">
        <f t="shared" si="394"/>
        <v>-8.7342365835222964</v>
      </c>
      <c r="EG76" s="13">
        <f t="shared" si="384"/>
        <v>1.5</v>
      </c>
      <c r="EH76" s="13">
        <f t="shared" si="385"/>
        <v>0.74926606198035017</v>
      </c>
      <c r="EI76" s="12">
        <f t="shared" si="343"/>
        <v>5.3414996220710531</v>
      </c>
      <c r="EJ76" s="29"/>
      <c r="EK76" s="28">
        <f t="shared" si="386"/>
        <v>-1.6312390442025577</v>
      </c>
      <c r="EL76" s="24">
        <f t="shared" si="344"/>
        <v>-0.70831048380484485</v>
      </c>
      <c r="EM76" s="24">
        <f t="shared" si="387"/>
        <v>0.19568695906041278</v>
      </c>
      <c r="EN76" s="24">
        <f t="shared" si="345"/>
        <v>4.6086509565054536E-2</v>
      </c>
      <c r="EO76" s="24">
        <f t="shared" si="346"/>
        <v>9.0185289104941484E-3</v>
      </c>
      <c r="EP76" s="24">
        <f t="shared" si="347"/>
        <v>0.28128593832591808</v>
      </c>
      <c r="EQ76" s="24">
        <f t="shared" si="348"/>
        <v>-1.630921425475794</v>
      </c>
      <c r="ER76" s="24">
        <f t="shared" si="349"/>
        <v>-20.109295756269134</v>
      </c>
      <c r="ES76" s="25">
        <f t="shared" si="350"/>
        <v>-8.7317827860482566</v>
      </c>
      <c r="ET76" s="26">
        <v>6.7</v>
      </c>
      <c r="EU76" s="26">
        <v>0.29083888041780526</v>
      </c>
      <c r="EV76" s="26">
        <v>0.44818181236974142</v>
      </c>
      <c r="EW76" s="26">
        <v>0.28128593832591808</v>
      </c>
      <c r="EX76" s="26">
        <v>0.44552899270864754</v>
      </c>
      <c r="EY76" s="26">
        <f t="shared" si="388"/>
        <v>0.99408092968550599</v>
      </c>
      <c r="EZ76" s="26">
        <f t="shared" si="389"/>
        <v>1.0339616766794024</v>
      </c>
      <c r="FA76" s="23">
        <f t="shared" si="395"/>
        <v>-1.3375290508749167</v>
      </c>
      <c r="FB76" s="190">
        <f t="shared" si="351"/>
        <v>4.3949291357475717E-2</v>
      </c>
      <c r="FC76" s="124">
        <v>6.2646889236044334E-2</v>
      </c>
      <c r="FD76" s="26"/>
      <c r="FE76" s="27">
        <f t="shared" si="352"/>
        <v>0.88818423022188309</v>
      </c>
      <c r="FF76" s="26"/>
      <c r="FG76" s="23">
        <f t="shared" si="282"/>
        <v>-5.0387582600058849</v>
      </c>
      <c r="FH76" s="13">
        <f t="shared" si="353"/>
        <v>13.262226055386435</v>
      </c>
      <c r="FI76" s="13">
        <f t="shared" si="283"/>
        <v>-21.845149910644157</v>
      </c>
      <c r="FJ76" s="13">
        <f t="shared" si="284"/>
        <v>-7.651168576689571E-2</v>
      </c>
      <c r="FK76" s="12">
        <f t="shared" si="354"/>
        <v>0.48088140439727467</v>
      </c>
      <c r="FL76" s="13"/>
      <c r="FM76" s="23">
        <f t="shared" si="285"/>
        <v>-6.0838692769930827</v>
      </c>
      <c r="FN76" s="13">
        <f t="shared" si="286"/>
        <v>11.210752738866312</v>
      </c>
      <c r="FO76" s="13">
        <f t="shared" si="287"/>
        <v>11.734094131478116</v>
      </c>
      <c r="FP76" s="24">
        <f t="shared" si="288"/>
        <v>0.4012385654682844</v>
      </c>
      <c r="FQ76" s="25">
        <f t="shared" si="289"/>
        <v>0.69098558155621626</v>
      </c>
      <c r="FR76" s="13"/>
      <c r="FS76" s="23">
        <f t="shared" si="355"/>
        <v>11.236521031527786</v>
      </c>
      <c r="FT76" s="13">
        <f t="shared" si="356"/>
        <v>-6.1369492641594867</v>
      </c>
      <c r="FU76" s="13">
        <f t="shared" si="290"/>
        <v>-9.5002871357319663E-2</v>
      </c>
      <c r="FV76" s="13">
        <f t="shared" si="357"/>
        <v>0.44552899270864754</v>
      </c>
      <c r="FW76" s="23">
        <f t="shared" si="291"/>
        <v>-9.5085411039860901E-2</v>
      </c>
      <c r="FX76" s="13">
        <f t="shared" si="292"/>
        <v>0.44548204344352982</v>
      </c>
      <c r="FY76" s="13">
        <f t="shared" si="293"/>
        <v>-9.5053060321795613E-2</v>
      </c>
      <c r="FZ76" s="13">
        <f t="shared" si="390"/>
        <v>0.44550044468796224</v>
      </c>
      <c r="GA76" s="13">
        <f t="shared" si="294"/>
        <v>-9.5093725476743884E-2</v>
      </c>
      <c r="GB76" s="12">
        <f t="shared" si="391"/>
        <v>0.4454773141758781</v>
      </c>
      <c r="GC76" s="22"/>
      <c r="GD76" s="11">
        <f t="shared" si="358"/>
        <v>1.5</v>
      </c>
      <c r="GE76" s="10">
        <f t="shared" si="359"/>
        <v>0.74926606198035017</v>
      </c>
      <c r="GF76" s="10">
        <f t="shared" si="360"/>
        <v>5.3414996220710531</v>
      </c>
      <c r="GG76" s="5">
        <f t="shared" si="361"/>
        <v>-8.7342365835222964</v>
      </c>
      <c r="GH76" s="10">
        <f t="shared" si="362"/>
        <v>0.28128593832591808</v>
      </c>
      <c r="GI76" s="9">
        <f t="shared" si="276"/>
        <v>11.236521031527786</v>
      </c>
      <c r="GJ76" s="8">
        <f t="shared" si="277"/>
        <v>-6.1369492641594867</v>
      </c>
      <c r="GK76" s="8">
        <f t="shared" si="392"/>
        <v>0.44552899270864754</v>
      </c>
      <c r="GL76" s="7">
        <f t="shared" si="393"/>
        <v>0.44548204344352982</v>
      </c>
      <c r="GM76" s="6">
        <f t="shared" si="278"/>
        <v>0.4012385654682844</v>
      </c>
      <c r="GN76" s="5">
        <f t="shared" si="279"/>
        <v>0.69098558155621626</v>
      </c>
      <c r="GO76" s="4">
        <f t="shared" si="280"/>
        <v>0.48088140439727467</v>
      </c>
      <c r="GP76" s="4">
        <f t="shared" si="363"/>
        <v>0.88818423022188309</v>
      </c>
      <c r="GQ76" s="4">
        <f t="shared" si="364"/>
        <v>4.3949291357475717E-2</v>
      </c>
      <c r="GR76" s="1"/>
    </row>
    <row r="77" spans="1:200" x14ac:dyDescent="0.4">
      <c r="A77" s="32"/>
      <c r="B77" s="33"/>
      <c r="C77" s="33"/>
      <c r="D77" s="32"/>
      <c r="E77" s="32"/>
      <c r="F77" s="20" t="s">
        <v>84</v>
      </c>
      <c r="G77" s="19">
        <v>1050</v>
      </c>
      <c r="H77" s="18">
        <v>1E-4</v>
      </c>
      <c r="I77" s="17">
        <v>1.5</v>
      </c>
      <c r="J77" s="16">
        <v>49.6</v>
      </c>
      <c r="K77" s="16">
        <v>0.92</v>
      </c>
      <c r="L77" s="16">
        <v>14.6</v>
      </c>
      <c r="M77" s="16">
        <v>0</v>
      </c>
      <c r="N77" s="16">
        <v>9</v>
      </c>
      <c r="O77" s="16">
        <v>0</v>
      </c>
      <c r="P77" s="16">
        <v>8.6999999999999993</v>
      </c>
      <c r="Q77" s="16">
        <v>12.4</v>
      </c>
      <c r="R77" s="16">
        <v>2.2999999999999998</v>
      </c>
      <c r="S77" s="16">
        <v>0.21</v>
      </c>
      <c r="T77" s="16">
        <v>0</v>
      </c>
      <c r="U77" s="15">
        <v>6.8</v>
      </c>
      <c r="V77" s="16"/>
      <c r="W77" s="28">
        <f t="shared" si="365"/>
        <v>47.450492681526832</v>
      </c>
      <c r="X77" s="24">
        <f t="shared" si="156"/>
        <v>0.88013010618961074</v>
      </c>
      <c r="Y77" s="24">
        <f t="shared" si="156"/>
        <v>13.96728211996556</v>
      </c>
      <c r="Z77" s="24">
        <f t="shared" si="156"/>
        <v>0</v>
      </c>
      <c r="AA77" s="24">
        <f t="shared" si="156"/>
        <v>8.6099684301157566</v>
      </c>
      <c r="AB77" s="24">
        <f t="shared" si="156"/>
        <v>0</v>
      </c>
      <c r="AC77" s="24">
        <f t="shared" si="396"/>
        <v>8.3229694824452309</v>
      </c>
      <c r="AD77" s="24">
        <f t="shared" si="396"/>
        <v>11.862623170381708</v>
      </c>
      <c r="AE77" s="24">
        <f t="shared" si="396"/>
        <v>2.2003252654740262</v>
      </c>
      <c r="AF77" s="24">
        <f t="shared" si="396"/>
        <v>0.20089926336936764</v>
      </c>
      <c r="AG77" s="24">
        <f t="shared" si="396"/>
        <v>0</v>
      </c>
      <c r="AH77" s="24">
        <f t="shared" si="396"/>
        <v>6.5053094805319036</v>
      </c>
      <c r="AI77" s="14">
        <f t="shared" si="366"/>
        <v>99.999999999999986</v>
      </c>
      <c r="AJ77" s="26"/>
      <c r="AK77" s="50">
        <f t="shared" si="367"/>
        <v>0.78965705910345863</v>
      </c>
      <c r="AL77" s="47">
        <f t="shared" si="368"/>
        <v>1.1015395571834927E-2</v>
      </c>
      <c r="AM77" s="47">
        <f t="shared" si="369"/>
        <v>0.1369878591601173</v>
      </c>
      <c r="AN77" s="49">
        <f t="shared" si="370"/>
        <v>0</v>
      </c>
      <c r="AO77" s="49">
        <f t="shared" si="371"/>
        <v>0.11983254600021931</v>
      </c>
      <c r="AP77" s="47">
        <f t="shared" si="372"/>
        <v>0</v>
      </c>
      <c r="AQ77" s="47">
        <f t="shared" si="373"/>
        <v>0.20642285422731227</v>
      </c>
      <c r="AR77" s="47">
        <f t="shared" si="374"/>
        <v>0.21153037037057254</v>
      </c>
      <c r="AS77" s="47">
        <f t="shared" si="375"/>
        <v>3.5500568981510591E-2</v>
      </c>
      <c r="AT77" s="47">
        <f t="shared" si="376"/>
        <v>2.132688570800081E-3</v>
      </c>
      <c r="AU77" s="47">
        <f t="shared" si="377"/>
        <v>0</v>
      </c>
      <c r="AV77" s="47">
        <f t="shared" si="378"/>
        <v>0.36100496562330209</v>
      </c>
      <c r="AW77" s="47">
        <f t="shared" si="379"/>
        <v>1.874084307609128</v>
      </c>
      <c r="AX77" s="47">
        <f t="shared" si="380"/>
        <v>8.6138990172578991E-2</v>
      </c>
      <c r="AY77" s="46">
        <f t="shared" si="381"/>
        <v>1.6852129615826619E-2</v>
      </c>
      <c r="AZ77" s="26"/>
      <c r="BA77" s="23">
        <f t="shared" si="296"/>
        <v>0.42135620894818088</v>
      </c>
      <c r="BB77" s="13">
        <f t="shared" si="297"/>
        <v>5.8777481499153426E-3</v>
      </c>
      <c r="BC77" s="13">
        <f t="shared" si="298"/>
        <v>7.3095889338553932E-2</v>
      </c>
      <c r="BD77" s="13">
        <f t="shared" si="299"/>
        <v>0</v>
      </c>
      <c r="BE77" s="13">
        <f t="shared" si="300"/>
        <v>6.3941918468489956E-2</v>
      </c>
      <c r="BF77" s="13">
        <f t="shared" si="301"/>
        <v>4.596324179378633E-2</v>
      </c>
      <c r="BG77" s="13">
        <f t="shared" si="302"/>
        <v>8.9921939730266479E-3</v>
      </c>
      <c r="BH77" s="13">
        <f t="shared" si="303"/>
        <v>0</v>
      </c>
      <c r="BI77" s="13">
        <f t="shared" si="304"/>
        <v>0.1101459808340518</v>
      </c>
      <c r="BJ77" s="13">
        <f t="shared" si="305"/>
        <v>0.1128713204159067</v>
      </c>
      <c r="BK77" s="13">
        <f t="shared" si="306"/>
        <v>1.8942887914578727E-2</v>
      </c>
      <c r="BL77" s="13">
        <f t="shared" si="307"/>
        <v>1.1379896636138362E-3</v>
      </c>
      <c r="BM77" s="13">
        <f t="shared" si="308"/>
        <v>0</v>
      </c>
      <c r="BN77" s="13">
        <f t="shared" si="309"/>
        <v>0.19263005626670868</v>
      </c>
      <c r="BO77" s="12">
        <f t="shared" si="310"/>
        <v>0.80736994373329118</v>
      </c>
      <c r="BP77" s="13"/>
      <c r="BQ77" s="23">
        <f t="shared" si="311"/>
        <v>1.5793141182069173</v>
      </c>
      <c r="BR77" s="13">
        <f t="shared" si="312"/>
        <v>2.2030791143669855E-2</v>
      </c>
      <c r="BS77" s="13">
        <f t="shared" si="313"/>
        <v>0.41080241529310468</v>
      </c>
      <c r="BT77" s="13">
        <f t="shared" si="314"/>
        <v>0</v>
      </c>
      <c r="BU77" s="13">
        <f t="shared" si="315"/>
        <v>0.11983254600021931</v>
      </c>
      <c r="BV77" s="13">
        <f t="shared" si="316"/>
        <v>8.6138990172578991E-2</v>
      </c>
      <c r="BW77" s="24">
        <f t="shared" si="317"/>
        <v>5.0556388847479865E-2</v>
      </c>
      <c r="BX77" s="13">
        <f t="shared" si="318"/>
        <v>0</v>
      </c>
      <c r="BY77" s="13">
        <f t="shared" si="319"/>
        <v>0.20652529733114719</v>
      </c>
      <c r="BZ77" s="13">
        <f t="shared" si="320"/>
        <v>0.21145495847382723</v>
      </c>
      <c r="CA77" s="13">
        <f t="shared" si="321"/>
        <v>3.5489117185064936E-2</v>
      </c>
      <c r="CB77" s="13">
        <f t="shared" si="322"/>
        <v>2.132688570800081E-3</v>
      </c>
      <c r="CC77" s="13">
        <f t="shared" si="323"/>
        <v>0</v>
      </c>
      <c r="CD77" s="13">
        <f t="shared" si="324"/>
        <v>0.36100496562330209</v>
      </c>
      <c r="CE77" s="12">
        <f t="shared" si="325"/>
        <v>2.9485868978280529</v>
      </c>
      <c r="CF77" s="13"/>
      <c r="CG77" s="23">
        <f t="shared" si="281"/>
        <v>0.53561728818989518</v>
      </c>
      <c r="CH77" s="13">
        <f t="shared" si="281"/>
        <v>7.4716438440046891E-3</v>
      </c>
      <c r="CI77" s="13">
        <f t="shared" si="281"/>
        <v>0.13932179363467437</v>
      </c>
      <c r="CJ77" s="13">
        <f t="shared" si="281"/>
        <v>0</v>
      </c>
      <c r="CK77" s="13">
        <f t="shared" si="281"/>
        <v>4.0640669633473812E-2</v>
      </c>
      <c r="CL77" s="13">
        <f t="shared" si="281"/>
        <v>2.9213651541363593E-2</v>
      </c>
      <c r="CM77" s="13">
        <f t="shared" si="281"/>
        <v>1.7145972155244944E-2</v>
      </c>
      <c r="CN77" s="13">
        <f t="shared" si="281"/>
        <v>0</v>
      </c>
      <c r="CO77" s="13">
        <f t="shared" si="281"/>
        <v>7.0042126783943517E-2</v>
      </c>
      <c r="CP77" s="13">
        <f t="shared" si="157"/>
        <v>7.171399921419519E-2</v>
      </c>
      <c r="CQ77" s="13">
        <f t="shared" si="157"/>
        <v>1.2035974659999485E-2</v>
      </c>
      <c r="CR77" s="13">
        <f t="shared" si="157"/>
        <v>7.2329174777620851E-4</v>
      </c>
      <c r="CS77" s="13">
        <f t="shared" si="157"/>
        <v>0</v>
      </c>
      <c r="CT77" s="13">
        <f t="shared" si="157"/>
        <v>0.12243321229203744</v>
      </c>
      <c r="CU77" s="12">
        <f t="shared" si="326"/>
        <v>0.99999999999999978</v>
      </c>
      <c r="CV77" s="26"/>
      <c r="CW77" s="23">
        <f t="shared" si="327"/>
        <v>0.78965705910345863</v>
      </c>
      <c r="CX77" s="13">
        <f t="shared" si="328"/>
        <v>1.1015395571834927E-2</v>
      </c>
      <c r="CY77" s="13">
        <f t="shared" si="329"/>
        <v>0.27386827686206983</v>
      </c>
      <c r="CZ77" s="13">
        <f t="shared" si="330"/>
        <v>0</v>
      </c>
      <c r="DA77" s="13">
        <f t="shared" si="331"/>
        <v>0.17270194986072424</v>
      </c>
      <c r="DB77" s="13">
        <f t="shared" si="332"/>
        <v>8.6138990172578991E-2</v>
      </c>
      <c r="DC77" s="24">
        <f t="shared" si="333"/>
        <v>3.3704259231653239E-2</v>
      </c>
      <c r="DD77" s="13">
        <f t="shared" si="334"/>
        <v>0</v>
      </c>
      <c r="DE77" s="13">
        <f t="shared" si="335"/>
        <v>0.20652529733114719</v>
      </c>
      <c r="DF77" s="13">
        <f t="shared" si="336"/>
        <v>0.21145495847382723</v>
      </c>
      <c r="DG77" s="13">
        <f t="shared" si="337"/>
        <v>7.0978234370129872E-2</v>
      </c>
      <c r="DH77" s="13">
        <f t="shared" si="338"/>
        <v>4.265377141600162E-3</v>
      </c>
      <c r="DI77" s="13">
        <f t="shared" si="339"/>
        <v>0</v>
      </c>
      <c r="DJ77" s="13">
        <f t="shared" si="382"/>
        <v>0.72200993124660418</v>
      </c>
      <c r="DK77" s="12">
        <f t="shared" si="383"/>
        <v>2.4624764799613965</v>
      </c>
      <c r="DL77" s="26"/>
      <c r="DM77" s="23">
        <f t="shared" si="154"/>
        <v>0.32067598027000765</v>
      </c>
      <c r="DN77" s="13">
        <f t="shared" si="154"/>
        <v>4.4732998107692027E-3</v>
      </c>
      <c r="DO77" s="13">
        <f t="shared" si="154"/>
        <v>0.1112166061648488</v>
      </c>
      <c r="DP77" s="13">
        <f t="shared" si="154"/>
        <v>0</v>
      </c>
      <c r="DQ77" s="13">
        <f t="shared" si="154"/>
        <v>7.0133441381511841E-2</v>
      </c>
      <c r="DR77" s="13">
        <f t="shared" si="295"/>
        <v>3.4980634687698367E-2</v>
      </c>
      <c r="DS77" s="13">
        <f t="shared" si="295"/>
        <v>1.3687139554803629E-2</v>
      </c>
      <c r="DT77" s="13">
        <f t="shared" si="295"/>
        <v>0</v>
      </c>
      <c r="DU77" s="13">
        <f t="shared" si="295"/>
        <v>8.3868942104326133E-2</v>
      </c>
      <c r="DV77" s="13">
        <f t="shared" si="295"/>
        <v>8.5870854074976646E-2</v>
      </c>
      <c r="DW77" s="13">
        <f t="shared" si="295"/>
        <v>2.882392378068219E-2</v>
      </c>
      <c r="DX77" s="13">
        <f t="shared" si="295"/>
        <v>1.732149393632799E-3</v>
      </c>
      <c r="DY77" s="13">
        <f t="shared" si="295"/>
        <v>0</v>
      </c>
      <c r="DZ77" s="13">
        <f t="shared" si="295"/>
        <v>0.29320480301924462</v>
      </c>
      <c r="EA77" s="12">
        <f t="shared" si="340"/>
        <v>1</v>
      </c>
      <c r="EB77" s="26"/>
      <c r="EC77" s="30">
        <f t="shared" si="341"/>
        <v>1323</v>
      </c>
      <c r="ED77" s="14">
        <f t="shared" si="342"/>
        <v>100000</v>
      </c>
      <c r="EE77" s="29"/>
      <c r="EF77" s="128">
        <f t="shared" si="394"/>
        <v>-8.7342365835222964</v>
      </c>
      <c r="EG77" s="13">
        <f t="shared" si="384"/>
        <v>1.5</v>
      </c>
      <c r="EH77" s="13">
        <f t="shared" si="385"/>
        <v>0.74926606198035017</v>
      </c>
      <c r="EI77" s="12">
        <f t="shared" si="343"/>
        <v>5.3414996220710531</v>
      </c>
      <c r="EJ77" s="29"/>
      <c r="EK77" s="28">
        <f t="shared" si="386"/>
        <v>-1.6318027396806194</v>
      </c>
      <c r="EL77" s="24">
        <f t="shared" si="344"/>
        <v>-0.70855524953565763</v>
      </c>
      <c r="EM77" s="24">
        <f t="shared" si="387"/>
        <v>0.19557668229065306</v>
      </c>
      <c r="EN77" s="24">
        <f t="shared" si="345"/>
        <v>4.5963241793786323E-2</v>
      </c>
      <c r="EO77" s="24">
        <f t="shared" si="346"/>
        <v>8.9893383373518144E-3</v>
      </c>
      <c r="EP77" s="24">
        <f t="shared" si="347"/>
        <v>0.28117199335461557</v>
      </c>
      <c r="EQ77" s="24">
        <f t="shared" si="348"/>
        <v>-1.6314851209538559</v>
      </c>
      <c r="ER77" s="24">
        <f t="shared" si="349"/>
        <v>-20.109295756269134</v>
      </c>
      <c r="ES77" s="25">
        <f t="shared" si="350"/>
        <v>-8.7317827860482566</v>
      </c>
      <c r="ET77" s="26">
        <v>6.8</v>
      </c>
      <c r="EU77" s="26">
        <v>0.2908388804178052</v>
      </c>
      <c r="EV77" s="26">
        <v>0.45049013325058707</v>
      </c>
      <c r="EW77" s="26">
        <v>0.28117199335461557</v>
      </c>
      <c r="EX77" s="26">
        <v>0.44781098986223755</v>
      </c>
      <c r="EY77" s="26">
        <f t="shared" si="388"/>
        <v>0.99405282559904762</v>
      </c>
      <c r="EZ77" s="26">
        <f t="shared" si="389"/>
        <v>1.0343806897260841</v>
      </c>
      <c r="FA77" s="23">
        <f t="shared" si="395"/>
        <v>-1.3394875295596833</v>
      </c>
      <c r="FB77" s="190">
        <f t="shared" si="351"/>
        <v>4.3760198833122321E-2</v>
      </c>
      <c r="FC77" s="124">
        <v>6.2646889236044334E-2</v>
      </c>
      <c r="FD77" s="26"/>
      <c r="FE77" s="27">
        <f t="shared" si="352"/>
        <v>0.88818423022188309</v>
      </c>
      <c r="FF77" s="26"/>
      <c r="FG77" s="23">
        <f t="shared" si="282"/>
        <v>-5.0546641234021514</v>
      </c>
      <c r="FH77" s="13">
        <f t="shared" si="353"/>
        <v>13.238939645370017</v>
      </c>
      <c r="FI77" s="13">
        <f t="shared" si="283"/>
        <v>-21.845149910644157</v>
      </c>
      <c r="FJ77" s="13">
        <f t="shared" si="284"/>
        <v>-8.3892232387043464E-2</v>
      </c>
      <c r="FK77" s="12">
        <f t="shared" si="354"/>
        <v>0.47903923378782731</v>
      </c>
      <c r="FL77" s="13"/>
      <c r="FM77" s="23">
        <f t="shared" si="285"/>
        <v>-6.0845054457171077</v>
      </c>
      <c r="FN77" s="13">
        <f t="shared" si="286"/>
        <v>11.207053735614778</v>
      </c>
      <c r="FO77" s="13">
        <f t="shared" si="287"/>
        <v>11.730467352050084</v>
      </c>
      <c r="FP77" s="24">
        <f t="shared" si="288"/>
        <v>0.39954543069680926</v>
      </c>
      <c r="FQ77" s="25">
        <f t="shared" si="289"/>
        <v>0.68951329237002357</v>
      </c>
      <c r="FR77" s="13"/>
      <c r="FS77" s="23">
        <f t="shared" si="355"/>
        <v>11.24207678380472</v>
      </c>
      <c r="FT77" s="13">
        <f t="shared" si="356"/>
        <v>-6.1354033718573922</v>
      </c>
      <c r="FU77" s="13">
        <f t="shared" si="290"/>
        <v>-9.0993011382479949E-2</v>
      </c>
      <c r="FV77" s="13">
        <f t="shared" si="357"/>
        <v>0.44781098986223755</v>
      </c>
      <c r="FW77" s="23">
        <f t="shared" si="291"/>
        <v>-9.1075551065021187E-2</v>
      </c>
      <c r="FX77" s="13">
        <f t="shared" si="292"/>
        <v>0.44776399431832437</v>
      </c>
      <c r="FY77" s="13">
        <f t="shared" si="293"/>
        <v>-9.1043200346955899E-2</v>
      </c>
      <c r="FZ77" s="13">
        <f t="shared" si="390"/>
        <v>0.44778241370607552</v>
      </c>
      <c r="GA77" s="13">
        <f t="shared" si="294"/>
        <v>-9.1083865501904171E-2</v>
      </c>
      <c r="GB77" s="12">
        <f t="shared" si="391"/>
        <v>0.44775926038668257</v>
      </c>
      <c r="GC77" s="22"/>
      <c r="GD77" s="11">
        <f t="shared" si="358"/>
        <v>1.5</v>
      </c>
      <c r="GE77" s="10">
        <f t="shared" si="359"/>
        <v>0.74926606198035017</v>
      </c>
      <c r="GF77" s="10">
        <f t="shared" si="360"/>
        <v>5.3414996220710531</v>
      </c>
      <c r="GG77" s="5">
        <f t="shared" si="361"/>
        <v>-8.7342365835222964</v>
      </c>
      <c r="GH77" s="10">
        <f t="shared" si="362"/>
        <v>0.28117199335461557</v>
      </c>
      <c r="GI77" s="9">
        <f t="shared" si="276"/>
        <v>11.24207678380472</v>
      </c>
      <c r="GJ77" s="8">
        <f t="shared" si="277"/>
        <v>-6.1354033718573922</v>
      </c>
      <c r="GK77" s="8">
        <f t="shared" si="392"/>
        <v>0.44781098986223755</v>
      </c>
      <c r="GL77" s="7">
        <f t="shared" si="393"/>
        <v>0.44776399431832437</v>
      </c>
      <c r="GM77" s="6">
        <f t="shared" si="278"/>
        <v>0.39954543069680926</v>
      </c>
      <c r="GN77" s="5">
        <f t="shared" si="279"/>
        <v>0.68951329237002357</v>
      </c>
      <c r="GO77" s="4">
        <f t="shared" si="280"/>
        <v>0.47903923378782731</v>
      </c>
      <c r="GP77" s="4">
        <f t="shared" si="363"/>
        <v>0.88818423022188309</v>
      </c>
      <c r="GQ77" s="4">
        <f t="shared" si="364"/>
        <v>4.3760198833122321E-2</v>
      </c>
      <c r="GR77" s="1"/>
    </row>
    <row r="78" spans="1:200" x14ac:dyDescent="0.4">
      <c r="A78" s="32"/>
      <c r="B78" s="33"/>
      <c r="C78" s="33"/>
      <c r="D78" s="32"/>
      <c r="E78" s="32"/>
      <c r="F78" s="20" t="s">
        <v>84</v>
      </c>
      <c r="G78" s="19">
        <v>1050</v>
      </c>
      <c r="H78" s="18">
        <v>1E-4</v>
      </c>
      <c r="I78" s="17">
        <v>1.5</v>
      </c>
      <c r="J78" s="16">
        <v>49.6</v>
      </c>
      <c r="K78" s="16">
        <v>0.92</v>
      </c>
      <c r="L78" s="16">
        <v>14.6</v>
      </c>
      <c r="M78" s="16">
        <v>0</v>
      </c>
      <c r="N78" s="16">
        <v>9</v>
      </c>
      <c r="O78" s="16">
        <v>0</v>
      </c>
      <c r="P78" s="16">
        <v>8.6999999999999993</v>
      </c>
      <c r="Q78" s="16">
        <v>12.4</v>
      </c>
      <c r="R78" s="16">
        <v>2.2999999999999998</v>
      </c>
      <c r="S78" s="16">
        <v>0.21</v>
      </c>
      <c r="T78" s="16">
        <v>0</v>
      </c>
      <c r="U78" s="15">
        <v>6.9</v>
      </c>
      <c r="V78" s="16"/>
      <c r="W78" s="28">
        <f t="shared" si="365"/>
        <v>47.405141928701134</v>
      </c>
      <c r="X78" s="24">
        <f t="shared" si="156"/>
        <v>0.87928892287106941</v>
      </c>
      <c r="Y78" s="24">
        <f t="shared" si="156"/>
        <v>13.953932906432186</v>
      </c>
      <c r="Z78" s="24">
        <f t="shared" si="156"/>
        <v>0</v>
      </c>
      <c r="AA78" s="24">
        <f t="shared" si="156"/>
        <v>8.6017394628691566</v>
      </c>
      <c r="AB78" s="24">
        <f t="shared" si="156"/>
        <v>0</v>
      </c>
      <c r="AC78" s="24">
        <f t="shared" si="396"/>
        <v>8.3150148141068509</v>
      </c>
      <c r="AD78" s="24">
        <f t="shared" si="396"/>
        <v>11.851285482175284</v>
      </c>
      <c r="AE78" s="24">
        <f t="shared" si="396"/>
        <v>2.1982223071776734</v>
      </c>
      <c r="AF78" s="24">
        <f t="shared" si="396"/>
        <v>0.20070725413361365</v>
      </c>
      <c r="AG78" s="24">
        <f t="shared" si="396"/>
        <v>0</v>
      </c>
      <c r="AH78" s="24">
        <f t="shared" si="396"/>
        <v>6.5946669215330207</v>
      </c>
      <c r="AI78" s="14">
        <f t="shared" si="366"/>
        <v>99.999999999999986</v>
      </c>
      <c r="AJ78" s="26"/>
      <c r="AK78" s="50">
        <f t="shared" si="367"/>
        <v>0.78890234529374492</v>
      </c>
      <c r="AL78" s="47">
        <f t="shared" si="368"/>
        <v>1.1004867620413885E-2</v>
      </c>
      <c r="AM78" s="47">
        <f t="shared" si="369"/>
        <v>0.13685693317410932</v>
      </c>
      <c r="AN78" s="49">
        <f t="shared" si="370"/>
        <v>0</v>
      </c>
      <c r="AO78" s="49">
        <f t="shared" si="371"/>
        <v>0.1197180161846786</v>
      </c>
      <c r="AP78" s="47">
        <f t="shared" si="372"/>
        <v>0</v>
      </c>
      <c r="AQ78" s="47">
        <f t="shared" si="373"/>
        <v>0.20622556582606277</v>
      </c>
      <c r="AR78" s="47">
        <f t="shared" si="374"/>
        <v>0.21132820046674899</v>
      </c>
      <c r="AS78" s="47">
        <f t="shared" si="375"/>
        <v>3.5466639354270309E-2</v>
      </c>
      <c r="AT78" s="47">
        <f t="shared" si="376"/>
        <v>2.1306502561954741E-3</v>
      </c>
      <c r="AU78" s="47">
        <f t="shared" si="377"/>
        <v>0</v>
      </c>
      <c r="AV78" s="47">
        <f t="shared" si="378"/>
        <v>0.36596375813168819</v>
      </c>
      <c r="AW78" s="47">
        <f t="shared" si="379"/>
        <v>1.8775969763079126</v>
      </c>
      <c r="AX78" s="47">
        <f t="shared" si="380"/>
        <v>8.6070223795503484E-2</v>
      </c>
      <c r="AY78" s="46">
        <f t="shared" si="381"/>
        <v>1.6829240627777183E-2</v>
      </c>
      <c r="AZ78" s="26"/>
      <c r="BA78" s="23">
        <f t="shared" si="296"/>
        <v>0.42016596492663427</v>
      </c>
      <c r="BB78" s="13">
        <f t="shared" si="297"/>
        <v>5.8611447287552328E-3</v>
      </c>
      <c r="BC78" s="13">
        <f t="shared" si="298"/>
        <v>7.2889408590347968E-2</v>
      </c>
      <c r="BD78" s="13">
        <f t="shared" si="299"/>
        <v>0</v>
      </c>
      <c r="BE78" s="13">
        <f t="shared" si="300"/>
        <v>6.3761295792077219E-2</v>
      </c>
      <c r="BF78" s="13">
        <f t="shared" si="301"/>
        <v>4.5840627611550104E-2</v>
      </c>
      <c r="BG78" s="13">
        <f t="shared" si="302"/>
        <v>8.9631805121831998E-3</v>
      </c>
      <c r="BH78" s="13">
        <f t="shared" si="303"/>
        <v>0</v>
      </c>
      <c r="BI78" s="13">
        <f t="shared" si="304"/>
        <v>0.10983484125096037</v>
      </c>
      <c r="BJ78" s="13">
        <f t="shared" si="305"/>
        <v>0.11255248231295227</v>
      </c>
      <c r="BK78" s="13">
        <f t="shared" si="306"/>
        <v>1.8889378179555629E-2</v>
      </c>
      <c r="BL78" s="13">
        <f t="shared" si="307"/>
        <v>1.1347750785076162E-3</v>
      </c>
      <c r="BM78" s="13">
        <f t="shared" si="308"/>
        <v>0</v>
      </c>
      <c r="BN78" s="13">
        <f t="shared" si="309"/>
        <v>0.19491070914020941</v>
      </c>
      <c r="BO78" s="12">
        <f t="shared" si="310"/>
        <v>0.80508929085979042</v>
      </c>
      <c r="BP78" s="13"/>
      <c r="BQ78" s="23">
        <f t="shared" si="311"/>
        <v>1.5778046905874898</v>
      </c>
      <c r="BR78" s="13">
        <f t="shared" si="312"/>
        <v>2.200973524082777E-2</v>
      </c>
      <c r="BS78" s="13">
        <f t="shared" si="313"/>
        <v>0.41040979136565253</v>
      </c>
      <c r="BT78" s="13">
        <f t="shared" si="314"/>
        <v>0</v>
      </c>
      <c r="BU78" s="13">
        <f t="shared" si="315"/>
        <v>0.1197180161846786</v>
      </c>
      <c r="BV78" s="13">
        <f t="shared" si="316"/>
        <v>8.6070223795503484E-2</v>
      </c>
      <c r="BW78" s="24">
        <f t="shared" si="317"/>
        <v>5.0487721883331546E-2</v>
      </c>
      <c r="BX78" s="13">
        <f t="shared" si="318"/>
        <v>0</v>
      </c>
      <c r="BY78" s="13">
        <f t="shared" si="319"/>
        <v>0.20632791102002113</v>
      </c>
      <c r="BZ78" s="13">
        <f t="shared" si="320"/>
        <v>0.2112528606448357</v>
      </c>
      <c r="CA78" s="13">
        <f t="shared" si="321"/>
        <v>3.5455198502865701E-2</v>
      </c>
      <c r="CB78" s="13">
        <f t="shared" si="322"/>
        <v>2.1306502561954741E-3</v>
      </c>
      <c r="CC78" s="13">
        <f t="shared" si="323"/>
        <v>0</v>
      </c>
      <c r="CD78" s="13">
        <f t="shared" si="324"/>
        <v>0.36596375813168819</v>
      </c>
      <c r="CE78" s="12">
        <f t="shared" si="325"/>
        <v>2.9510726119342547</v>
      </c>
      <c r="CF78" s="13"/>
      <c r="CG78" s="23">
        <f t="shared" si="281"/>
        <v>0.53465464868833967</v>
      </c>
      <c r="CH78" s="13">
        <f t="shared" si="281"/>
        <v>7.4582154135481209E-3</v>
      </c>
      <c r="CI78" s="13">
        <f t="shared" si="281"/>
        <v>0.13907139719501954</v>
      </c>
      <c r="CJ78" s="13">
        <f t="shared" si="281"/>
        <v>0</v>
      </c>
      <c r="CK78" s="13">
        <f t="shared" si="281"/>
        <v>4.0567628089032505E-2</v>
      </c>
      <c r="CL78" s="13">
        <f t="shared" si="281"/>
        <v>2.9165742465106444E-2</v>
      </c>
      <c r="CM78" s="13">
        <f t="shared" si="281"/>
        <v>1.7108261477253115E-2</v>
      </c>
      <c r="CN78" s="13">
        <f t="shared" si="281"/>
        <v>0</v>
      </c>
      <c r="CO78" s="13">
        <f t="shared" si="281"/>
        <v>6.9916243397611724E-2</v>
      </c>
      <c r="CP78" s="13">
        <f t="shared" si="157"/>
        <v>7.1585111050985584E-2</v>
      </c>
      <c r="CQ78" s="13">
        <f t="shared" si="157"/>
        <v>1.2014342974647072E-2</v>
      </c>
      <c r="CR78" s="13">
        <f t="shared" si="157"/>
        <v>7.2199180988601909E-4</v>
      </c>
      <c r="CS78" s="13">
        <f t="shared" si="157"/>
        <v>0</v>
      </c>
      <c r="CT78" s="13">
        <f t="shared" si="157"/>
        <v>0.12401042138092984</v>
      </c>
      <c r="CU78" s="12">
        <f t="shared" si="326"/>
        <v>1</v>
      </c>
      <c r="CV78" s="26"/>
      <c r="CW78" s="23">
        <f t="shared" si="327"/>
        <v>0.78890234529374492</v>
      </c>
      <c r="CX78" s="13">
        <f t="shared" si="328"/>
        <v>1.1004867620413885E-2</v>
      </c>
      <c r="CY78" s="13">
        <f t="shared" si="329"/>
        <v>0.27360652757710169</v>
      </c>
      <c r="CZ78" s="13">
        <f t="shared" si="330"/>
        <v>0</v>
      </c>
      <c r="DA78" s="13">
        <f t="shared" si="331"/>
        <v>0.17270194986072424</v>
      </c>
      <c r="DB78" s="13">
        <f t="shared" si="332"/>
        <v>8.6070223795503484E-2</v>
      </c>
      <c r="DC78" s="24">
        <f t="shared" si="333"/>
        <v>3.3658481255554366E-2</v>
      </c>
      <c r="DD78" s="13">
        <f t="shared" si="334"/>
        <v>0</v>
      </c>
      <c r="DE78" s="13">
        <f t="shared" si="335"/>
        <v>0.20632791102002113</v>
      </c>
      <c r="DF78" s="13">
        <f t="shared" si="336"/>
        <v>0.2112528606448357</v>
      </c>
      <c r="DG78" s="13">
        <f t="shared" si="337"/>
        <v>7.0910397005731401E-2</v>
      </c>
      <c r="DH78" s="13">
        <f t="shared" si="338"/>
        <v>4.2613005123909482E-3</v>
      </c>
      <c r="DI78" s="13">
        <f t="shared" si="339"/>
        <v>0</v>
      </c>
      <c r="DJ78" s="13">
        <f t="shared" si="382"/>
        <v>0.73192751626337638</v>
      </c>
      <c r="DK78" s="12">
        <f t="shared" si="383"/>
        <v>2.4708956757983405</v>
      </c>
      <c r="DL78" s="26"/>
      <c r="DM78" s="23">
        <f t="shared" si="154"/>
        <v>0.31927788494706577</v>
      </c>
      <c r="DN78" s="13">
        <f t="shared" si="154"/>
        <v>4.4537969482901126E-3</v>
      </c>
      <c r="DO78" s="13">
        <f t="shared" si="154"/>
        <v>0.11073171977958968</v>
      </c>
      <c r="DP78" s="13">
        <f t="shared" si="154"/>
        <v>0</v>
      </c>
      <c r="DQ78" s="13">
        <f t="shared" si="154"/>
        <v>6.9894472499299129E-2</v>
      </c>
      <c r="DR78" s="13">
        <f t="shared" si="295"/>
        <v>3.4833613024837402E-2</v>
      </c>
      <c r="DS78" s="13">
        <f t="shared" si="295"/>
        <v>1.3621975862934559E-2</v>
      </c>
      <c r="DT78" s="13">
        <f t="shared" si="295"/>
        <v>0</v>
      </c>
      <c r="DU78" s="13">
        <f t="shared" si="295"/>
        <v>8.3503287103919133E-2</v>
      </c>
      <c r="DV78" s="13">
        <f t="shared" si="295"/>
        <v>8.5496471062696894E-2</v>
      </c>
      <c r="DW78" s="13">
        <f t="shared" si="295"/>
        <v>2.8698256142611293E-2</v>
      </c>
      <c r="DX78" s="13">
        <f t="shared" si="295"/>
        <v>1.7245975028930074E-3</v>
      </c>
      <c r="DY78" s="13">
        <f t="shared" si="295"/>
        <v>0</v>
      </c>
      <c r="DZ78" s="13">
        <f t="shared" si="295"/>
        <v>0.29621951401363489</v>
      </c>
      <c r="EA78" s="12">
        <f t="shared" si="340"/>
        <v>1</v>
      </c>
      <c r="EB78" s="26"/>
      <c r="EC78" s="30">
        <f t="shared" si="341"/>
        <v>1323</v>
      </c>
      <c r="ED78" s="14">
        <f t="shared" si="342"/>
        <v>100000</v>
      </c>
      <c r="EE78" s="29"/>
      <c r="EF78" s="128">
        <f t="shared" si="394"/>
        <v>-8.7342365835222964</v>
      </c>
      <c r="EG78" s="13">
        <f t="shared" si="384"/>
        <v>1.5</v>
      </c>
      <c r="EH78" s="13">
        <f t="shared" si="385"/>
        <v>0.74926606198035017</v>
      </c>
      <c r="EI78" s="12">
        <f t="shared" si="343"/>
        <v>5.3414996220710531</v>
      </c>
      <c r="EJ78" s="29"/>
      <c r="EK78" s="28">
        <f t="shared" si="386"/>
        <v>-1.6323632505127286</v>
      </c>
      <c r="EL78" s="24">
        <f t="shared" si="344"/>
        <v>-0.70879863244148011</v>
      </c>
      <c r="EM78" s="24">
        <f t="shared" si="387"/>
        <v>0.19546709015837904</v>
      </c>
      <c r="EN78" s="24">
        <f t="shared" si="345"/>
        <v>4.5840627611550125E-2</v>
      </c>
      <c r="EO78" s="24">
        <f t="shared" si="346"/>
        <v>8.9603340902635487E-3</v>
      </c>
      <c r="EP78" s="24">
        <f t="shared" si="347"/>
        <v>0.28105871999473803</v>
      </c>
      <c r="EQ78" s="24">
        <f t="shared" si="348"/>
        <v>-1.6320456317859642</v>
      </c>
      <c r="ER78" s="24">
        <f t="shared" si="349"/>
        <v>-20.10929575626913</v>
      </c>
      <c r="ES78" s="25">
        <f t="shared" si="350"/>
        <v>-8.7317827860482549</v>
      </c>
      <c r="ET78" s="26">
        <v>6.9</v>
      </c>
      <c r="EU78" s="26">
        <v>0.29083888041780526</v>
      </c>
      <c r="EV78" s="26">
        <v>0.45279146852701335</v>
      </c>
      <c r="EW78" s="26">
        <v>0.28105871999473803</v>
      </c>
      <c r="EX78" s="26">
        <v>0.45008641031521845</v>
      </c>
      <c r="EY78" s="26">
        <f t="shared" si="388"/>
        <v>0.99402581894797004</v>
      </c>
      <c r="EZ78" s="26">
        <f t="shared" si="389"/>
        <v>1.0347975697863077</v>
      </c>
      <c r="FA78" s="23">
        <f t="shared" si="395"/>
        <v>-1.3414349436511372</v>
      </c>
      <c r="FB78" s="190">
        <f t="shared" si="351"/>
        <v>4.3572944535728908E-2</v>
      </c>
      <c r="FC78" s="124">
        <v>6.2646889236044334E-2</v>
      </c>
      <c r="FD78" s="26"/>
      <c r="FE78" s="27">
        <f t="shared" si="352"/>
        <v>0.88818423022188309</v>
      </c>
      <c r="FF78" s="26"/>
      <c r="FG78" s="23">
        <f t="shared" si="282"/>
        <v>-5.0704308541811667</v>
      </c>
      <c r="FH78" s="13">
        <f t="shared" si="353"/>
        <v>13.215855879470986</v>
      </c>
      <c r="FI78" s="13">
        <f t="shared" si="283"/>
        <v>-21.845149910644157</v>
      </c>
      <c r="FJ78" s="13">
        <f t="shared" si="284"/>
        <v>-9.1209267507053937E-2</v>
      </c>
      <c r="FK78" s="12">
        <f t="shared" si="354"/>
        <v>0.47721347793756497</v>
      </c>
      <c r="FL78" s="13"/>
      <c r="FM78" s="23">
        <f t="shared" si="285"/>
        <v>-6.0851398474568477</v>
      </c>
      <c r="FN78" s="13">
        <f t="shared" si="286"/>
        <v>11.203368028448807</v>
      </c>
      <c r="FO78" s="13">
        <f t="shared" si="287"/>
        <v>11.726853609098697</v>
      </c>
      <c r="FP78" s="24">
        <f t="shared" si="288"/>
        <v>0.39786105293982499</v>
      </c>
      <c r="FQ78" s="25">
        <f t="shared" si="289"/>
        <v>0.68804272517233911</v>
      </c>
      <c r="FR78" s="13"/>
      <c r="FS78" s="23">
        <f t="shared" si="355"/>
        <v>11.247612565902472</v>
      </c>
      <c r="FT78" s="13">
        <f t="shared" si="356"/>
        <v>-6.1338620491337954</v>
      </c>
      <c r="FU78" s="13">
        <f t="shared" si="290"/>
        <v>-8.6998552008324737E-2</v>
      </c>
      <c r="FV78" s="13">
        <f t="shared" si="357"/>
        <v>0.45008641031521845</v>
      </c>
      <c r="FW78" s="23">
        <f t="shared" si="291"/>
        <v>-8.7081091690865975E-2</v>
      </c>
      <c r="FX78" s="13">
        <f t="shared" si="292"/>
        <v>0.45003937059670074</v>
      </c>
      <c r="FY78" s="13">
        <f t="shared" si="293"/>
        <v>-8.7048740972800687E-2</v>
      </c>
      <c r="FZ78" s="13">
        <f t="shared" si="390"/>
        <v>0.45005780730305145</v>
      </c>
      <c r="GA78" s="13">
        <f t="shared" si="294"/>
        <v>-8.7089406127748958E-2</v>
      </c>
      <c r="GB78" s="12">
        <f t="shared" si="391"/>
        <v>0.45003463221302908</v>
      </c>
      <c r="GC78" s="22"/>
      <c r="GD78" s="11">
        <f t="shared" si="358"/>
        <v>1.5</v>
      </c>
      <c r="GE78" s="10">
        <f t="shared" si="359"/>
        <v>0.74926606198035017</v>
      </c>
      <c r="GF78" s="10">
        <f t="shared" si="360"/>
        <v>5.3414996220710531</v>
      </c>
      <c r="GG78" s="5">
        <f t="shared" si="361"/>
        <v>-8.7342365835222964</v>
      </c>
      <c r="GH78" s="10">
        <f t="shared" si="362"/>
        <v>0.28105871999473803</v>
      </c>
      <c r="GI78" s="9">
        <f t="shared" si="276"/>
        <v>11.247612565902472</v>
      </c>
      <c r="GJ78" s="8">
        <f t="shared" si="277"/>
        <v>-6.1338620491337954</v>
      </c>
      <c r="GK78" s="8">
        <f t="shared" si="392"/>
        <v>0.45008641031521845</v>
      </c>
      <c r="GL78" s="7">
        <f t="shared" si="393"/>
        <v>0.45003937059670074</v>
      </c>
      <c r="GM78" s="6">
        <f t="shared" si="278"/>
        <v>0.39786105293982499</v>
      </c>
      <c r="GN78" s="5">
        <f t="shared" si="279"/>
        <v>0.68804272517233911</v>
      </c>
      <c r="GO78" s="4">
        <f t="shared" si="280"/>
        <v>0.47721347793756497</v>
      </c>
      <c r="GP78" s="4">
        <f t="shared" si="363"/>
        <v>0.88818423022188309</v>
      </c>
      <c r="GQ78" s="4">
        <f t="shared" si="364"/>
        <v>4.3572944535728908E-2</v>
      </c>
      <c r="GR78" s="1"/>
    </row>
    <row r="79" spans="1:200" x14ac:dyDescent="0.4">
      <c r="A79" s="32"/>
      <c r="B79" s="33"/>
      <c r="C79" s="33"/>
      <c r="D79" s="32"/>
      <c r="E79" s="32"/>
      <c r="F79" s="20" t="s">
        <v>84</v>
      </c>
      <c r="G79" s="19">
        <v>1050</v>
      </c>
      <c r="H79" s="18">
        <v>1E-4</v>
      </c>
      <c r="I79" s="17">
        <v>1.5</v>
      </c>
      <c r="J79" s="16">
        <v>49.6</v>
      </c>
      <c r="K79" s="16">
        <v>0.92</v>
      </c>
      <c r="L79" s="16">
        <v>14.6</v>
      </c>
      <c r="M79" s="16">
        <v>0</v>
      </c>
      <c r="N79" s="16">
        <v>9</v>
      </c>
      <c r="O79" s="16">
        <v>0</v>
      </c>
      <c r="P79" s="16">
        <v>8.6999999999999993</v>
      </c>
      <c r="Q79" s="16">
        <v>12.4</v>
      </c>
      <c r="R79" s="16">
        <v>2.2999999999999998</v>
      </c>
      <c r="S79" s="16">
        <v>0.21</v>
      </c>
      <c r="T79" s="16">
        <v>0</v>
      </c>
      <c r="U79" s="15">
        <v>7</v>
      </c>
      <c r="V79" s="16"/>
      <c r="W79" s="28">
        <f t="shared" si="365"/>
        <v>47.359877780960566</v>
      </c>
      <c r="X79" s="24">
        <f t="shared" si="156"/>
        <v>0.87844934593717183</v>
      </c>
      <c r="Y79" s="24">
        <f t="shared" si="156"/>
        <v>13.940609185524682</v>
      </c>
      <c r="Z79" s="24">
        <f t="shared" si="156"/>
        <v>0</v>
      </c>
      <c r="AA79" s="24">
        <f t="shared" si="156"/>
        <v>8.5935262102549412</v>
      </c>
      <c r="AB79" s="24">
        <f t="shared" si="156"/>
        <v>0</v>
      </c>
      <c r="AC79" s="24">
        <f t="shared" si="396"/>
        <v>8.3070753365797749</v>
      </c>
      <c r="AD79" s="24">
        <f t="shared" si="396"/>
        <v>11.839969445240142</v>
      </c>
      <c r="AE79" s="24">
        <f t="shared" si="396"/>
        <v>2.1961233648429292</v>
      </c>
      <c r="AF79" s="24">
        <f t="shared" si="396"/>
        <v>0.20051561157261527</v>
      </c>
      <c r="AG79" s="24">
        <f t="shared" si="396"/>
        <v>0</v>
      </c>
      <c r="AH79" s="24">
        <f t="shared" si="396"/>
        <v>6.6838537190871765</v>
      </c>
      <c r="AI79" s="14">
        <f t="shared" si="366"/>
        <v>100</v>
      </c>
      <c r="AJ79" s="26"/>
      <c r="AK79" s="50">
        <f t="shared" si="367"/>
        <v>0.78814907274023238</v>
      </c>
      <c r="AL79" s="47">
        <f t="shared" si="368"/>
        <v>1.0994359773932063E-2</v>
      </c>
      <c r="AM79" s="47">
        <f t="shared" si="369"/>
        <v>0.13672625721385526</v>
      </c>
      <c r="AN79" s="49">
        <f t="shared" si="370"/>
        <v>0</v>
      </c>
      <c r="AO79" s="49">
        <f t="shared" si="371"/>
        <v>0.11960370508357608</v>
      </c>
      <c r="AP79" s="47">
        <f t="shared" si="372"/>
        <v>0</v>
      </c>
      <c r="AQ79" s="47">
        <f t="shared" si="373"/>
        <v>0.20602865418104602</v>
      </c>
      <c r="AR79" s="47">
        <f t="shared" si="374"/>
        <v>0.21112641664122936</v>
      </c>
      <c r="AS79" s="47">
        <f t="shared" si="375"/>
        <v>3.5432774521505797E-2</v>
      </c>
      <c r="AT79" s="47">
        <f t="shared" si="376"/>
        <v>2.1286158341041958E-3</v>
      </c>
      <c r="AU79" s="47">
        <f t="shared" si="377"/>
        <v>0</v>
      </c>
      <c r="AV79" s="47">
        <f t="shared" si="378"/>
        <v>0.37091308097043157</v>
      </c>
      <c r="AW79" s="47">
        <f t="shared" si="379"/>
        <v>1.8811029369599128</v>
      </c>
      <c r="AX79" s="47">
        <f t="shared" si="380"/>
        <v>8.6001509118469335E-2</v>
      </c>
      <c r="AY79" s="46">
        <f t="shared" si="381"/>
        <v>1.6806435173453847E-2</v>
      </c>
      <c r="AZ79" s="26"/>
      <c r="BA79" s="23">
        <f t="shared" si="296"/>
        <v>0.41898242634928606</v>
      </c>
      <c r="BB79" s="13">
        <f t="shared" si="297"/>
        <v>5.8446348458209641E-3</v>
      </c>
      <c r="BC79" s="13">
        <f t="shared" si="298"/>
        <v>7.2684091086913732E-2</v>
      </c>
      <c r="BD79" s="13">
        <f t="shared" si="299"/>
        <v>0</v>
      </c>
      <c r="BE79" s="13">
        <f t="shared" si="300"/>
        <v>6.358169068454593E-2</v>
      </c>
      <c r="BF79" s="13">
        <f t="shared" si="301"/>
        <v>4.5718661870497133E-2</v>
      </c>
      <c r="BG79" s="13">
        <f t="shared" si="302"/>
        <v>8.9343516738191135E-3</v>
      </c>
      <c r="BH79" s="13">
        <f t="shared" si="303"/>
        <v>0</v>
      </c>
      <c r="BI79" s="13">
        <f t="shared" si="304"/>
        <v>0.10952545452616907</v>
      </c>
      <c r="BJ79" s="13">
        <f t="shared" si="305"/>
        <v>0.11223544043923236</v>
      </c>
      <c r="BK79" s="13">
        <f t="shared" si="306"/>
        <v>1.8836169900818611E-2</v>
      </c>
      <c r="BL79" s="13">
        <f t="shared" si="307"/>
        <v>1.131578603318909E-3</v>
      </c>
      <c r="BM79" s="13">
        <f t="shared" si="308"/>
        <v>0</v>
      </c>
      <c r="BN79" s="13">
        <f t="shared" si="309"/>
        <v>0.19717851356389429</v>
      </c>
      <c r="BO79" s="12">
        <f t="shared" si="310"/>
        <v>0.80282148643610562</v>
      </c>
      <c r="BP79" s="13"/>
      <c r="BQ79" s="23">
        <f t="shared" si="311"/>
        <v>1.5762981454804648</v>
      </c>
      <c r="BR79" s="13">
        <f t="shared" si="312"/>
        <v>2.1988719547864126E-2</v>
      </c>
      <c r="BS79" s="13">
        <f t="shared" si="313"/>
        <v>0.4100179172213142</v>
      </c>
      <c r="BT79" s="13">
        <f t="shared" si="314"/>
        <v>0</v>
      </c>
      <c r="BU79" s="13">
        <f t="shared" si="315"/>
        <v>0.11960370508357608</v>
      </c>
      <c r="BV79" s="13">
        <f t="shared" si="316"/>
        <v>8.6001509118469335E-2</v>
      </c>
      <c r="BW79" s="24">
        <f t="shared" si="317"/>
        <v>5.0419305520361536E-2</v>
      </c>
      <c r="BX79" s="13">
        <f t="shared" si="318"/>
        <v>0</v>
      </c>
      <c r="BY79" s="13">
        <f t="shared" si="319"/>
        <v>0.2061309016521036</v>
      </c>
      <c r="BZ79" s="13">
        <f t="shared" si="320"/>
        <v>0.21105114875650877</v>
      </c>
      <c r="CA79" s="13">
        <f t="shared" si="321"/>
        <v>3.5421344594240796E-2</v>
      </c>
      <c r="CB79" s="13">
        <f t="shared" si="322"/>
        <v>2.1286158341041958E-3</v>
      </c>
      <c r="CC79" s="13">
        <f t="shared" si="323"/>
        <v>0</v>
      </c>
      <c r="CD79" s="13">
        <f t="shared" si="324"/>
        <v>0.37091308097043157</v>
      </c>
      <c r="CE79" s="12">
        <f t="shared" si="325"/>
        <v>2.9535535791406078</v>
      </c>
      <c r="CF79" s="13"/>
      <c r="CG79" s="23">
        <f t="shared" si="281"/>
        <v>0.53369546319153571</v>
      </c>
      <c r="CH79" s="13">
        <f t="shared" si="281"/>
        <v>7.4448351650563786E-3</v>
      </c>
      <c r="CI79" s="13">
        <f t="shared" si="281"/>
        <v>0.13882189919189367</v>
      </c>
      <c r="CJ79" s="13">
        <f t="shared" si="281"/>
        <v>0</v>
      </c>
      <c r="CK79" s="13">
        <f t="shared" si="281"/>
        <v>4.049484862176668E-2</v>
      </c>
      <c r="CL79" s="13">
        <f t="shared" si="281"/>
        <v>2.9117978331543625E-2</v>
      </c>
      <c r="CM79" s="13">
        <f t="shared" si="281"/>
        <v>1.707072655679806E-2</v>
      </c>
      <c r="CN79" s="13">
        <f t="shared" si="281"/>
        <v>0</v>
      </c>
      <c r="CO79" s="13">
        <f t="shared" si="281"/>
        <v>6.9790811687960405E-2</v>
      </c>
      <c r="CP79" s="13">
        <f t="shared" si="157"/>
        <v>7.1456685345765117E-2</v>
      </c>
      <c r="CQ79" s="13">
        <f t="shared" si="157"/>
        <v>1.1992788905000093E-2</v>
      </c>
      <c r="CR79" s="13">
        <f t="shared" si="157"/>
        <v>7.2069653624619767E-4</v>
      </c>
      <c r="CS79" s="13">
        <f t="shared" si="157"/>
        <v>0</v>
      </c>
      <c r="CT79" s="13">
        <f t="shared" si="157"/>
        <v>0.12558197135477589</v>
      </c>
      <c r="CU79" s="12">
        <f t="shared" si="326"/>
        <v>1</v>
      </c>
      <c r="CV79" s="26"/>
      <c r="CW79" s="23">
        <f t="shared" si="327"/>
        <v>0.78814907274023238</v>
      </c>
      <c r="CX79" s="13">
        <f t="shared" si="328"/>
        <v>1.0994359773932063E-2</v>
      </c>
      <c r="CY79" s="13">
        <f t="shared" si="329"/>
        <v>0.27334527814754278</v>
      </c>
      <c r="CZ79" s="13">
        <f t="shared" si="330"/>
        <v>0</v>
      </c>
      <c r="DA79" s="13">
        <f t="shared" si="331"/>
        <v>0.17270194986072424</v>
      </c>
      <c r="DB79" s="13">
        <f t="shared" si="332"/>
        <v>8.6001509118469335E-2</v>
      </c>
      <c r="DC79" s="24">
        <f t="shared" si="333"/>
        <v>3.3612870346907693E-2</v>
      </c>
      <c r="DD79" s="13">
        <f t="shared" si="334"/>
        <v>0</v>
      </c>
      <c r="DE79" s="13">
        <f t="shared" si="335"/>
        <v>0.2061309016521036</v>
      </c>
      <c r="DF79" s="13">
        <f t="shared" si="336"/>
        <v>0.21105114875650877</v>
      </c>
      <c r="DG79" s="13">
        <f t="shared" si="337"/>
        <v>7.0842689188481592E-2</v>
      </c>
      <c r="DH79" s="13">
        <f t="shared" si="338"/>
        <v>4.2572316682083916E-3</v>
      </c>
      <c r="DI79" s="13">
        <f t="shared" si="339"/>
        <v>0</v>
      </c>
      <c r="DJ79" s="13">
        <f t="shared" si="382"/>
        <v>0.74182616194086315</v>
      </c>
      <c r="DK79" s="12">
        <f t="shared" si="383"/>
        <v>2.4792987937285971</v>
      </c>
      <c r="DL79" s="26"/>
      <c r="DM79" s="23">
        <f t="shared" si="154"/>
        <v>0.31789192764254987</v>
      </c>
      <c r="DN79" s="13">
        <f t="shared" si="154"/>
        <v>4.4344634062430752E-3</v>
      </c>
      <c r="DO79" s="13">
        <f t="shared" si="154"/>
        <v>0.11025104309289849</v>
      </c>
      <c r="DP79" s="13">
        <f t="shared" si="154"/>
        <v>0</v>
      </c>
      <c r="DQ79" s="13">
        <f t="shared" si="154"/>
        <v>6.9657578303016554E-2</v>
      </c>
      <c r="DR79" s="13">
        <f t="shared" si="295"/>
        <v>3.4687835663862188E-2</v>
      </c>
      <c r="DS79" s="13">
        <f t="shared" si="295"/>
        <v>1.3557410035422787E-2</v>
      </c>
      <c r="DT79" s="13">
        <f t="shared" si="295"/>
        <v>0</v>
      </c>
      <c r="DU79" s="13">
        <f t="shared" si="295"/>
        <v>8.3140806656104987E-2</v>
      </c>
      <c r="DV79" s="13">
        <f t="shared" si="295"/>
        <v>8.5125338378078536E-2</v>
      </c>
      <c r="DW79" s="13">
        <f t="shared" si="295"/>
        <v>2.8573679528937235E-2</v>
      </c>
      <c r="DX79" s="13">
        <f t="shared" si="295"/>
        <v>1.7171111763443307E-3</v>
      </c>
      <c r="DY79" s="13">
        <f t="shared" si="295"/>
        <v>0</v>
      </c>
      <c r="DZ79" s="13">
        <f t="shared" si="295"/>
        <v>0.29920805181582688</v>
      </c>
      <c r="EA79" s="12">
        <f t="shared" si="340"/>
        <v>1</v>
      </c>
      <c r="EB79" s="26"/>
      <c r="EC79" s="30">
        <f t="shared" si="341"/>
        <v>1323</v>
      </c>
      <c r="ED79" s="14">
        <f t="shared" si="342"/>
        <v>100000</v>
      </c>
      <c r="EE79" s="29"/>
      <c r="EF79" s="128">
        <f t="shared" si="394"/>
        <v>-8.7342365835222964</v>
      </c>
      <c r="EG79" s="13">
        <f t="shared" si="384"/>
        <v>1.5</v>
      </c>
      <c r="EH79" s="13">
        <f t="shared" si="385"/>
        <v>0.74926606198035017</v>
      </c>
      <c r="EI79" s="12">
        <f t="shared" si="343"/>
        <v>5.3414996220710531</v>
      </c>
      <c r="EJ79" s="29"/>
      <c r="EK79" s="28">
        <f t="shared" si="386"/>
        <v>-1.6329206036107602</v>
      </c>
      <c r="EL79" s="24">
        <f t="shared" si="344"/>
        <v>-0.70904064420788548</v>
      </c>
      <c r="EM79" s="24">
        <f t="shared" si="387"/>
        <v>0.19535817632466679</v>
      </c>
      <c r="EN79" s="24">
        <f t="shared" si="345"/>
        <v>4.5718661870497133E-2</v>
      </c>
      <c r="EO79" s="24">
        <f t="shared" si="346"/>
        <v>8.9315144070244001E-3</v>
      </c>
      <c r="EP79" s="24">
        <f t="shared" si="347"/>
        <v>0.28094611234347944</v>
      </c>
      <c r="EQ79" s="24">
        <f t="shared" si="348"/>
        <v>-1.6326029848839962</v>
      </c>
      <c r="ER79" s="24">
        <f t="shared" si="349"/>
        <v>-20.10929575626913</v>
      </c>
      <c r="ES79" s="25">
        <f t="shared" si="350"/>
        <v>-8.7317827860482549</v>
      </c>
      <c r="ET79" s="26">
        <v>7</v>
      </c>
      <c r="EU79" s="26">
        <v>0.29083888041780526</v>
      </c>
      <c r="EV79" s="26">
        <v>0.4550857505334055</v>
      </c>
      <c r="EW79" s="26">
        <v>0.28094611234347944</v>
      </c>
      <c r="EX79" s="26">
        <v>0.45235518515846296</v>
      </c>
      <c r="EY79" s="26">
        <f t="shared" si="388"/>
        <v>0.99399988821504071</v>
      </c>
      <c r="EZ79" s="26">
        <f t="shared" si="389"/>
        <v>1.0352123330406904</v>
      </c>
      <c r="FA79" s="23">
        <f t="shared" si="395"/>
        <v>-1.3433713866507127</v>
      </c>
      <c r="FB79" s="190">
        <f t="shared" si="351"/>
        <v>4.3387503645342496E-2</v>
      </c>
      <c r="FC79" s="124">
        <v>6.2646889236044334E-2</v>
      </c>
      <c r="FD79" s="26"/>
      <c r="FE79" s="27">
        <f t="shared" si="352"/>
        <v>0.88818423022188309</v>
      </c>
      <c r="FF79" s="26"/>
      <c r="FG79" s="23">
        <f t="shared" si="282"/>
        <v>-5.0860602610035004</v>
      </c>
      <c r="FH79" s="13">
        <f t="shared" si="353"/>
        <v>13.192972122259718</v>
      </c>
      <c r="FI79" s="13">
        <f t="shared" si="283"/>
        <v>-21.845149910644157</v>
      </c>
      <c r="FJ79" s="13">
        <f t="shared" si="284"/>
        <v>-9.846361789599456E-2</v>
      </c>
      <c r="FK79" s="12">
        <f t="shared" si="354"/>
        <v>0.47540396403543861</v>
      </c>
      <c r="FL79" s="13"/>
      <c r="FM79" s="23">
        <f t="shared" si="285"/>
        <v>-6.0857724871626626</v>
      </c>
      <c r="FN79" s="13">
        <f t="shared" si="286"/>
        <v>11.199695545807746</v>
      </c>
      <c r="FO79" s="13">
        <f t="shared" si="287"/>
        <v>11.72325283246056</v>
      </c>
      <c r="FP79" s="24">
        <f t="shared" si="288"/>
        <v>0.39618540478496989</v>
      </c>
      <c r="FQ79" s="25">
        <f t="shared" si="289"/>
        <v>0.68657391067781526</v>
      </c>
      <c r="FR79" s="13"/>
      <c r="FS79" s="23">
        <f t="shared" si="355"/>
        <v>11.253128485302256</v>
      </c>
      <c r="FT79" s="13">
        <f t="shared" si="356"/>
        <v>-6.132325274480519</v>
      </c>
      <c r="FU79" s="13">
        <f t="shared" si="290"/>
        <v>-8.3019407261819111E-2</v>
      </c>
      <c r="FV79" s="13">
        <f t="shared" si="357"/>
        <v>0.45235518515846296</v>
      </c>
      <c r="FW79" s="23">
        <f t="shared" si="291"/>
        <v>-8.310194694436035E-2</v>
      </c>
      <c r="FX79" s="13">
        <f t="shared" si="292"/>
        <v>0.45230810335371874</v>
      </c>
      <c r="FY79" s="13">
        <f t="shared" si="293"/>
        <v>-8.3069596226295062E-2</v>
      </c>
      <c r="FZ79" s="13">
        <f t="shared" si="390"/>
        <v>0.45232655656014664</v>
      </c>
      <c r="GA79" s="13">
        <f t="shared" si="294"/>
        <v>-8.3110261381243333E-2</v>
      </c>
      <c r="GB79" s="12">
        <f t="shared" si="391"/>
        <v>0.4523033607283854</v>
      </c>
      <c r="GC79" s="22"/>
      <c r="GD79" s="11">
        <f t="shared" si="358"/>
        <v>1.5</v>
      </c>
      <c r="GE79" s="10">
        <f t="shared" si="359"/>
        <v>0.74926606198035017</v>
      </c>
      <c r="GF79" s="10">
        <f t="shared" si="360"/>
        <v>5.3414996220710531</v>
      </c>
      <c r="GG79" s="5">
        <f t="shared" si="361"/>
        <v>-8.7342365835222964</v>
      </c>
      <c r="GH79" s="10">
        <f t="shared" si="362"/>
        <v>0.28094611234347944</v>
      </c>
      <c r="GI79" s="9">
        <f t="shared" si="276"/>
        <v>11.253128485302256</v>
      </c>
      <c r="GJ79" s="8">
        <f t="shared" si="277"/>
        <v>-6.132325274480519</v>
      </c>
      <c r="GK79" s="8">
        <f t="shared" si="392"/>
        <v>0.45235518515846296</v>
      </c>
      <c r="GL79" s="7">
        <f t="shared" si="393"/>
        <v>0.45230810335371874</v>
      </c>
      <c r="GM79" s="6">
        <f t="shared" si="278"/>
        <v>0.39618540478496989</v>
      </c>
      <c r="GN79" s="5">
        <f t="shared" si="279"/>
        <v>0.68657391067781526</v>
      </c>
      <c r="GO79" s="4">
        <f t="shared" si="280"/>
        <v>0.47540396403543861</v>
      </c>
      <c r="GP79" s="4">
        <f t="shared" si="363"/>
        <v>0.88818423022188309</v>
      </c>
      <c r="GQ79" s="4">
        <f t="shared" si="364"/>
        <v>4.3387503645342496E-2</v>
      </c>
      <c r="GR79" s="1"/>
    </row>
    <row r="80" spans="1:200" x14ac:dyDescent="0.4">
      <c r="A80" s="32"/>
      <c r="B80" s="33"/>
      <c r="C80" s="33"/>
      <c r="D80" s="32"/>
      <c r="E80" s="32"/>
      <c r="F80" s="20" t="s">
        <v>84</v>
      </c>
      <c r="G80" s="19">
        <v>1050</v>
      </c>
      <c r="H80" s="18">
        <v>1E-4</v>
      </c>
      <c r="I80" s="17">
        <v>1.5</v>
      </c>
      <c r="J80" s="16">
        <v>49.6</v>
      </c>
      <c r="K80" s="16">
        <v>0.92</v>
      </c>
      <c r="L80" s="16">
        <v>14.6</v>
      </c>
      <c r="M80" s="16">
        <v>0</v>
      </c>
      <c r="N80" s="16">
        <v>9</v>
      </c>
      <c r="O80" s="16">
        <v>0</v>
      </c>
      <c r="P80" s="16">
        <v>8.6999999999999993</v>
      </c>
      <c r="Q80" s="16">
        <v>12.4</v>
      </c>
      <c r="R80" s="16">
        <v>2.2999999999999998</v>
      </c>
      <c r="S80" s="16">
        <v>0.21</v>
      </c>
      <c r="T80" s="16">
        <v>0</v>
      </c>
      <c r="U80" s="15">
        <v>7.1</v>
      </c>
      <c r="V80" s="16"/>
      <c r="W80" s="28">
        <f t="shared" si="365"/>
        <v>47.314699990460745</v>
      </c>
      <c r="X80" s="24">
        <f t="shared" si="156"/>
        <v>0.8776113707908042</v>
      </c>
      <c r="Y80" s="24">
        <f t="shared" si="156"/>
        <v>13.927310884288849</v>
      </c>
      <c r="Z80" s="24">
        <f t="shared" si="156"/>
        <v>0</v>
      </c>
      <c r="AA80" s="24">
        <f t="shared" si="156"/>
        <v>8.5853286273013438</v>
      </c>
      <c r="AB80" s="24">
        <f t="shared" si="156"/>
        <v>0</v>
      </c>
      <c r="AC80" s="24">
        <f t="shared" si="396"/>
        <v>8.2991510063912983</v>
      </c>
      <c r="AD80" s="24">
        <f t="shared" si="396"/>
        <v>11.828674997615186</v>
      </c>
      <c r="AE80" s="24">
        <f t="shared" si="396"/>
        <v>2.1940284269770105</v>
      </c>
      <c r="AF80" s="24">
        <f t="shared" si="396"/>
        <v>0.20032433463703139</v>
      </c>
      <c r="AG80" s="24">
        <f t="shared" si="396"/>
        <v>0</v>
      </c>
      <c r="AH80" s="24">
        <f t="shared" si="396"/>
        <v>6.7728703615377279</v>
      </c>
      <c r="AI80" s="14">
        <f t="shared" si="366"/>
        <v>100</v>
      </c>
      <c r="AJ80" s="26"/>
      <c r="AK80" s="50">
        <f t="shared" si="367"/>
        <v>0.78739723731836819</v>
      </c>
      <c r="AL80" s="47">
        <f t="shared" si="368"/>
        <v>1.0983871974853619E-2</v>
      </c>
      <c r="AM80" s="47">
        <f t="shared" si="369"/>
        <v>0.13659583056383728</v>
      </c>
      <c r="AN80" s="49">
        <f t="shared" si="370"/>
        <v>0</v>
      </c>
      <c r="AO80" s="49">
        <f t="shared" si="371"/>
        <v>0.11948961207099992</v>
      </c>
      <c r="AP80" s="47">
        <f t="shared" si="372"/>
        <v>0</v>
      </c>
      <c r="AQ80" s="47">
        <f t="shared" si="373"/>
        <v>0.20583211821406991</v>
      </c>
      <c r="AR80" s="47">
        <f t="shared" si="374"/>
        <v>0.21092501778914385</v>
      </c>
      <c r="AS80" s="47">
        <f t="shared" si="375"/>
        <v>3.5398974297789779E-2</v>
      </c>
      <c r="AT80" s="47">
        <f t="shared" si="376"/>
        <v>2.1265852933867449E-3</v>
      </c>
      <c r="AU80" s="47">
        <f t="shared" si="377"/>
        <v>0</v>
      </c>
      <c r="AV80" s="47">
        <f t="shared" si="378"/>
        <v>0.37585296123960754</v>
      </c>
      <c r="AW80" s="47">
        <f t="shared" si="379"/>
        <v>1.8846022087620566</v>
      </c>
      <c r="AX80" s="47">
        <f t="shared" si="380"/>
        <v>8.5932846690628742E-2</v>
      </c>
      <c r="AY80" s="46">
        <f t="shared" si="381"/>
        <v>1.6783712665137927E-2</v>
      </c>
      <c r="AZ80" s="26"/>
      <c r="BA80" s="23">
        <f t="shared" si="296"/>
        <v>0.41780553671089443</v>
      </c>
      <c r="BB80" s="13">
        <f t="shared" si="297"/>
        <v>5.8282177128873378E-3</v>
      </c>
      <c r="BC80" s="13">
        <f t="shared" si="298"/>
        <v>7.2479927025854082E-2</v>
      </c>
      <c r="BD80" s="13">
        <f t="shared" si="299"/>
        <v>0</v>
      </c>
      <c r="BE80" s="13">
        <f t="shared" si="300"/>
        <v>6.3403094571076277E-2</v>
      </c>
      <c r="BF80" s="13">
        <f t="shared" si="301"/>
        <v>4.5597339476257784E-2</v>
      </c>
      <c r="BG80" s="13">
        <f t="shared" si="302"/>
        <v>8.9057057171564522E-3</v>
      </c>
      <c r="BH80" s="13">
        <f t="shared" si="303"/>
        <v>0</v>
      </c>
      <c r="BI80" s="13">
        <f t="shared" si="304"/>
        <v>0.10921780588874262</v>
      </c>
      <c r="BJ80" s="13">
        <f t="shared" si="305"/>
        <v>0.11192017965833474</v>
      </c>
      <c r="BK80" s="13">
        <f t="shared" si="306"/>
        <v>1.8783260538064631E-2</v>
      </c>
      <c r="BL80" s="13">
        <f t="shared" si="307"/>
        <v>1.12840008543959E-3</v>
      </c>
      <c r="BM80" s="13">
        <f t="shared" si="308"/>
        <v>0</v>
      </c>
      <c r="BN80" s="13">
        <f t="shared" si="309"/>
        <v>0.19943357780870638</v>
      </c>
      <c r="BO80" s="12">
        <f t="shared" si="310"/>
        <v>0.80056642219129381</v>
      </c>
      <c r="BP80" s="13"/>
      <c r="BQ80" s="23">
        <f t="shared" si="311"/>
        <v>1.5747944746367364</v>
      </c>
      <c r="BR80" s="13">
        <f t="shared" si="312"/>
        <v>2.1967743949707238E-2</v>
      </c>
      <c r="BS80" s="13">
        <f t="shared" si="313"/>
        <v>0.40962679071437791</v>
      </c>
      <c r="BT80" s="13">
        <f t="shared" si="314"/>
        <v>0</v>
      </c>
      <c r="BU80" s="13">
        <f t="shared" si="315"/>
        <v>0.11948961207099992</v>
      </c>
      <c r="BV80" s="13">
        <f t="shared" si="316"/>
        <v>8.5932846690628742E-2</v>
      </c>
      <c r="BW80" s="24">
        <f t="shared" si="317"/>
        <v>5.0351137995413776E-2</v>
      </c>
      <c r="BX80" s="13">
        <f t="shared" si="318"/>
        <v>0</v>
      </c>
      <c r="BY80" s="13">
        <f t="shared" si="319"/>
        <v>0.20593426814866747</v>
      </c>
      <c r="BZ80" s="13">
        <f t="shared" si="320"/>
        <v>0.21084982170437053</v>
      </c>
      <c r="CA80" s="13">
        <f t="shared" si="321"/>
        <v>3.538755527382275E-2</v>
      </c>
      <c r="CB80" s="13">
        <f t="shared" si="322"/>
        <v>2.1265852933867449E-3</v>
      </c>
      <c r="CC80" s="13">
        <f t="shared" si="323"/>
        <v>0</v>
      </c>
      <c r="CD80" s="13">
        <f t="shared" si="324"/>
        <v>0.37585296123960754</v>
      </c>
      <c r="CE80" s="12">
        <f t="shared" si="325"/>
        <v>2.9560298130316758</v>
      </c>
      <c r="CF80" s="13"/>
      <c r="CG80" s="23">
        <f t="shared" si="281"/>
        <v>0.53273971314302893</v>
      </c>
      <c r="CH80" s="13">
        <f t="shared" si="281"/>
        <v>7.4315028396744519E-3</v>
      </c>
      <c r="CI80" s="13">
        <f t="shared" si="281"/>
        <v>0.13857329479849481</v>
      </c>
      <c r="CJ80" s="13">
        <f t="shared" si="281"/>
        <v>0</v>
      </c>
      <c r="CK80" s="13">
        <f t="shared" si="281"/>
        <v>4.0422329823680811E-2</v>
      </c>
      <c r="CL80" s="13">
        <f t="shared" si="281"/>
        <v>2.9070358597803464E-2</v>
      </c>
      <c r="CM80" s="13">
        <f t="shared" si="281"/>
        <v>1.7033366095781738E-2</v>
      </c>
      <c r="CN80" s="13">
        <f t="shared" si="281"/>
        <v>0</v>
      </c>
      <c r="CO80" s="13">
        <f t="shared" si="281"/>
        <v>6.966582922838091E-2</v>
      </c>
      <c r="CP80" s="13">
        <f t="shared" si="157"/>
        <v>7.1328719614003139E-2</v>
      </c>
      <c r="CQ80" s="13">
        <f t="shared" si="157"/>
        <v>1.1971312034072354E-2</v>
      </c>
      <c r="CR80" s="13">
        <f t="shared" si="157"/>
        <v>7.1940590179831083E-4</v>
      </c>
      <c r="CS80" s="13">
        <f t="shared" si="157"/>
        <v>0</v>
      </c>
      <c r="CT80" s="13">
        <f t="shared" si="157"/>
        <v>0.12714789261686651</v>
      </c>
      <c r="CU80" s="12">
        <f t="shared" si="326"/>
        <v>1</v>
      </c>
      <c r="CV80" s="26"/>
      <c r="CW80" s="23">
        <f t="shared" si="327"/>
        <v>0.78739723731836819</v>
      </c>
      <c r="CX80" s="13">
        <f t="shared" si="328"/>
        <v>1.0983871974853619E-2</v>
      </c>
      <c r="CY80" s="13">
        <f t="shared" si="329"/>
        <v>0.27308452714291859</v>
      </c>
      <c r="CZ80" s="13">
        <f t="shared" si="330"/>
        <v>0</v>
      </c>
      <c r="DA80" s="13">
        <f t="shared" si="331"/>
        <v>0.17270194986072424</v>
      </c>
      <c r="DB80" s="13">
        <f t="shared" si="332"/>
        <v>8.5932846690628742E-2</v>
      </c>
      <c r="DC80" s="24">
        <f t="shared" si="333"/>
        <v>3.3567425330275853E-2</v>
      </c>
      <c r="DD80" s="13">
        <f t="shared" si="334"/>
        <v>0</v>
      </c>
      <c r="DE80" s="13">
        <f t="shared" si="335"/>
        <v>0.20593426814866747</v>
      </c>
      <c r="DF80" s="13">
        <f t="shared" si="336"/>
        <v>0.21084982170437053</v>
      </c>
      <c r="DG80" s="13">
        <f t="shared" si="337"/>
        <v>7.0775110547645501E-2</v>
      </c>
      <c r="DH80" s="13">
        <f t="shared" si="338"/>
        <v>4.2531705867734897E-3</v>
      </c>
      <c r="DI80" s="13">
        <f t="shared" si="339"/>
        <v>0</v>
      </c>
      <c r="DJ80" s="13">
        <f t="shared" si="382"/>
        <v>0.75170592247921508</v>
      </c>
      <c r="DK80" s="12">
        <f t="shared" si="383"/>
        <v>2.4876858797635366</v>
      </c>
      <c r="DL80" s="26"/>
      <c r="DM80" s="23">
        <f t="shared" si="154"/>
        <v>0.31651795096944196</v>
      </c>
      <c r="DN80" s="13">
        <f t="shared" si="154"/>
        <v>4.4152969891430487E-3</v>
      </c>
      <c r="DO80" s="13">
        <f t="shared" si="154"/>
        <v>0.10977452151992607</v>
      </c>
      <c r="DP80" s="13">
        <f t="shared" si="154"/>
        <v>0</v>
      </c>
      <c r="DQ80" s="13">
        <f t="shared" si="154"/>
        <v>6.9422731891351244E-2</v>
      </c>
      <c r="DR80" s="13">
        <f t="shared" si="295"/>
        <v>3.4543286750816374E-2</v>
      </c>
      <c r="DS80" s="13">
        <f t="shared" si="295"/>
        <v>1.3493434039777786E-2</v>
      </c>
      <c r="DT80" s="13">
        <f t="shared" si="295"/>
        <v>0</v>
      </c>
      <c r="DU80" s="13">
        <f t="shared" si="295"/>
        <v>8.2781459598203877E-2</v>
      </c>
      <c r="DV80" s="13">
        <f t="shared" si="295"/>
        <v>8.4757413875908058E-2</v>
      </c>
      <c r="DW80" s="13">
        <f t="shared" si="295"/>
        <v>2.8450179792945934E-2</v>
      </c>
      <c r="DX80" s="13">
        <f t="shared" si="295"/>
        <v>1.7096895638519156E-3</v>
      </c>
      <c r="DY80" s="13">
        <f t="shared" si="295"/>
        <v>0</v>
      </c>
      <c r="DZ80" s="13">
        <f t="shared" si="295"/>
        <v>0.30217075579922792</v>
      </c>
      <c r="EA80" s="12">
        <f t="shared" si="340"/>
        <v>1</v>
      </c>
      <c r="EB80" s="26"/>
      <c r="EC80" s="30">
        <f t="shared" si="341"/>
        <v>1323</v>
      </c>
      <c r="ED80" s="14">
        <f t="shared" si="342"/>
        <v>100000</v>
      </c>
      <c r="EE80" s="29"/>
      <c r="EF80" s="128">
        <f t="shared" si="394"/>
        <v>-8.7342365835222964</v>
      </c>
      <c r="EG80" s="13">
        <f t="shared" si="384"/>
        <v>1.5</v>
      </c>
      <c r="EH80" s="13">
        <f t="shared" si="385"/>
        <v>0.74926606198035017</v>
      </c>
      <c r="EI80" s="12">
        <f t="shared" si="343"/>
        <v>5.3414996220710531</v>
      </c>
      <c r="EJ80" s="29"/>
      <c r="EK80" s="28">
        <f t="shared" si="386"/>
        <v>-1.6334748255842158</v>
      </c>
      <c r="EL80" s="24">
        <f t="shared" si="344"/>
        <v>-0.70928129638915149</v>
      </c>
      <c r="EM80" s="24">
        <f t="shared" si="387"/>
        <v>0.19524993452841508</v>
      </c>
      <c r="EN80" s="24">
        <f t="shared" si="345"/>
        <v>4.5597339476257777E-2</v>
      </c>
      <c r="EO80" s="24">
        <f t="shared" si="346"/>
        <v>8.9028775474092464E-3</v>
      </c>
      <c r="EP80" s="24">
        <f t="shared" si="347"/>
        <v>0.28083416456680754</v>
      </c>
      <c r="EQ80" s="24">
        <f t="shared" si="348"/>
        <v>-1.6331572068574518</v>
      </c>
      <c r="ER80" s="24">
        <f t="shared" si="349"/>
        <v>-20.10929575626913</v>
      </c>
      <c r="ES80" s="25">
        <f t="shared" si="350"/>
        <v>-8.7317827860482549</v>
      </c>
      <c r="ET80" s="26">
        <v>7.1</v>
      </c>
      <c r="EU80" s="26">
        <v>0.29083888041780526</v>
      </c>
      <c r="EV80" s="26">
        <v>0.45737291340564945</v>
      </c>
      <c r="EW80" s="26">
        <v>0.28083416456680754</v>
      </c>
      <c r="EX80" s="26">
        <v>0.45461724719991259</v>
      </c>
      <c r="EY80" s="26">
        <f t="shared" si="388"/>
        <v>0.99397501223844265</v>
      </c>
      <c r="EZ80" s="26">
        <f t="shared" si="389"/>
        <v>1.0356249955073316</v>
      </c>
      <c r="FA80" s="23">
        <f t="shared" si="395"/>
        <v>-1.3452969510092849</v>
      </c>
      <c r="FB80" s="190">
        <f t="shared" si="351"/>
        <v>4.320385176365793E-2</v>
      </c>
      <c r="FC80" s="124">
        <v>6.2646889236044334E-2</v>
      </c>
      <c r="FD80" s="26"/>
      <c r="FE80" s="27">
        <f t="shared" si="352"/>
        <v>0.88818423022188309</v>
      </c>
      <c r="FF80" s="26"/>
      <c r="FG80" s="23">
        <f t="shared" si="282"/>
        <v>-5.1015541213928497</v>
      </c>
      <c r="FH80" s="13">
        <f t="shared" si="353"/>
        <v>13.170285783828241</v>
      </c>
      <c r="FI80" s="13">
        <f t="shared" si="283"/>
        <v>-21.845149910644157</v>
      </c>
      <c r="FJ80" s="13">
        <f t="shared" si="284"/>
        <v>-0.10565609593811587</v>
      </c>
      <c r="FK80" s="12">
        <f t="shared" si="354"/>
        <v>0.47361052072545573</v>
      </c>
      <c r="FL80" s="13"/>
      <c r="FM80" s="23">
        <f t="shared" si="285"/>
        <v>-6.0864033698024818</v>
      </c>
      <c r="FN80" s="13">
        <f t="shared" si="286"/>
        <v>11.196036216643542</v>
      </c>
      <c r="FO80" s="13">
        <f t="shared" si="287"/>
        <v>11.719664952474858</v>
      </c>
      <c r="FP80" s="24">
        <f t="shared" si="288"/>
        <v>0.39451845838632293</v>
      </c>
      <c r="FQ80" s="25">
        <f t="shared" si="289"/>
        <v>0.68510687919755986</v>
      </c>
      <c r="FR80" s="13"/>
      <c r="FS80" s="23">
        <f t="shared" si="355"/>
        <v>11.258624648715369</v>
      </c>
      <c r="FT80" s="13">
        <f t="shared" si="356"/>
        <v>-6.1307930265471127</v>
      </c>
      <c r="FU80" s="13">
        <f t="shared" si="290"/>
        <v>-7.9055491782110465E-2</v>
      </c>
      <c r="FV80" s="13">
        <f t="shared" si="357"/>
        <v>0.45461724719991259</v>
      </c>
      <c r="FW80" s="23">
        <f t="shared" si="291"/>
        <v>-7.9138031464651704E-2</v>
      </c>
      <c r="FX80" s="13">
        <f t="shared" si="292"/>
        <v>0.45457012538128905</v>
      </c>
      <c r="FY80" s="13">
        <f t="shared" si="293"/>
        <v>-7.9105680746586415E-2</v>
      </c>
      <c r="FZ80" s="13">
        <f t="shared" si="390"/>
        <v>0.4545885942755542</v>
      </c>
      <c r="GA80" s="13">
        <f t="shared" si="294"/>
        <v>-7.9146345901534687E-2</v>
      </c>
      <c r="GB80" s="12">
        <f t="shared" si="391"/>
        <v>0.4545653787230477</v>
      </c>
      <c r="GC80" s="22"/>
      <c r="GD80" s="11">
        <f t="shared" si="358"/>
        <v>1.5</v>
      </c>
      <c r="GE80" s="10">
        <f t="shared" si="359"/>
        <v>0.74926606198035017</v>
      </c>
      <c r="GF80" s="10">
        <f t="shared" si="360"/>
        <v>5.3414996220710531</v>
      </c>
      <c r="GG80" s="5">
        <f t="shared" si="361"/>
        <v>-8.7342365835222964</v>
      </c>
      <c r="GH80" s="10">
        <f t="shared" si="362"/>
        <v>0.28083416456680754</v>
      </c>
      <c r="GI80" s="9">
        <f t="shared" si="276"/>
        <v>11.258624648715369</v>
      </c>
      <c r="GJ80" s="8">
        <f t="shared" si="277"/>
        <v>-6.1307930265471127</v>
      </c>
      <c r="GK80" s="8">
        <f t="shared" si="392"/>
        <v>0.45461724719991259</v>
      </c>
      <c r="GL80" s="7">
        <f t="shared" si="393"/>
        <v>0.45457012538128905</v>
      </c>
      <c r="GM80" s="6">
        <f t="shared" si="278"/>
        <v>0.39451845838632293</v>
      </c>
      <c r="GN80" s="5">
        <f t="shared" si="279"/>
        <v>0.68510687919755986</v>
      </c>
      <c r="GO80" s="4">
        <f t="shared" si="280"/>
        <v>0.47361052072545573</v>
      </c>
      <c r="GP80" s="4">
        <f t="shared" si="363"/>
        <v>0.88818423022188309</v>
      </c>
      <c r="GQ80" s="4">
        <f t="shared" si="364"/>
        <v>4.320385176365793E-2</v>
      </c>
      <c r="GR80" s="1"/>
    </row>
    <row r="81" spans="1:200" x14ac:dyDescent="0.4">
      <c r="A81" s="32"/>
      <c r="B81" s="33"/>
      <c r="C81" s="33"/>
      <c r="D81" s="32"/>
      <c r="E81" s="32"/>
      <c r="F81" s="20" t="s">
        <v>84</v>
      </c>
      <c r="G81" s="19">
        <v>1050</v>
      </c>
      <c r="H81" s="18">
        <v>1E-4</v>
      </c>
      <c r="I81" s="17">
        <v>1.5</v>
      </c>
      <c r="J81" s="16">
        <v>49.6</v>
      </c>
      <c r="K81" s="16">
        <v>0.92</v>
      </c>
      <c r="L81" s="16">
        <v>14.6</v>
      </c>
      <c r="M81" s="16">
        <v>0</v>
      </c>
      <c r="N81" s="16">
        <v>9</v>
      </c>
      <c r="O81" s="16">
        <v>0</v>
      </c>
      <c r="P81" s="16">
        <v>8.6999999999999993</v>
      </c>
      <c r="Q81" s="16">
        <v>12.4</v>
      </c>
      <c r="R81" s="16">
        <v>2.2999999999999998</v>
      </c>
      <c r="S81" s="16">
        <v>0.21</v>
      </c>
      <c r="T81" s="16">
        <v>0</v>
      </c>
      <c r="U81" s="15">
        <v>7.2</v>
      </c>
      <c r="V81" s="16"/>
      <c r="W81" s="28">
        <f t="shared" si="365"/>
        <v>47.269608310302104</v>
      </c>
      <c r="X81" s="24">
        <f t="shared" si="156"/>
        <v>0.8767749928523777</v>
      </c>
      <c r="Y81" s="24">
        <f t="shared" si="156"/>
        <v>13.914037930048604</v>
      </c>
      <c r="Z81" s="24">
        <f t="shared" si="156"/>
        <v>0</v>
      </c>
      <c r="AA81" s="24">
        <f t="shared" si="156"/>
        <v>8.5771466692080427</v>
      </c>
      <c r="AB81" s="24">
        <f t="shared" si="156"/>
        <v>0</v>
      </c>
      <c r="AC81" s="24">
        <f t="shared" si="396"/>
        <v>8.29124178023444</v>
      </c>
      <c r="AD81" s="24">
        <f t="shared" si="396"/>
        <v>11.817402077575526</v>
      </c>
      <c r="AE81" s="24">
        <f t="shared" si="396"/>
        <v>2.1919374821309443</v>
      </c>
      <c r="AF81" s="24">
        <f t="shared" si="396"/>
        <v>0.20013342228152098</v>
      </c>
      <c r="AG81" s="24">
        <f t="shared" si="396"/>
        <v>0</v>
      </c>
      <c r="AH81" s="24">
        <f t="shared" si="396"/>
        <v>6.8617173353664356</v>
      </c>
      <c r="AI81" s="14">
        <f t="shared" si="366"/>
        <v>100</v>
      </c>
      <c r="AJ81" s="26"/>
      <c r="AK81" s="50">
        <f t="shared" si="367"/>
        <v>0.78664683491932275</v>
      </c>
      <c r="AL81" s="47">
        <f t="shared" si="368"/>
        <v>1.0973404165862047E-2</v>
      </c>
      <c r="AM81" s="47">
        <f t="shared" si="369"/>
        <v>0.13646565251126525</v>
      </c>
      <c r="AN81" s="49">
        <f t="shared" si="370"/>
        <v>0</v>
      </c>
      <c r="AO81" s="49">
        <f t="shared" si="371"/>
        <v>0.1193757365234244</v>
      </c>
      <c r="AP81" s="47">
        <f t="shared" si="372"/>
        <v>0</v>
      </c>
      <c r="AQ81" s="47">
        <f t="shared" si="373"/>
        <v>0.20563595685105257</v>
      </c>
      <c r="AR81" s="47">
        <f t="shared" si="374"/>
        <v>0.21072400280983464</v>
      </c>
      <c r="AS81" s="47">
        <f t="shared" si="375"/>
        <v>3.5365238498401813E-2</v>
      </c>
      <c r="AT81" s="47">
        <f t="shared" si="376"/>
        <v>2.1245586229460827E-3</v>
      </c>
      <c r="AU81" s="47">
        <f t="shared" si="377"/>
        <v>0</v>
      </c>
      <c r="AV81" s="47">
        <f t="shared" si="378"/>
        <v>0.38078342593598424</v>
      </c>
      <c r="AW81" s="47">
        <f t="shared" si="379"/>
        <v>1.8880948108380942</v>
      </c>
      <c r="AX81" s="47">
        <f t="shared" si="380"/>
        <v>8.5864237050949685E-2</v>
      </c>
      <c r="AY81" s="46">
        <f t="shared" si="381"/>
        <v>1.676107252139793E-2</v>
      </c>
      <c r="AZ81" s="26"/>
      <c r="BA81" s="23">
        <f t="shared" si="296"/>
        <v>0.41663524013931441</v>
      </c>
      <c r="BB81" s="13">
        <f t="shared" si="297"/>
        <v>5.8118925505606014E-3</v>
      </c>
      <c r="BC81" s="13">
        <f t="shared" si="298"/>
        <v>7.2276906714599992E-2</v>
      </c>
      <c r="BD81" s="13">
        <f t="shared" si="299"/>
        <v>0</v>
      </c>
      <c r="BE81" s="13">
        <f t="shared" si="300"/>
        <v>6.3225498972922595E-2</v>
      </c>
      <c r="BF81" s="13">
        <f t="shared" si="301"/>
        <v>4.547665538725567E-2</v>
      </c>
      <c r="BG81" s="13">
        <f t="shared" si="302"/>
        <v>8.8772409230646453E-3</v>
      </c>
      <c r="BH81" s="13">
        <f t="shared" si="303"/>
        <v>0</v>
      </c>
      <c r="BI81" s="13">
        <f t="shared" si="304"/>
        <v>0.1089118807332425</v>
      </c>
      <c r="BJ81" s="13">
        <f t="shared" si="305"/>
        <v>0.11160668500343886</v>
      </c>
      <c r="BK81" s="13">
        <f t="shared" si="306"/>
        <v>1.8730647579452732E-2</v>
      </c>
      <c r="BL81" s="13">
        <f t="shared" si="307"/>
        <v>1.1252393739713876E-3</v>
      </c>
      <c r="BM81" s="13">
        <f t="shared" si="308"/>
        <v>0</v>
      </c>
      <c r="BN81" s="13">
        <f t="shared" si="309"/>
        <v>0.20167600893249676</v>
      </c>
      <c r="BO81" s="12">
        <f t="shared" si="310"/>
        <v>0.79832399106750307</v>
      </c>
      <c r="BP81" s="13"/>
      <c r="BQ81" s="23">
        <f t="shared" si="311"/>
        <v>1.5732936698386455</v>
      </c>
      <c r="BR81" s="13">
        <f t="shared" si="312"/>
        <v>2.1946808331724094E-2</v>
      </c>
      <c r="BS81" s="13">
        <f t="shared" si="313"/>
        <v>0.4092364097073119</v>
      </c>
      <c r="BT81" s="13">
        <f t="shared" si="314"/>
        <v>0</v>
      </c>
      <c r="BU81" s="13">
        <f t="shared" si="315"/>
        <v>0.1193757365234244</v>
      </c>
      <c r="BV81" s="13">
        <f t="shared" si="316"/>
        <v>8.5864237050949685E-2</v>
      </c>
      <c r="BW81" s="24">
        <f t="shared" si="317"/>
        <v>5.0283217564193787E-2</v>
      </c>
      <c r="BX81" s="13">
        <f t="shared" si="318"/>
        <v>0</v>
      </c>
      <c r="BY81" s="13">
        <f t="shared" si="319"/>
        <v>0.20573800943509779</v>
      </c>
      <c r="BZ81" s="13">
        <f t="shared" si="320"/>
        <v>0.21064887838815555</v>
      </c>
      <c r="CA81" s="13">
        <f t="shared" si="321"/>
        <v>3.5353830356950715E-2</v>
      </c>
      <c r="CB81" s="13">
        <f t="shared" si="322"/>
        <v>2.1245586229460827E-3</v>
      </c>
      <c r="CC81" s="13">
        <f t="shared" si="323"/>
        <v>0</v>
      </c>
      <c r="CD81" s="13">
        <f t="shared" si="324"/>
        <v>0.38078342593598424</v>
      </c>
      <c r="CE81" s="12">
        <f t="shared" si="325"/>
        <v>2.9585013271402398</v>
      </c>
      <c r="CF81" s="13"/>
      <c r="CG81" s="23">
        <f t="shared" si="281"/>
        <v>0.53178738011905169</v>
      </c>
      <c r="CH81" s="13">
        <f t="shared" si="281"/>
        <v>7.4182181803982552E-3</v>
      </c>
      <c r="CI81" s="13">
        <f t="shared" si="281"/>
        <v>0.13832557922253491</v>
      </c>
      <c r="CJ81" s="13">
        <f t="shared" si="281"/>
        <v>0</v>
      </c>
      <c r="CK81" s="13">
        <f t="shared" si="281"/>
        <v>4.0350070296847194E-2</v>
      </c>
      <c r="CL81" s="13">
        <f t="shared" si="281"/>
        <v>2.9022882722161282E-2</v>
      </c>
      <c r="CM81" s="13">
        <f t="shared" si="281"/>
        <v>1.6996178809491624E-2</v>
      </c>
      <c r="CN81" s="13">
        <f t="shared" si="281"/>
        <v>0</v>
      </c>
      <c r="CO81" s="13">
        <f t="shared" si="281"/>
        <v>6.9541293609615917E-2</v>
      </c>
      <c r="CP81" s="13">
        <f t="shared" si="157"/>
        <v>7.1201211388934524E-2</v>
      </c>
      <c r="CQ81" s="13">
        <f t="shared" si="157"/>
        <v>1.1949911947859288E-2</v>
      </c>
      <c r="CR81" s="13">
        <f t="shared" si="157"/>
        <v>7.1811988166310312E-4</v>
      </c>
      <c r="CS81" s="13">
        <f t="shared" si="157"/>
        <v>0</v>
      </c>
      <c r="CT81" s="13">
        <f t="shared" si="157"/>
        <v>0.12870821535309529</v>
      </c>
      <c r="CU81" s="12">
        <f t="shared" si="326"/>
        <v>1.0000000000000002</v>
      </c>
      <c r="CV81" s="26"/>
      <c r="CW81" s="23">
        <f t="shared" si="327"/>
        <v>0.78664683491932275</v>
      </c>
      <c r="CX81" s="13">
        <f t="shared" si="328"/>
        <v>1.0973404165862047E-2</v>
      </c>
      <c r="CY81" s="13">
        <f t="shared" si="329"/>
        <v>0.2728242731382079</v>
      </c>
      <c r="CZ81" s="13">
        <f t="shared" si="330"/>
        <v>0</v>
      </c>
      <c r="DA81" s="13">
        <f t="shared" si="331"/>
        <v>0.17270194986072424</v>
      </c>
      <c r="DB81" s="13">
        <f t="shared" si="332"/>
        <v>8.5864237050949685E-2</v>
      </c>
      <c r="DC81" s="24">
        <f t="shared" si="333"/>
        <v>3.352214504279586E-2</v>
      </c>
      <c r="DD81" s="13">
        <f t="shared" si="334"/>
        <v>0</v>
      </c>
      <c r="DE81" s="13">
        <f t="shared" si="335"/>
        <v>0.20573800943509779</v>
      </c>
      <c r="DF81" s="13">
        <f t="shared" si="336"/>
        <v>0.21064887838815555</v>
      </c>
      <c r="DG81" s="13">
        <f t="shared" si="337"/>
        <v>7.070766071390143E-2</v>
      </c>
      <c r="DH81" s="13">
        <f t="shared" si="338"/>
        <v>4.2491172458921653E-3</v>
      </c>
      <c r="DI81" s="13">
        <f t="shared" si="339"/>
        <v>0</v>
      </c>
      <c r="DJ81" s="13">
        <f t="shared" si="382"/>
        <v>0.76156685187196849</v>
      </c>
      <c r="DK81" s="12">
        <f t="shared" si="383"/>
        <v>2.4960569797391328</v>
      </c>
      <c r="DL81" s="26"/>
      <c r="DM81" s="23">
        <f t="shared" si="154"/>
        <v>0.31515580025001533</v>
      </c>
      <c r="DN81" s="13">
        <f t="shared" si="154"/>
        <v>4.3962955392985049E-3</v>
      </c>
      <c r="DO81" s="13">
        <f t="shared" si="154"/>
        <v>0.10930210141545776</v>
      </c>
      <c r="DP81" s="13">
        <f t="shared" si="154"/>
        <v>0</v>
      </c>
      <c r="DQ81" s="13">
        <f t="shared" si="154"/>
        <v>6.9189906826074787E-2</v>
      </c>
      <c r="DR81" s="13">
        <f t="shared" si="295"/>
        <v>3.4399950701415279E-2</v>
      </c>
      <c r="DS81" s="13">
        <f t="shared" si="295"/>
        <v>1.3430039985024428E-2</v>
      </c>
      <c r="DT81" s="13">
        <f t="shared" si="295"/>
        <v>0</v>
      </c>
      <c r="DU81" s="13">
        <f t="shared" si="295"/>
        <v>8.2425205476118507E-2</v>
      </c>
      <c r="DV81" s="13">
        <f t="shared" si="295"/>
        <v>8.4392656136468014E-2</v>
      </c>
      <c r="DW81" s="13">
        <f t="shared" si="295"/>
        <v>2.8327743031447628E-2</v>
      </c>
      <c r="DX81" s="13">
        <f t="shared" si="295"/>
        <v>1.7023318299152963E-3</v>
      </c>
      <c r="DY81" s="13">
        <f t="shared" si="295"/>
        <v>0</v>
      </c>
      <c r="DZ81" s="13">
        <f t="shared" si="295"/>
        <v>0.30510795949520397</v>
      </c>
      <c r="EA81" s="12">
        <f t="shared" si="340"/>
        <v>1</v>
      </c>
      <c r="EB81" s="26"/>
      <c r="EC81" s="30">
        <f t="shared" si="341"/>
        <v>1323</v>
      </c>
      <c r="ED81" s="14">
        <f t="shared" si="342"/>
        <v>100000</v>
      </c>
      <c r="EE81" s="29"/>
      <c r="EF81" s="128">
        <f t="shared" si="394"/>
        <v>-8.7342365835222964</v>
      </c>
      <c r="EG81" s="13">
        <f t="shared" si="384"/>
        <v>1.5</v>
      </c>
      <c r="EH81" s="13">
        <f t="shared" si="385"/>
        <v>0.74926606198035017</v>
      </c>
      <c r="EI81" s="12">
        <f t="shared" si="343"/>
        <v>5.3414996220710531</v>
      </c>
      <c r="EJ81" s="29"/>
      <c r="EK81" s="28">
        <f t="shared" si="386"/>
        <v>-1.6340259427444586</v>
      </c>
      <c r="EL81" s="24">
        <f t="shared" si="344"/>
        <v>-0.70952060041009923</v>
      </c>
      <c r="EM81" s="24">
        <f t="shared" si="387"/>
        <v>0.19514235858515719</v>
      </c>
      <c r="EN81" s="24">
        <f t="shared" si="345"/>
        <v>4.5476655387255663E-2</v>
      </c>
      <c r="EO81" s="24">
        <f t="shared" si="346"/>
        <v>8.8744217928334642E-3</v>
      </c>
      <c r="EP81" s="24">
        <f t="shared" si="347"/>
        <v>0.28072287089846731</v>
      </c>
      <c r="EQ81" s="24">
        <f t="shared" si="348"/>
        <v>-1.6337083240176951</v>
      </c>
      <c r="ER81" s="24">
        <f t="shared" si="349"/>
        <v>-20.109295756269134</v>
      </c>
      <c r="ES81" s="25">
        <f t="shared" si="350"/>
        <v>-8.7317827860482566</v>
      </c>
      <c r="ET81" s="26">
        <v>7.2</v>
      </c>
      <c r="EU81" s="26">
        <v>0.29083888041780526</v>
      </c>
      <c r="EV81" s="26">
        <v>0.45965289306589363</v>
      </c>
      <c r="EW81" s="26">
        <v>0.28072287089846731</v>
      </c>
      <c r="EX81" s="26">
        <v>0.45687253095166802</v>
      </c>
      <c r="EY81" s="26">
        <f t="shared" si="388"/>
        <v>0.99395117020654311</v>
      </c>
      <c r="EZ81" s="26">
        <f t="shared" si="389"/>
        <v>1.0360355730438391</v>
      </c>
      <c r="FA81" s="23">
        <f t="shared" si="395"/>
        <v>-1.3472117281418896</v>
      </c>
      <c r="FB81" s="190">
        <f t="shared" si="351"/>
        <v>4.3021964905477494E-2</v>
      </c>
      <c r="FC81" s="124">
        <v>6.2646889236044334E-2</v>
      </c>
      <c r="FD81" s="26"/>
      <c r="FE81" s="27">
        <f t="shared" si="352"/>
        <v>0.88818423022188309</v>
      </c>
      <c r="FF81" s="26"/>
      <c r="FG81" s="23">
        <f t="shared" si="282"/>
        <v>-5.1169141824032005</v>
      </c>
      <c r="FH81" s="13">
        <f t="shared" si="353"/>
        <v>13.147794318811375</v>
      </c>
      <c r="FI81" s="13">
        <f t="shared" si="283"/>
        <v>-21.845149910644157</v>
      </c>
      <c r="FJ81" s="13">
        <f t="shared" si="284"/>
        <v>-0.11278749994463766</v>
      </c>
      <c r="FK81" s="12">
        <f t="shared" si="354"/>
        <v>0.47183297812277314</v>
      </c>
      <c r="FL81" s="13"/>
      <c r="FM81" s="23">
        <f t="shared" si="285"/>
        <v>-6.0870325003608787</v>
      </c>
      <c r="FN81" s="13">
        <f t="shared" si="286"/>
        <v>11.192389970416176</v>
      </c>
      <c r="FO81" s="13">
        <f t="shared" si="287"/>
        <v>11.716089899978897</v>
      </c>
      <c r="FP81" s="24">
        <f t="shared" si="288"/>
        <v>0.39286018547821133</v>
      </c>
      <c r="FQ81" s="25">
        <f t="shared" si="289"/>
        <v>0.68364166064063936</v>
      </c>
      <c r="FR81" s="13"/>
      <c r="FS81" s="23">
        <f t="shared" si="355"/>
        <v>11.264101162090043</v>
      </c>
      <c r="FT81" s="13">
        <f t="shared" si="356"/>
        <v>-6.1292652841390352</v>
      </c>
      <c r="FU81" s="13">
        <f t="shared" si="290"/>
        <v>-7.5106720815515615E-2</v>
      </c>
      <c r="FV81" s="13">
        <f t="shared" si="357"/>
        <v>0.45687253095166802</v>
      </c>
      <c r="FW81" s="23">
        <f t="shared" si="291"/>
        <v>-7.5189260498056854E-2</v>
      </c>
      <c r="FX81" s="13">
        <f t="shared" si="292"/>
        <v>0.45682537117527422</v>
      </c>
      <c r="FY81" s="13">
        <f t="shared" si="293"/>
        <v>-7.5156909779991565E-2</v>
      </c>
      <c r="FZ81" s="13">
        <f t="shared" si="390"/>
        <v>0.45684385495149993</v>
      </c>
      <c r="GA81" s="13">
        <f t="shared" si="294"/>
        <v>-7.5197574934939837E-2</v>
      </c>
      <c r="GB81" s="12">
        <f t="shared" si="391"/>
        <v>0.45682062069124285</v>
      </c>
      <c r="GC81" s="22"/>
      <c r="GD81" s="11">
        <f t="shared" si="358"/>
        <v>1.5</v>
      </c>
      <c r="GE81" s="10">
        <f t="shared" si="359"/>
        <v>0.74926606198035017</v>
      </c>
      <c r="GF81" s="10">
        <f t="shared" si="360"/>
        <v>5.3414996220710531</v>
      </c>
      <c r="GG81" s="5">
        <f t="shared" si="361"/>
        <v>-8.7342365835222964</v>
      </c>
      <c r="GH81" s="10">
        <f t="shared" si="362"/>
        <v>0.28072287089846731</v>
      </c>
      <c r="GI81" s="9">
        <f t="shared" si="276"/>
        <v>11.264101162090043</v>
      </c>
      <c r="GJ81" s="8">
        <f t="shared" si="277"/>
        <v>-6.1292652841390352</v>
      </c>
      <c r="GK81" s="8">
        <f t="shared" si="392"/>
        <v>0.45687253095166802</v>
      </c>
      <c r="GL81" s="7">
        <f t="shared" si="393"/>
        <v>0.45682537117527422</v>
      </c>
      <c r="GM81" s="6">
        <f t="shared" si="278"/>
        <v>0.39286018547821133</v>
      </c>
      <c r="GN81" s="5">
        <f t="shared" si="279"/>
        <v>0.68364166064063936</v>
      </c>
      <c r="GO81" s="4">
        <f t="shared" si="280"/>
        <v>0.47183297812277314</v>
      </c>
      <c r="GP81" s="4">
        <f t="shared" si="363"/>
        <v>0.88818423022188309</v>
      </c>
      <c r="GQ81" s="4">
        <f t="shared" si="364"/>
        <v>4.3021964905477494E-2</v>
      </c>
      <c r="GR81" s="1"/>
    </row>
    <row r="82" spans="1:200" x14ac:dyDescent="0.4">
      <c r="A82" s="32"/>
      <c r="B82" s="33"/>
      <c r="C82" s="33"/>
      <c r="D82" s="32"/>
      <c r="E82" s="32"/>
      <c r="F82" s="20" t="s">
        <v>84</v>
      </c>
      <c r="G82" s="19">
        <v>1050</v>
      </c>
      <c r="H82" s="18">
        <v>1E-4</v>
      </c>
      <c r="I82" s="17">
        <v>1.5</v>
      </c>
      <c r="J82" s="16">
        <v>49.6</v>
      </c>
      <c r="K82" s="16">
        <v>0.92</v>
      </c>
      <c r="L82" s="16">
        <v>14.6</v>
      </c>
      <c r="M82" s="16">
        <v>0</v>
      </c>
      <c r="N82" s="16">
        <v>9</v>
      </c>
      <c r="O82" s="16">
        <v>0</v>
      </c>
      <c r="P82" s="16">
        <v>8.6999999999999993</v>
      </c>
      <c r="Q82" s="16">
        <v>12.4</v>
      </c>
      <c r="R82" s="16">
        <v>2.2999999999999998</v>
      </c>
      <c r="S82" s="16">
        <v>0.21</v>
      </c>
      <c r="T82" s="16">
        <v>0</v>
      </c>
      <c r="U82" s="15">
        <v>7.3</v>
      </c>
      <c r="V82" s="16"/>
      <c r="W82" s="28">
        <f t="shared" si="365"/>
        <v>47.224602494525378</v>
      </c>
      <c r="X82" s="24">
        <f t="shared" si="156"/>
        <v>0.87594020755974478</v>
      </c>
      <c r="Y82" s="24">
        <f t="shared" si="156"/>
        <v>13.900790250404645</v>
      </c>
      <c r="Z82" s="24">
        <f t="shared" si="156"/>
        <v>0</v>
      </c>
      <c r="AA82" s="24">
        <f t="shared" si="156"/>
        <v>8.5689802913453299</v>
      </c>
      <c r="AB82" s="24">
        <f t="shared" si="156"/>
        <v>0</v>
      </c>
      <c r="AC82" s="24">
        <f t="shared" si="396"/>
        <v>8.2833476149671519</v>
      </c>
      <c r="AD82" s="24">
        <f t="shared" si="396"/>
        <v>11.806150623631344</v>
      </c>
      <c r="AE82" s="24">
        <f t="shared" si="396"/>
        <v>2.189850518899362</v>
      </c>
      <c r="AF82" s="24">
        <f t="shared" si="396"/>
        <v>0.19994287346472434</v>
      </c>
      <c r="AG82" s="24">
        <f t="shared" si="396"/>
        <v>0</v>
      </c>
      <c r="AH82" s="24">
        <f t="shared" si="396"/>
        <v>6.9503951252023226</v>
      </c>
      <c r="AI82" s="14">
        <f t="shared" si="366"/>
        <v>100</v>
      </c>
      <c r="AJ82" s="26"/>
      <c r="AK82" s="50">
        <f t="shared" si="367"/>
        <v>0.78589786144991469</v>
      </c>
      <c r="AL82" s="47">
        <f t="shared" si="368"/>
        <v>1.0962956289859133E-2</v>
      </c>
      <c r="AM82" s="47">
        <f t="shared" si="369"/>
        <v>0.13633572234606361</v>
      </c>
      <c r="AN82" s="49">
        <f t="shared" si="370"/>
        <v>0</v>
      </c>
      <c r="AO82" s="49">
        <f t="shared" si="371"/>
        <v>0.11926207781969841</v>
      </c>
      <c r="AP82" s="47">
        <f t="shared" si="372"/>
        <v>0</v>
      </c>
      <c r="AQ82" s="47">
        <f t="shared" si="373"/>
        <v>0.20544016902200277</v>
      </c>
      <c r="AR82" s="47">
        <f t="shared" si="374"/>
        <v>0.21052337060683568</v>
      </c>
      <c r="AS82" s="47">
        <f t="shared" si="375"/>
        <v>3.5331566939324981E-2</v>
      </c>
      <c r="AT82" s="47">
        <f t="shared" si="376"/>
        <v>2.1225358117274344E-3</v>
      </c>
      <c r="AU82" s="47">
        <f t="shared" si="377"/>
        <v>0</v>
      </c>
      <c r="AV82" s="47">
        <f t="shared" si="378"/>
        <v>0.38570450195351402</v>
      </c>
      <c r="AW82" s="47">
        <f t="shared" si="379"/>
        <v>1.8915807622389407</v>
      </c>
      <c r="AX82" s="47">
        <f t="shared" si="380"/>
        <v>8.5795680728380869E-2</v>
      </c>
      <c r="AY82" s="46">
        <f t="shared" si="381"/>
        <v>1.6738514167001287E-2</v>
      </c>
      <c r="AZ82" s="26"/>
      <c r="BA82" s="23">
        <f t="shared" si="296"/>
        <v>0.41547148138665713</v>
      </c>
      <c r="BB82" s="13">
        <f t="shared" si="297"/>
        <v>5.795658588155124E-3</v>
      </c>
      <c r="BC82" s="13">
        <f t="shared" si="298"/>
        <v>7.2075020568876963E-2</v>
      </c>
      <c r="BD82" s="13">
        <f t="shared" si="299"/>
        <v>0</v>
      </c>
      <c r="BE82" s="13">
        <f t="shared" si="300"/>
        <v>6.3048895506071692E-2</v>
      </c>
      <c r="BF82" s="13">
        <f t="shared" si="301"/>
        <v>4.535660461403198E-2</v>
      </c>
      <c r="BG82" s="13">
        <f t="shared" si="302"/>
        <v>8.8489555937273333E-3</v>
      </c>
      <c r="BH82" s="13">
        <f t="shared" si="303"/>
        <v>0</v>
      </c>
      <c r="BI82" s="13">
        <f t="shared" si="304"/>
        <v>0.10860766461741589</v>
      </c>
      <c r="BJ82" s="13">
        <f t="shared" si="305"/>
        <v>0.11129494167494752</v>
      </c>
      <c r="BK82" s="13">
        <f t="shared" si="306"/>
        <v>1.8678328541206622E-2</v>
      </c>
      <c r="BL82" s="13">
        <f t="shared" si="307"/>
        <v>1.1220963197020081E-3</v>
      </c>
      <c r="BM82" s="13">
        <f t="shared" si="308"/>
        <v>0</v>
      </c>
      <c r="BN82" s="13">
        <f t="shared" si="309"/>
        <v>0.20390591279696713</v>
      </c>
      <c r="BO82" s="12">
        <f t="shared" si="310"/>
        <v>0.7960940872030331</v>
      </c>
      <c r="BP82" s="13"/>
      <c r="BQ82" s="23">
        <f t="shared" si="311"/>
        <v>1.5717957228998294</v>
      </c>
      <c r="BR82" s="13">
        <f t="shared" si="312"/>
        <v>2.1925912579718265E-2</v>
      </c>
      <c r="BS82" s="13">
        <f t="shared" si="313"/>
        <v>0.40884677207072484</v>
      </c>
      <c r="BT82" s="13">
        <f t="shared" si="314"/>
        <v>0</v>
      </c>
      <c r="BU82" s="13">
        <f t="shared" si="315"/>
        <v>0.11926207781969841</v>
      </c>
      <c r="BV82" s="13">
        <f t="shared" si="316"/>
        <v>8.5795680728380869E-2</v>
      </c>
      <c r="BW82" s="24">
        <f t="shared" si="317"/>
        <v>5.0215542501003858E-2</v>
      </c>
      <c r="BX82" s="13">
        <f t="shared" si="318"/>
        <v>0</v>
      </c>
      <c r="BY82" s="13">
        <f t="shared" si="319"/>
        <v>0.20554212444087228</v>
      </c>
      <c r="BZ82" s="13">
        <f t="shared" si="320"/>
        <v>0.21044831771178868</v>
      </c>
      <c r="CA82" s="13">
        <f t="shared" si="321"/>
        <v>3.5320169659667132E-2</v>
      </c>
      <c r="CB82" s="13">
        <f t="shared" si="322"/>
        <v>2.1225358117274344E-3</v>
      </c>
      <c r="CC82" s="13">
        <f t="shared" si="323"/>
        <v>0</v>
      </c>
      <c r="CD82" s="13">
        <f t="shared" si="324"/>
        <v>0.38570450195351402</v>
      </c>
      <c r="CE82" s="12">
        <f t="shared" si="325"/>
        <v>2.9609681349475401</v>
      </c>
      <c r="CF82" s="13"/>
      <c r="CG82" s="23">
        <f t="shared" si="281"/>
        <v>0.53083844582733986</v>
      </c>
      <c r="CH82" s="13">
        <f t="shared" si="281"/>
        <v>7.4049809320581323E-3</v>
      </c>
      <c r="CI82" s="13">
        <f t="shared" si="281"/>
        <v>0.13807874770593181</v>
      </c>
      <c r="CJ82" s="13">
        <f t="shared" si="281"/>
        <v>0</v>
      </c>
      <c r="CK82" s="13">
        <f t="shared" si="281"/>
        <v>4.0278068653316124E-2</v>
      </c>
      <c r="CL82" s="13">
        <f t="shared" si="281"/>
        <v>2.8975550164068525E-2</v>
      </c>
      <c r="CM82" s="13">
        <f t="shared" si="281"/>
        <v>1.6959163426422195E-2</v>
      </c>
      <c r="CN82" s="13">
        <f t="shared" si="281"/>
        <v>0</v>
      </c>
      <c r="CO82" s="13">
        <f t="shared" si="281"/>
        <v>6.9417202439604739E-2</v>
      </c>
      <c r="CP82" s="13">
        <f t="shared" si="157"/>
        <v>7.1074158221401201E-2</v>
      </c>
      <c r="CQ82" s="13">
        <f t="shared" si="157"/>
        <v>1.1928588235311389E-2</v>
      </c>
      <c r="CR82" s="13">
        <f t="shared" si="157"/>
        <v>7.1683845113890078E-4</v>
      </c>
      <c r="CS82" s="13">
        <f t="shared" si="157"/>
        <v>0</v>
      </c>
      <c r="CT82" s="13">
        <f t="shared" si="157"/>
        <v>0.13026296953389793</v>
      </c>
      <c r="CU82" s="12">
        <f t="shared" si="326"/>
        <v>1</v>
      </c>
      <c r="CV82" s="26"/>
      <c r="CW82" s="23">
        <f t="shared" si="327"/>
        <v>0.78589786144991469</v>
      </c>
      <c r="CX82" s="13">
        <f t="shared" si="328"/>
        <v>1.0962956289859133E-2</v>
      </c>
      <c r="CY82" s="13">
        <f t="shared" si="329"/>
        <v>0.2725645147138166</v>
      </c>
      <c r="CZ82" s="13">
        <f t="shared" si="330"/>
        <v>0</v>
      </c>
      <c r="DA82" s="13">
        <f t="shared" si="331"/>
        <v>0.17270194986072424</v>
      </c>
      <c r="DB82" s="13">
        <f t="shared" si="332"/>
        <v>8.5795680728380869E-2</v>
      </c>
      <c r="DC82" s="24">
        <f t="shared" si="333"/>
        <v>3.3477028334002575E-2</v>
      </c>
      <c r="DD82" s="13">
        <f t="shared" si="334"/>
        <v>0</v>
      </c>
      <c r="DE82" s="13">
        <f t="shared" si="335"/>
        <v>0.20554212444087228</v>
      </c>
      <c r="DF82" s="13">
        <f t="shared" si="336"/>
        <v>0.21044831771178868</v>
      </c>
      <c r="DG82" s="13">
        <f t="shared" si="337"/>
        <v>7.0640339319334264E-2</v>
      </c>
      <c r="DH82" s="13">
        <f t="shared" si="338"/>
        <v>4.2450716234548689E-3</v>
      </c>
      <c r="DI82" s="13">
        <f t="shared" si="339"/>
        <v>0</v>
      </c>
      <c r="DJ82" s="13">
        <f t="shared" si="382"/>
        <v>0.77140900390702805</v>
      </c>
      <c r="DK82" s="12">
        <f t="shared" si="383"/>
        <v>2.5044121393167922</v>
      </c>
      <c r="DL82" s="26"/>
      <c r="DM82" s="23">
        <f t="shared" si="154"/>
        <v>0.31380532345778717</v>
      </c>
      <c r="DN82" s="13">
        <f t="shared" si="154"/>
        <v>4.3774569360016937E-3</v>
      </c>
      <c r="DO82" s="13">
        <f t="shared" si="154"/>
        <v>0.10883373005378126</v>
      </c>
      <c r="DP82" s="13">
        <f t="shared" si="154"/>
        <v>0</v>
      </c>
      <c r="DQ82" s="13">
        <f t="shared" si="154"/>
        <v>6.8959077122121612E-2</v>
      </c>
      <c r="DR82" s="13">
        <f t="shared" si="295"/>
        <v>3.4257812195314652E-2</v>
      </c>
      <c r="DS82" s="13">
        <f t="shared" si="295"/>
        <v>1.3367220118624391E-2</v>
      </c>
      <c r="DT82" s="13">
        <f t="shared" si="295"/>
        <v>0</v>
      </c>
      <c r="DU82" s="13">
        <f t="shared" si="295"/>
        <v>8.2072004529152504E-2</v>
      </c>
      <c r="DV82" s="13">
        <f t="shared" si="295"/>
        <v>8.4031024449993011E-2</v>
      </c>
      <c r="DW82" s="13">
        <f t="shared" si="295"/>
        <v>2.8206355579559309E-2</v>
      </c>
      <c r="DX82" s="13">
        <f t="shared" si="295"/>
        <v>1.6950371533548513E-3</v>
      </c>
      <c r="DY82" s="13">
        <f t="shared" si="295"/>
        <v>0</v>
      </c>
      <c r="DZ82" s="13">
        <f t="shared" si="295"/>
        <v>0.30801999071824882</v>
      </c>
      <c r="EA82" s="12">
        <f t="shared" si="340"/>
        <v>1</v>
      </c>
      <c r="EB82" s="26"/>
      <c r="EC82" s="30">
        <f t="shared" si="341"/>
        <v>1323</v>
      </c>
      <c r="ED82" s="14">
        <f t="shared" si="342"/>
        <v>100000</v>
      </c>
      <c r="EE82" s="29"/>
      <c r="EF82" s="128">
        <f t="shared" si="394"/>
        <v>-8.7342365835222964</v>
      </c>
      <c r="EG82" s="13">
        <f t="shared" si="384"/>
        <v>1.5</v>
      </c>
      <c r="EH82" s="13">
        <f t="shared" si="385"/>
        <v>0.74926606198035017</v>
      </c>
      <c r="EI82" s="12">
        <f t="shared" si="343"/>
        <v>5.3414996220710531</v>
      </c>
      <c r="EJ82" s="29"/>
      <c r="EK82" s="28">
        <f t="shared" si="386"/>
        <v>-1.6345739811088762</v>
      </c>
      <c r="EL82" s="24">
        <f t="shared" si="344"/>
        <v>-0.70975856756790112</v>
      </c>
      <c r="EM82" s="24">
        <f t="shared" si="387"/>
        <v>0.19503544238589507</v>
      </c>
      <c r="EN82" s="24">
        <f t="shared" si="345"/>
        <v>4.535660461403198E-2</v>
      </c>
      <c r="EO82" s="24">
        <f t="shared" si="346"/>
        <v>8.8461454460198562E-3</v>
      </c>
      <c r="EP82" s="24">
        <f t="shared" si="347"/>
        <v>0.28061222563900301</v>
      </c>
      <c r="EQ82" s="24">
        <f t="shared" si="348"/>
        <v>-1.6342563623821122</v>
      </c>
      <c r="ER82" s="24">
        <f t="shared" si="349"/>
        <v>-20.10929575626913</v>
      </c>
      <c r="ES82" s="25">
        <f t="shared" si="350"/>
        <v>-8.7317827860482549</v>
      </c>
      <c r="ET82" s="26">
        <v>7.3</v>
      </c>
      <c r="EU82" s="26">
        <v>0.2908388804178052</v>
      </c>
      <c r="EV82" s="26">
        <v>0.46192562720706298</v>
      </c>
      <c r="EW82" s="26">
        <v>0.28061222563900301</v>
      </c>
      <c r="EX82" s="26">
        <v>0.45912097261680385</v>
      </c>
      <c r="EY82" s="26">
        <f t="shared" si="388"/>
        <v>0.9939283416527096</v>
      </c>
      <c r="EZ82" s="26">
        <f t="shared" si="389"/>
        <v>1.0364440813493223</v>
      </c>
      <c r="FA82" s="23">
        <f t="shared" si="395"/>
        <v>-1.349115808442189</v>
      </c>
      <c r="FB82" s="190">
        <f t="shared" si="351"/>
        <v>4.2841819490370692E-2</v>
      </c>
      <c r="FC82" s="124">
        <v>6.2646889236044334E-2</v>
      </c>
      <c r="FD82" s="26"/>
      <c r="FE82" s="27">
        <f t="shared" si="352"/>
        <v>0.88818423022188309</v>
      </c>
      <c r="FF82" s="26"/>
      <c r="FG82" s="23">
        <f t="shared" si="282"/>
        <v>-5.1321421612688471</v>
      </c>
      <c r="FH82" s="13">
        <f t="shared" si="353"/>
        <v>13.125495225432914</v>
      </c>
      <c r="FI82" s="13">
        <f t="shared" si="283"/>
        <v>-21.845149910644157</v>
      </c>
      <c r="FJ82" s="13">
        <f t="shared" si="284"/>
        <v>-0.11985861445745627</v>
      </c>
      <c r="FK82" s="12">
        <f t="shared" si="354"/>
        <v>0.4700711678279953</v>
      </c>
      <c r="FL82" s="13"/>
      <c r="FM82" s="23">
        <f t="shared" si="285"/>
        <v>-6.0876598838381746</v>
      </c>
      <c r="FN82" s="13">
        <f t="shared" si="286"/>
        <v>11.188756737089115</v>
      </c>
      <c r="FO82" s="13">
        <f t="shared" si="287"/>
        <v>11.712527606303581</v>
      </c>
      <c r="FP82" s="24">
        <f t="shared" si="288"/>
        <v>0.3912105573887964</v>
      </c>
      <c r="FQ82" s="25">
        <f t="shared" si="289"/>
        <v>0.68217828451558105</v>
      </c>
      <c r="FR82" s="13"/>
      <c r="FS82" s="23">
        <f t="shared" si="355"/>
        <v>11.269558130618265</v>
      </c>
      <c r="FT82" s="13">
        <f t="shared" si="356"/>
        <v>-6.1277420262158682</v>
      </c>
      <c r="FU82" s="13">
        <f t="shared" si="290"/>
        <v>-7.1173010210458187E-2</v>
      </c>
      <c r="FV82" s="13">
        <f t="shared" si="357"/>
        <v>0.45912097261680385</v>
      </c>
      <c r="FW82" s="23">
        <f t="shared" si="291"/>
        <v>-7.1255549892999426E-2</v>
      </c>
      <c r="FX82" s="13">
        <f t="shared" si="292"/>
        <v>0.45907377692231111</v>
      </c>
      <c r="FY82" s="13">
        <f t="shared" si="293"/>
        <v>-7.1223199174934138E-2</v>
      </c>
      <c r="FZ82" s="13">
        <f t="shared" si="390"/>
        <v>0.45909227478106285</v>
      </c>
      <c r="GA82" s="13">
        <f t="shared" si="294"/>
        <v>-7.1263864329882409E-2</v>
      </c>
      <c r="GB82" s="12">
        <f t="shared" si="391"/>
        <v>0.45906902281795281</v>
      </c>
      <c r="GC82" s="22"/>
      <c r="GD82" s="11">
        <f t="shared" si="358"/>
        <v>1.5</v>
      </c>
      <c r="GE82" s="10">
        <f t="shared" si="359"/>
        <v>0.74926606198035017</v>
      </c>
      <c r="GF82" s="10">
        <f t="shared" si="360"/>
        <v>5.3414996220710531</v>
      </c>
      <c r="GG82" s="5">
        <f t="shared" si="361"/>
        <v>-8.7342365835222964</v>
      </c>
      <c r="GH82" s="10">
        <f t="shared" si="362"/>
        <v>0.28061222563900301</v>
      </c>
      <c r="GI82" s="9">
        <f t="shared" si="276"/>
        <v>11.269558130618265</v>
      </c>
      <c r="GJ82" s="8">
        <f t="shared" si="277"/>
        <v>-6.1277420262158682</v>
      </c>
      <c r="GK82" s="8">
        <f t="shared" si="392"/>
        <v>0.45912097261680385</v>
      </c>
      <c r="GL82" s="7">
        <f t="shared" si="393"/>
        <v>0.45907377692231111</v>
      </c>
      <c r="GM82" s="6">
        <f t="shared" si="278"/>
        <v>0.3912105573887964</v>
      </c>
      <c r="GN82" s="5">
        <f t="shared" si="279"/>
        <v>0.68217828451558105</v>
      </c>
      <c r="GO82" s="4">
        <f t="shared" si="280"/>
        <v>0.4700711678279953</v>
      </c>
      <c r="GP82" s="4">
        <f t="shared" si="363"/>
        <v>0.88818423022188309</v>
      </c>
      <c r="GQ82" s="4">
        <f t="shared" si="364"/>
        <v>4.2841819490370692E-2</v>
      </c>
      <c r="GR82" s="1"/>
    </row>
    <row r="83" spans="1:200" x14ac:dyDescent="0.4">
      <c r="A83" s="32"/>
      <c r="B83" s="33"/>
      <c r="C83" s="33"/>
      <c r="D83" s="32"/>
      <c r="E83" s="32"/>
      <c r="F83" s="20" t="s">
        <v>84</v>
      </c>
      <c r="G83" s="19">
        <v>1050</v>
      </c>
      <c r="H83" s="18">
        <v>1E-4</v>
      </c>
      <c r="I83" s="17">
        <v>1.5</v>
      </c>
      <c r="J83" s="16">
        <v>49.6</v>
      </c>
      <c r="K83" s="16">
        <v>0.92</v>
      </c>
      <c r="L83" s="16">
        <v>14.6</v>
      </c>
      <c r="M83" s="16">
        <v>0</v>
      </c>
      <c r="N83" s="16">
        <v>9</v>
      </c>
      <c r="O83" s="16">
        <v>0</v>
      </c>
      <c r="P83" s="16">
        <v>8.6999999999999993</v>
      </c>
      <c r="Q83" s="16">
        <v>12.4</v>
      </c>
      <c r="R83" s="16">
        <v>2.2999999999999998</v>
      </c>
      <c r="S83" s="16">
        <v>0.21</v>
      </c>
      <c r="T83" s="16">
        <v>0</v>
      </c>
      <c r="U83" s="15">
        <v>7.4</v>
      </c>
      <c r="V83" s="16"/>
      <c r="W83" s="28">
        <f t="shared" si="365"/>
        <v>47.179682298107103</v>
      </c>
      <c r="X83" s="24">
        <f t="shared" si="156"/>
        <v>0.87510701036811567</v>
      </c>
      <c r="Y83" s="24">
        <f t="shared" si="156"/>
        <v>13.887567773233139</v>
      </c>
      <c r="Z83" s="24">
        <f t="shared" si="156"/>
        <v>0</v>
      </c>
      <c r="AA83" s="24">
        <f t="shared" si="156"/>
        <v>8.5608294492533048</v>
      </c>
      <c r="AB83" s="24">
        <f t="shared" si="156"/>
        <v>0</v>
      </c>
      <c r="AC83" s="24">
        <f t="shared" si="396"/>
        <v>8.2754684676115264</v>
      </c>
      <c r="AD83" s="24">
        <f t="shared" si="396"/>
        <v>11.794920574526776</v>
      </c>
      <c r="AE83" s="24">
        <f t="shared" si="396"/>
        <v>2.1877675259202887</v>
      </c>
      <c r="AF83" s="24">
        <f t="shared" si="396"/>
        <v>0.19975268714924377</v>
      </c>
      <c r="AG83" s="24">
        <f t="shared" si="396"/>
        <v>0</v>
      </c>
      <c r="AH83" s="24">
        <f t="shared" si="396"/>
        <v>7.0389042138304951</v>
      </c>
      <c r="AI83" s="14">
        <f t="shared" si="366"/>
        <v>100</v>
      </c>
      <c r="AJ83" s="26"/>
      <c r="AK83" s="50">
        <f t="shared" si="367"/>
        <v>0.78515031283253622</v>
      </c>
      <c r="AL83" s="47">
        <f t="shared" si="368"/>
        <v>1.09525282899639E-2</v>
      </c>
      <c r="AM83" s="47">
        <f t="shared" si="369"/>
        <v>0.13620603936085857</v>
      </c>
      <c r="AN83" s="49">
        <f t="shared" si="370"/>
        <v>0</v>
      </c>
      <c r="AO83" s="49">
        <f t="shared" si="371"/>
        <v>0.11914863534103418</v>
      </c>
      <c r="AP83" s="47">
        <f t="shared" si="372"/>
        <v>0</v>
      </c>
      <c r="AQ83" s="47">
        <f t="shared" si="373"/>
        <v>0.20524475366100015</v>
      </c>
      <c r="AR83" s="47">
        <f t="shared" si="374"/>
        <v>0.21032312008785264</v>
      </c>
      <c r="AS83" s="47">
        <f t="shared" si="375"/>
        <v>3.5297959437242475E-2</v>
      </c>
      <c r="AT83" s="47">
        <f t="shared" si="376"/>
        <v>2.1205168487180865E-3</v>
      </c>
      <c r="AU83" s="47">
        <f t="shared" si="377"/>
        <v>0</v>
      </c>
      <c r="AV83" s="47">
        <f t="shared" si="378"/>
        <v>0.39061621608382324</v>
      </c>
      <c r="AW83" s="47">
        <f t="shared" si="379"/>
        <v>1.8950600819430292</v>
      </c>
      <c r="AX83" s="47">
        <f t="shared" si="380"/>
        <v>8.5727178242014063E-2</v>
      </c>
      <c r="AY83" s="46">
        <f t="shared" si="381"/>
        <v>1.6716037032827476E-2</v>
      </c>
      <c r="AZ83" s="26"/>
      <c r="BA83" s="23">
        <f t="shared" si="296"/>
        <v>0.41431420582059414</v>
      </c>
      <c r="BB83" s="13">
        <f t="shared" si="297"/>
        <v>5.7795150635720919E-3</v>
      </c>
      <c r="BC83" s="13">
        <f t="shared" si="298"/>
        <v>7.1874259111196506E-2</v>
      </c>
      <c r="BD83" s="13">
        <f t="shared" si="299"/>
        <v>0</v>
      </c>
      <c r="BE83" s="13">
        <f t="shared" si="300"/>
        <v>6.2873275879923321E-2</v>
      </c>
      <c r="BF83" s="13">
        <f t="shared" si="301"/>
        <v>4.5237182218580058E-2</v>
      </c>
      <c r="BG83" s="13">
        <f t="shared" si="302"/>
        <v>8.8208480523152121E-3</v>
      </c>
      <c r="BH83" s="13">
        <f t="shared" si="303"/>
        <v>0</v>
      </c>
      <c r="BI83" s="13">
        <f t="shared" si="304"/>
        <v>0.10830514325992244</v>
      </c>
      <c r="BJ83" s="13">
        <f t="shared" si="305"/>
        <v>0.11098493503815757</v>
      </c>
      <c r="BK83" s="13">
        <f t="shared" si="306"/>
        <v>1.8626300967223702E-2</v>
      </c>
      <c r="BL83" s="13">
        <f t="shared" si="307"/>
        <v>1.1189707750816501E-3</v>
      </c>
      <c r="BM83" s="13">
        <f t="shared" si="308"/>
        <v>0</v>
      </c>
      <c r="BN83" s="13">
        <f t="shared" si="309"/>
        <v>0.2061233940843287</v>
      </c>
      <c r="BO83" s="12">
        <f t="shared" si="310"/>
        <v>0.79387660591567144</v>
      </c>
      <c r="BP83" s="13"/>
      <c r="BQ83" s="23">
        <f t="shared" si="311"/>
        <v>1.5703006256650724</v>
      </c>
      <c r="BR83" s="13">
        <f t="shared" si="312"/>
        <v>2.1905056579927799E-2</v>
      </c>
      <c r="BS83" s="13">
        <f t="shared" si="313"/>
        <v>0.40845787568332759</v>
      </c>
      <c r="BT83" s="13">
        <f t="shared" si="314"/>
        <v>0</v>
      </c>
      <c r="BU83" s="13">
        <f t="shared" si="315"/>
        <v>0.11914863534103418</v>
      </c>
      <c r="BV83" s="13">
        <f t="shared" si="316"/>
        <v>8.5727178242014063E-2</v>
      </c>
      <c r="BW83" s="24">
        <f t="shared" si="317"/>
        <v>5.0148111098482433E-2</v>
      </c>
      <c r="BX83" s="13">
        <f t="shared" si="318"/>
        <v>0</v>
      </c>
      <c r="BY83" s="13">
        <f t="shared" si="319"/>
        <v>0.20534661209954161</v>
      </c>
      <c r="BZ83" s="13">
        <f t="shared" si="320"/>
        <v>0.21024813858336497</v>
      </c>
      <c r="CA83" s="13">
        <f t="shared" si="321"/>
        <v>3.5286572998714336E-2</v>
      </c>
      <c r="CB83" s="13">
        <f t="shared" si="322"/>
        <v>2.1205168487180865E-3</v>
      </c>
      <c r="CC83" s="13">
        <f t="shared" si="323"/>
        <v>0</v>
      </c>
      <c r="CD83" s="13">
        <f t="shared" si="324"/>
        <v>0.39061621608382324</v>
      </c>
      <c r="CE83" s="12">
        <f t="shared" si="325"/>
        <v>2.9634302498835243</v>
      </c>
      <c r="CF83" s="13"/>
      <c r="CG83" s="23">
        <f t="shared" si="281"/>
        <v>0.52989289210596136</v>
      </c>
      <c r="CH83" s="13">
        <f t="shared" si="281"/>
        <v>7.3917908413024952E-3</v>
      </c>
      <c r="CI83" s="13">
        <f t="shared" si="281"/>
        <v>0.13783279552450467</v>
      </c>
      <c r="CJ83" s="13">
        <f t="shared" si="281"/>
        <v>0</v>
      </c>
      <c r="CK83" s="13">
        <f t="shared" si="281"/>
        <v>4.0206323515026961E-2</v>
      </c>
      <c r="CL83" s="13">
        <f t="shared" si="281"/>
        <v>2.8928360384180972E-2</v>
      </c>
      <c r="CM83" s="13">
        <f t="shared" si="281"/>
        <v>1.6922318688099194E-2</v>
      </c>
      <c r="CN83" s="13">
        <f t="shared" si="281"/>
        <v>0</v>
      </c>
      <c r="CO83" s="13">
        <f t="shared" si="281"/>
        <v>6.9293553343329956E-2</v>
      </c>
      <c r="CP83" s="13">
        <f t="shared" si="157"/>
        <v>7.0947557679695225E-2</v>
      </c>
      <c r="CQ83" s="13">
        <f t="shared" si="157"/>
        <v>1.190734048830785E-2</v>
      </c>
      <c r="CR83" s="13">
        <f t="shared" si="157"/>
        <v>7.155615857000286E-4</v>
      </c>
      <c r="CS83" s="13">
        <f t="shared" si="157"/>
        <v>0</v>
      </c>
      <c r="CT83" s="13">
        <f t="shared" si="157"/>
        <v>0.13181218491617144</v>
      </c>
      <c r="CU83" s="12">
        <f t="shared" si="326"/>
        <v>1</v>
      </c>
      <c r="CV83" s="26"/>
      <c r="CW83" s="23">
        <f t="shared" si="327"/>
        <v>0.78515031283253622</v>
      </c>
      <c r="CX83" s="13">
        <f t="shared" si="328"/>
        <v>1.09525282899639E-2</v>
      </c>
      <c r="CY83" s="13">
        <f t="shared" si="329"/>
        <v>0.27230525045555176</v>
      </c>
      <c r="CZ83" s="13">
        <f t="shared" si="330"/>
        <v>0</v>
      </c>
      <c r="DA83" s="13">
        <f t="shared" si="331"/>
        <v>0.17270194986072424</v>
      </c>
      <c r="DB83" s="13">
        <f t="shared" si="332"/>
        <v>8.5727178242014063E-2</v>
      </c>
      <c r="DC83" s="24">
        <f t="shared" si="333"/>
        <v>3.3432074065654953E-2</v>
      </c>
      <c r="DD83" s="13">
        <f t="shared" si="334"/>
        <v>0</v>
      </c>
      <c r="DE83" s="13">
        <f t="shared" si="335"/>
        <v>0.20534661209954161</v>
      </c>
      <c r="DF83" s="13">
        <f t="shared" si="336"/>
        <v>0.21024813858336497</v>
      </c>
      <c r="DG83" s="13">
        <f t="shared" si="337"/>
        <v>7.0573145997428671E-2</v>
      </c>
      <c r="DH83" s="13">
        <f t="shared" si="338"/>
        <v>4.241033697436173E-3</v>
      </c>
      <c r="DI83" s="13">
        <f t="shared" si="339"/>
        <v>0</v>
      </c>
      <c r="DJ83" s="13">
        <f t="shared" si="382"/>
        <v>0.78123243216764648</v>
      </c>
      <c r="DK83" s="12">
        <f t="shared" si="383"/>
        <v>2.5127514039841938</v>
      </c>
      <c r="DL83" s="26"/>
      <c r="DM83" s="23">
        <f t="shared" si="154"/>
        <v>0.31246637116095516</v>
      </c>
      <c r="DN83" s="13">
        <f t="shared" si="154"/>
        <v>4.3587790947396069E-3</v>
      </c>
      <c r="DO83" s="13">
        <f t="shared" si="154"/>
        <v>0.1083693556090695</v>
      </c>
      <c r="DP83" s="13">
        <f t="shared" si="154"/>
        <v>0</v>
      </c>
      <c r="DQ83" s="13">
        <f t="shared" si="154"/>
        <v>6.8730217237920846E-2</v>
      </c>
      <c r="DR83" s="13">
        <f t="shared" si="295"/>
        <v>3.4116856170525227E-2</v>
      </c>
      <c r="DS83" s="13">
        <f t="shared" si="295"/>
        <v>1.3304966823477E-2</v>
      </c>
      <c r="DT83" s="13">
        <f t="shared" si="295"/>
        <v>0</v>
      </c>
      <c r="DU83" s="13">
        <f t="shared" si="295"/>
        <v>8.1721817675216912E-2</v>
      </c>
      <c r="DV83" s="13">
        <f t="shared" si="295"/>
        <v>8.3672478801523134E-2</v>
      </c>
      <c r="DW83" s="13">
        <f t="shared" si="295"/>
        <v>2.8086004005620526E-2</v>
      </c>
      <c r="DX83" s="13">
        <f t="shared" si="295"/>
        <v>1.6878047270062735E-3</v>
      </c>
      <c r="DY83" s="13">
        <f t="shared" si="295"/>
        <v>0</v>
      </c>
      <c r="DZ83" s="13">
        <f t="shared" si="295"/>
        <v>0.31090717168794813</v>
      </c>
      <c r="EA83" s="12">
        <f t="shared" si="340"/>
        <v>1</v>
      </c>
      <c r="EB83" s="26"/>
      <c r="EC83" s="30">
        <f t="shared" si="341"/>
        <v>1323</v>
      </c>
      <c r="ED83" s="14">
        <f t="shared" si="342"/>
        <v>100000</v>
      </c>
      <c r="EE83" s="29"/>
      <c r="EF83" s="128">
        <f t="shared" si="394"/>
        <v>-8.7342365835222964</v>
      </c>
      <c r="EG83" s="13">
        <f t="shared" si="384"/>
        <v>1.5</v>
      </c>
      <c r="EH83" s="13">
        <f t="shared" si="385"/>
        <v>0.74926606198035017</v>
      </c>
      <c r="EI83" s="12">
        <f t="shared" si="343"/>
        <v>5.3414996220710531</v>
      </c>
      <c r="EJ83" s="29"/>
      <c r="EK83" s="28">
        <f t="shared" si="386"/>
        <v>-1.6351189664049757</v>
      </c>
      <c r="EL83" s="24">
        <f t="shared" si="344"/>
        <v>-0.70999520903385838</v>
      </c>
      <c r="EM83" s="24">
        <f t="shared" si="387"/>
        <v>0.19492917989595385</v>
      </c>
      <c r="EN83" s="24">
        <f t="shared" si="345"/>
        <v>4.5237182218580051E-2</v>
      </c>
      <c r="EO83" s="24">
        <f t="shared" si="346"/>
        <v>8.8180468306716352E-3</v>
      </c>
      <c r="EP83" s="24">
        <f t="shared" si="347"/>
        <v>0.28050222315479545</v>
      </c>
      <c r="EQ83" s="24">
        <f t="shared" si="348"/>
        <v>-1.6348013476782119</v>
      </c>
      <c r="ER83" s="24">
        <f t="shared" si="349"/>
        <v>-20.109295756269134</v>
      </c>
      <c r="ES83" s="25">
        <f t="shared" si="350"/>
        <v>-8.7317827860482566</v>
      </c>
      <c r="ET83" s="26">
        <v>7.4</v>
      </c>
      <c r="EU83" s="26">
        <v>0.2908388804178052</v>
      </c>
      <c r="EV83" s="26">
        <v>0.46419105527706594</v>
      </c>
      <c r="EW83" s="26">
        <v>0.28050222315479545</v>
      </c>
      <c r="EX83" s="26">
        <v>0.46136251007586104</v>
      </c>
      <c r="EY83" s="26">
        <f t="shared" si="388"/>
        <v>0.99390650645020162</v>
      </c>
      <c r="EZ83" s="26">
        <f t="shared" si="389"/>
        <v>1.03685053596636</v>
      </c>
      <c r="FA83" s="23">
        <f t="shared" si="395"/>
        <v>-1.3510092812967081</v>
      </c>
      <c r="FB83" s="190">
        <f t="shared" si="351"/>
        <v>4.2663392334526207E-2</v>
      </c>
      <c r="FC83" s="124">
        <v>6.2646889236044334E-2</v>
      </c>
      <c r="FD83" s="26"/>
      <c r="FE83" s="27">
        <f t="shared" si="352"/>
        <v>0.88818423022188309</v>
      </c>
      <c r="FF83" s="26"/>
      <c r="FG83" s="23">
        <f t="shared" si="282"/>
        <v>-5.1472397460378527</v>
      </c>
      <c r="FH83" s="13">
        <f t="shared" si="353"/>
        <v>13.103386044576286</v>
      </c>
      <c r="FI83" s="13">
        <f t="shared" si="283"/>
        <v>-21.845149910644157</v>
      </c>
      <c r="FJ83" s="13">
        <f t="shared" si="284"/>
        <v>-0.12687021054507142</v>
      </c>
      <c r="FK83" s="12">
        <f t="shared" si="354"/>
        <v>0.46832492293975603</v>
      </c>
      <c r="FL83" s="13"/>
      <c r="FM83" s="23">
        <f t="shared" si="285"/>
        <v>-6.088285525249554</v>
      </c>
      <c r="FN83" s="13">
        <f t="shared" si="286"/>
        <v>11.185136447124844</v>
      </c>
      <c r="FO83" s="13">
        <f t="shared" si="287"/>
        <v>11.708978003269152</v>
      </c>
      <c r="FP83" s="24">
        <f t="shared" si="288"/>
        <v>0.38956954505343422</v>
      </c>
      <c r="FQ83" s="25">
        <f t="shared" si="289"/>
        <v>0.68071677993201252</v>
      </c>
      <c r="FR83" s="13"/>
      <c r="FS83" s="23">
        <f t="shared" si="355"/>
        <v>11.274995658742569</v>
      </c>
      <c r="FT83" s="13">
        <f t="shared" si="356"/>
        <v>-6.1262232318895684</v>
      </c>
      <c r="FU83" s="13">
        <f t="shared" si="290"/>
        <v>-6.7254276412455738E-2</v>
      </c>
      <c r="FV83" s="13">
        <f t="shared" si="357"/>
        <v>0.46136251007586104</v>
      </c>
      <c r="FW83" s="23">
        <f t="shared" si="291"/>
        <v>-6.7336816094996976E-2</v>
      </c>
      <c r="FX83" s="13">
        <f t="shared" si="292"/>
        <v>0.46131528048631387</v>
      </c>
      <c r="FY83" s="13">
        <f t="shared" si="293"/>
        <v>-6.7304465376931688E-2</v>
      </c>
      <c r="FZ83" s="13">
        <f t="shared" si="390"/>
        <v>0.4613337916346727</v>
      </c>
      <c r="GA83" s="13">
        <f t="shared" si="294"/>
        <v>-6.734513053187996E-2</v>
      </c>
      <c r="GB83" s="12">
        <f t="shared" si="391"/>
        <v>0.46131052296541686</v>
      </c>
      <c r="GC83" s="22"/>
      <c r="GD83" s="11">
        <f t="shared" si="358"/>
        <v>1.5</v>
      </c>
      <c r="GE83" s="10">
        <f t="shared" si="359"/>
        <v>0.74926606198035017</v>
      </c>
      <c r="GF83" s="10">
        <f t="shared" si="360"/>
        <v>5.3414996220710531</v>
      </c>
      <c r="GG83" s="5">
        <f t="shared" si="361"/>
        <v>-8.7342365835222964</v>
      </c>
      <c r="GH83" s="10">
        <f t="shared" si="362"/>
        <v>0.28050222315479545</v>
      </c>
      <c r="GI83" s="9">
        <f t="shared" si="276"/>
        <v>11.274995658742569</v>
      </c>
      <c r="GJ83" s="8">
        <f t="shared" si="277"/>
        <v>-6.1262232318895684</v>
      </c>
      <c r="GK83" s="8">
        <f t="shared" si="392"/>
        <v>0.46136251007586104</v>
      </c>
      <c r="GL83" s="7">
        <f t="shared" si="393"/>
        <v>0.46131528048631387</v>
      </c>
      <c r="GM83" s="6">
        <f t="shared" si="278"/>
        <v>0.38956954505343422</v>
      </c>
      <c r="GN83" s="5">
        <f t="shared" si="279"/>
        <v>0.68071677993201252</v>
      </c>
      <c r="GO83" s="4">
        <f t="shared" si="280"/>
        <v>0.46832492293975603</v>
      </c>
      <c r="GP83" s="4">
        <f t="shared" si="363"/>
        <v>0.88818423022188309</v>
      </c>
      <c r="GQ83" s="4">
        <f t="shared" si="364"/>
        <v>4.2663392334526207E-2</v>
      </c>
      <c r="GR83" s="1"/>
    </row>
    <row r="84" spans="1:200" x14ac:dyDescent="0.4">
      <c r="A84" s="32"/>
      <c r="B84" s="33"/>
      <c r="C84" s="33"/>
      <c r="D84" s="32"/>
      <c r="E84" s="32"/>
      <c r="F84" s="20" t="s">
        <v>84</v>
      </c>
      <c r="G84" s="19">
        <v>1050</v>
      </c>
      <c r="H84" s="18">
        <v>1E-4</v>
      </c>
      <c r="I84" s="17">
        <v>1.5</v>
      </c>
      <c r="J84" s="16">
        <v>49.6</v>
      </c>
      <c r="K84" s="16">
        <v>0.92</v>
      </c>
      <c r="L84" s="16">
        <v>14.6</v>
      </c>
      <c r="M84" s="16">
        <v>0</v>
      </c>
      <c r="N84" s="16">
        <v>9</v>
      </c>
      <c r="O84" s="16">
        <v>0</v>
      </c>
      <c r="P84" s="16">
        <v>8.6999999999999993</v>
      </c>
      <c r="Q84" s="16">
        <v>12.4</v>
      </c>
      <c r="R84" s="16">
        <v>2.2999999999999998</v>
      </c>
      <c r="S84" s="16">
        <v>0.21</v>
      </c>
      <c r="T84" s="16">
        <v>0</v>
      </c>
      <c r="U84" s="15">
        <v>7.5</v>
      </c>
      <c r="V84" s="16"/>
      <c r="W84" s="28">
        <f t="shared" si="365"/>
        <v>47.134847476955237</v>
      </c>
      <c r="X84" s="24">
        <f t="shared" si="156"/>
        <v>0.87427539674997634</v>
      </c>
      <c r="Y84" s="24">
        <f t="shared" si="156"/>
        <v>13.874370426684404</v>
      </c>
      <c r="Z84" s="24">
        <f t="shared" si="156"/>
        <v>0</v>
      </c>
      <c r="AA84" s="24">
        <f t="shared" si="156"/>
        <v>8.5526940986410711</v>
      </c>
      <c r="AB84" s="24">
        <f t="shared" si="156"/>
        <v>0</v>
      </c>
      <c r="AC84" s="24">
        <f t="shared" si="396"/>
        <v>8.2676042953530349</v>
      </c>
      <c r="AD84" s="24">
        <f t="shared" si="396"/>
        <v>11.783711869238809</v>
      </c>
      <c r="AE84" s="24">
        <f t="shared" si="396"/>
        <v>2.1856884918749402</v>
      </c>
      <c r="AF84" s="24">
        <f t="shared" si="396"/>
        <v>0.19956286230162498</v>
      </c>
      <c r="AG84" s="24">
        <f t="shared" si="396"/>
        <v>0</v>
      </c>
      <c r="AH84" s="24">
        <f t="shared" si="396"/>
        <v>7.1272450822008935</v>
      </c>
      <c r="AI84" s="14">
        <f t="shared" si="366"/>
        <v>100</v>
      </c>
      <c r="AJ84" s="26"/>
      <c r="AK84" s="50">
        <f t="shared" si="367"/>
        <v>0.78440418500507958</v>
      </c>
      <c r="AL84" s="47">
        <f t="shared" si="368"/>
        <v>1.0942120109511592E-2</v>
      </c>
      <c r="AM84" s="47">
        <f t="shared" si="369"/>
        <v>0.13607660285096512</v>
      </c>
      <c r="AN84" s="49">
        <f t="shared" si="370"/>
        <v>0</v>
      </c>
      <c r="AO84" s="49">
        <f t="shared" si="371"/>
        <v>0.11903540847099613</v>
      </c>
      <c r="AP84" s="47">
        <f t="shared" si="372"/>
        <v>0</v>
      </c>
      <c r="AQ84" s="47">
        <f t="shared" si="373"/>
        <v>0.20504970970617645</v>
      </c>
      <c r="AR84" s="47">
        <f t="shared" si="374"/>
        <v>0.2101232501647434</v>
      </c>
      <c r="AS84" s="47">
        <f t="shared" si="375"/>
        <v>3.526441580953437E-2</v>
      </c>
      <c r="AT84" s="47">
        <f t="shared" si="376"/>
        <v>2.1185017229471866E-3</v>
      </c>
      <c r="AU84" s="47">
        <f t="shared" si="377"/>
        <v>0</v>
      </c>
      <c r="AV84" s="47">
        <f t="shared" si="378"/>
        <v>0.39551859501669778</v>
      </c>
      <c r="AW84" s="47">
        <f t="shared" si="379"/>
        <v>1.8985327888566517</v>
      </c>
      <c r="AX84" s="47">
        <f t="shared" si="380"/>
        <v>8.5658730101243516E-2</v>
      </c>
      <c r="AY84" s="46">
        <f t="shared" si="381"/>
        <v>1.6693640555782777E-2</v>
      </c>
      <c r="AZ84" s="26"/>
      <c r="BA84" s="23">
        <f t="shared" si="296"/>
        <v>0.41316335941580928</v>
      </c>
      <c r="BB84" s="13">
        <f t="shared" si="297"/>
        <v>5.7634612231802626E-3</v>
      </c>
      <c r="BC84" s="13">
        <f t="shared" si="298"/>
        <v>7.1674612969373136E-2</v>
      </c>
      <c r="BD84" s="13">
        <f t="shared" si="299"/>
        <v>0</v>
      </c>
      <c r="BE84" s="13">
        <f t="shared" si="300"/>
        <v>6.2698631895992965E-2</v>
      </c>
      <c r="BF84" s="13">
        <f t="shared" si="301"/>
        <v>4.5118383313690121E-2</v>
      </c>
      <c r="BG84" s="13">
        <f t="shared" si="302"/>
        <v>8.7929166426649625E-3</v>
      </c>
      <c r="BH84" s="13">
        <f t="shared" si="303"/>
        <v>0</v>
      </c>
      <c r="BI84" s="13">
        <f t="shared" si="304"/>
        <v>0.10800430253809995</v>
      </c>
      <c r="BJ84" s="13">
        <f t="shared" si="305"/>
        <v>0.11067665062096997</v>
      </c>
      <c r="BK84" s="13">
        <f t="shared" si="306"/>
        <v>1.8574562428690825E-2</v>
      </c>
      <c r="BL84" s="13">
        <f t="shared" si="307"/>
        <v>1.1158625941999169E-3</v>
      </c>
      <c r="BM84" s="13">
        <f t="shared" si="308"/>
        <v>0</v>
      </c>
      <c r="BN84" s="13">
        <f t="shared" si="309"/>
        <v>0.20832855631368363</v>
      </c>
      <c r="BO84" s="12">
        <f t="shared" si="310"/>
        <v>0.79167144368631648</v>
      </c>
      <c r="BP84" s="13"/>
      <c r="BQ84" s="23">
        <f t="shared" si="311"/>
        <v>1.5688083700101592</v>
      </c>
      <c r="BR84" s="13">
        <f t="shared" si="312"/>
        <v>2.1884240219023184E-2</v>
      </c>
      <c r="BS84" s="13">
        <f t="shared" si="313"/>
        <v>0.40806971843189421</v>
      </c>
      <c r="BT84" s="13">
        <f t="shared" si="314"/>
        <v>0</v>
      </c>
      <c r="BU84" s="13">
        <f t="shared" si="315"/>
        <v>0.11903540847099613</v>
      </c>
      <c r="BV84" s="13">
        <f t="shared" si="316"/>
        <v>8.5658730101243516E-2</v>
      </c>
      <c r="BW84" s="24">
        <f t="shared" si="317"/>
        <v>5.0080921667348337E-2</v>
      </c>
      <c r="BX84" s="13">
        <f t="shared" si="318"/>
        <v>0</v>
      </c>
      <c r="BY84" s="13">
        <f t="shared" si="319"/>
        <v>0.20515147134871056</v>
      </c>
      <c r="BZ84" s="13">
        <f t="shared" si="320"/>
        <v>0.21004833991513028</v>
      </c>
      <c r="CA84" s="13">
        <f t="shared" si="321"/>
        <v>3.525304019153129E-2</v>
      </c>
      <c r="CB84" s="13">
        <f t="shared" si="322"/>
        <v>2.1185017229471866E-3</v>
      </c>
      <c r="CC84" s="13">
        <f t="shared" si="323"/>
        <v>0</v>
      </c>
      <c r="CD84" s="13">
        <f t="shared" si="324"/>
        <v>0.39551859501669778</v>
      </c>
      <c r="CE84" s="12">
        <f t="shared" si="325"/>
        <v>2.9658876853270897</v>
      </c>
      <c r="CF84" s="13"/>
      <c r="CG84" s="23">
        <f t="shared" si="281"/>
        <v>0.52895070092215746</v>
      </c>
      <c r="CH84" s="13">
        <f t="shared" si="281"/>
        <v>7.3786476565816765E-3</v>
      </c>
      <c r="CI84" s="13">
        <f t="shared" si="281"/>
        <v>0.13758771798767244</v>
      </c>
      <c r="CJ84" s="13">
        <f t="shared" si="281"/>
        <v>0</v>
      </c>
      <c r="CK84" s="13">
        <f t="shared" si="281"/>
        <v>4.0134833513720339E-2</v>
      </c>
      <c r="CL84" s="13">
        <f t="shared" si="281"/>
        <v>2.8881312844385991E-2</v>
      </c>
      <c r="CM84" s="13">
        <f t="shared" si="281"/>
        <v>1.688564334890693E-2</v>
      </c>
      <c r="CN84" s="13">
        <f t="shared" si="281"/>
        <v>0</v>
      </c>
      <c r="CO84" s="13">
        <f t="shared" si="281"/>
        <v>6.9170343962666164E-2</v>
      </c>
      <c r="CP84" s="13">
        <f t="shared" si="281"/>
        <v>7.0821407349403828E-2</v>
      </c>
      <c r="CQ84" s="13">
        <f t="shared" si="281"/>
        <v>1.1886168301630562E-2</v>
      </c>
      <c r="CR84" s="13">
        <f t="shared" si="281"/>
        <v>7.142892609952456E-4</v>
      </c>
      <c r="CS84" s="13">
        <f t="shared" si="281"/>
        <v>0</v>
      </c>
      <c r="CT84" s="13">
        <f t="shared" si="281"/>
        <v>0.13335589104517234</v>
      </c>
      <c r="CU84" s="12">
        <f t="shared" si="326"/>
        <v>1.0000000000000002</v>
      </c>
      <c r="CV84" s="26"/>
      <c r="CW84" s="23">
        <f t="shared" si="327"/>
        <v>0.78440418500507958</v>
      </c>
      <c r="CX84" s="13">
        <f t="shared" si="328"/>
        <v>1.0942120109511592E-2</v>
      </c>
      <c r="CY84" s="13">
        <f t="shared" si="329"/>
        <v>0.27204647895459616</v>
      </c>
      <c r="CZ84" s="13">
        <f t="shared" si="330"/>
        <v>0</v>
      </c>
      <c r="DA84" s="13">
        <f t="shared" si="331"/>
        <v>0.17270194986072424</v>
      </c>
      <c r="DB84" s="13">
        <f t="shared" si="332"/>
        <v>8.5658730101243516E-2</v>
      </c>
      <c r="DC84" s="24">
        <f t="shared" si="333"/>
        <v>3.3387281111565553E-2</v>
      </c>
      <c r="DD84" s="13">
        <f t="shared" si="334"/>
        <v>0</v>
      </c>
      <c r="DE84" s="13">
        <f t="shared" si="335"/>
        <v>0.20515147134871056</v>
      </c>
      <c r="DF84" s="13">
        <f t="shared" si="336"/>
        <v>0.21004833991513028</v>
      </c>
      <c r="DG84" s="13">
        <f t="shared" si="337"/>
        <v>7.050608038306258E-2</v>
      </c>
      <c r="DH84" s="13">
        <f t="shared" si="338"/>
        <v>4.2370034458943731E-3</v>
      </c>
      <c r="DI84" s="13">
        <f t="shared" si="339"/>
        <v>0</v>
      </c>
      <c r="DJ84" s="13">
        <f t="shared" si="382"/>
        <v>0.79103719003339557</v>
      </c>
      <c r="DK84" s="12">
        <f t="shared" si="383"/>
        <v>2.5210748190561048</v>
      </c>
      <c r="DL84" s="26"/>
      <c r="DM84" s="23">
        <f t="shared" si="154"/>
        <v>0.31113879646727899</v>
      </c>
      <c r="DN84" s="13">
        <f t="shared" si="154"/>
        <v>4.340259966425091E-3</v>
      </c>
      <c r="DO84" s="13">
        <f t="shared" si="154"/>
        <v>0.1079089271362644</v>
      </c>
      <c r="DP84" s="13">
        <f t="shared" si="154"/>
        <v>0</v>
      </c>
      <c r="DQ84" s="13">
        <f t="shared" si="154"/>
        <v>6.8503302065975241E-2</v>
      </c>
      <c r="DR84" s="13">
        <f t="shared" si="295"/>
        <v>3.397706781796913E-2</v>
      </c>
      <c r="DS84" s="13">
        <f t="shared" si="295"/>
        <v>1.3243272614997526E-2</v>
      </c>
      <c r="DT84" s="13">
        <f t="shared" si="295"/>
        <v>0</v>
      </c>
      <c r="DU84" s="13">
        <f t="shared" si="295"/>
        <v>8.1374606496414759E-2</v>
      </c>
      <c r="DV84" s="13">
        <f t="shared" si="295"/>
        <v>8.3316979856144363E-2</v>
      </c>
      <c r="DW84" s="13">
        <f t="shared" si="295"/>
        <v>2.796667510623909E-2</v>
      </c>
      <c r="DX84" s="13">
        <f t="shared" si="295"/>
        <v>1.6806337574228421E-3</v>
      </c>
      <c r="DY84" s="13">
        <f t="shared" si="295"/>
        <v>0</v>
      </c>
      <c r="DZ84" s="13">
        <f t="shared" si="295"/>
        <v>0.3137698191478353</v>
      </c>
      <c r="EA84" s="12">
        <f t="shared" si="340"/>
        <v>1</v>
      </c>
      <c r="EB84" s="26"/>
      <c r="EC84" s="30">
        <f t="shared" si="341"/>
        <v>1323</v>
      </c>
      <c r="ED84" s="14">
        <f t="shared" si="342"/>
        <v>100000</v>
      </c>
      <c r="EE84" s="29"/>
      <c r="EF84" s="128">
        <f t="shared" si="394"/>
        <v>-8.7342365835222964</v>
      </c>
      <c r="EG84" s="13">
        <f t="shared" si="384"/>
        <v>1.5</v>
      </c>
      <c r="EH84" s="13">
        <f t="shared" si="385"/>
        <v>0.74926606198035017</v>
      </c>
      <c r="EI84" s="12">
        <f t="shared" si="343"/>
        <v>5.3414996220710531</v>
      </c>
      <c r="EJ84" s="29"/>
      <c r="EK84" s="28">
        <f t="shared" si="386"/>
        <v>-1.6356609240744102</v>
      </c>
      <c r="EL84" s="24">
        <f t="shared" si="344"/>
        <v>-0.71023053585514995</v>
      </c>
      <c r="EM84" s="24">
        <f t="shared" si="387"/>
        <v>0.19482356515385746</v>
      </c>
      <c r="EN84" s="24">
        <f t="shared" si="345"/>
        <v>4.5118383313690121E-2</v>
      </c>
      <c r="EO84" s="24">
        <f t="shared" si="346"/>
        <v>8.7901242911514223E-3</v>
      </c>
      <c r="EP84" s="24">
        <f t="shared" si="347"/>
        <v>0.28039285787711721</v>
      </c>
      <c r="EQ84" s="24">
        <f t="shared" si="348"/>
        <v>-1.6353433053476467</v>
      </c>
      <c r="ER84" s="24">
        <f t="shared" si="349"/>
        <v>-20.109295756269134</v>
      </c>
      <c r="ES84" s="25">
        <f t="shared" si="350"/>
        <v>-8.7317827860482566</v>
      </c>
      <c r="ET84" s="26">
        <v>7.5</v>
      </c>
      <c r="EU84" s="26">
        <v>0.29083888041780526</v>
      </c>
      <c r="EV84" s="26">
        <v>0.46644911846267845</v>
      </c>
      <c r="EW84" s="26">
        <v>0.28039285787711721</v>
      </c>
      <c r="EX84" s="26">
        <v>0.46359708287301338</v>
      </c>
      <c r="EY84" s="26">
        <f t="shared" si="388"/>
        <v>0.99388564480716612</v>
      </c>
      <c r="EZ84" s="26">
        <f t="shared" si="389"/>
        <v>1.037254952282936</v>
      </c>
      <c r="FA84" s="23">
        <f t="shared" si="395"/>
        <v>-1.3528922350987926</v>
      </c>
      <c r="FB84" s="190">
        <f t="shared" si="351"/>
        <v>4.2486660642796936E-2</v>
      </c>
      <c r="FC84" s="124">
        <v>6.2646889236044334E-2</v>
      </c>
      <c r="FD84" s="26"/>
      <c r="FE84" s="27">
        <f t="shared" si="352"/>
        <v>0.88818423022188309</v>
      </c>
      <c r="FF84" s="26"/>
      <c r="FG84" s="23">
        <f t="shared" si="282"/>
        <v>-5.1622085961893331</v>
      </c>
      <c r="FH84" s="13">
        <f t="shared" si="353"/>
        <v>13.081464358878861</v>
      </c>
      <c r="FI84" s="13">
        <f t="shared" si="283"/>
        <v>-21.845149910644157</v>
      </c>
      <c r="FJ84" s="13">
        <f t="shared" si="284"/>
        <v>-0.13382304609102391</v>
      </c>
      <c r="FK84" s="12">
        <f t="shared" si="354"/>
        <v>0.46659407806565367</v>
      </c>
      <c r="FL84" s="13"/>
      <c r="FM84" s="23">
        <f t="shared" si="285"/>
        <v>-6.0889094296242154</v>
      </c>
      <c r="FN84" s="13">
        <f t="shared" si="286"/>
        <v>11.181529031480416</v>
      </c>
      <c r="FO84" s="13">
        <f t="shared" si="287"/>
        <v>11.705441023180725</v>
      </c>
      <c r="FP84" s="24">
        <f t="shared" si="288"/>
        <v>0.38793711902778816</v>
      </c>
      <c r="FQ84" s="25">
        <f t="shared" si="289"/>
        <v>0.67925717560225363</v>
      </c>
      <c r="FR84" s="13"/>
      <c r="FS84" s="23">
        <f t="shared" si="355"/>
        <v>11.28041385016266</v>
      </c>
      <c r="FT84" s="13">
        <f t="shared" si="356"/>
        <v>-6.1247088804227401</v>
      </c>
      <c r="FU84" s="13">
        <f t="shared" si="290"/>
        <v>-6.3350436459192139E-2</v>
      </c>
      <c r="FV84" s="13">
        <f t="shared" si="357"/>
        <v>0.46359708287301338</v>
      </c>
      <c r="FW84" s="23">
        <f t="shared" si="291"/>
        <v>-6.3432976141733377E-2</v>
      </c>
      <c r="FX84" s="13">
        <f t="shared" si="292"/>
        <v>0.4635498213946484</v>
      </c>
      <c r="FY84" s="13">
        <f t="shared" si="293"/>
        <v>-6.3400625423668089E-2</v>
      </c>
      <c r="FZ84" s="13">
        <f t="shared" si="390"/>
        <v>0.46356834504628253</v>
      </c>
      <c r="GA84" s="13">
        <f t="shared" si="294"/>
        <v>-6.3441290578616361E-2</v>
      </c>
      <c r="GB84" s="12">
        <f t="shared" si="391"/>
        <v>0.46354506065930834</v>
      </c>
      <c r="GC84" s="22"/>
      <c r="GD84" s="11">
        <f t="shared" si="358"/>
        <v>1.5</v>
      </c>
      <c r="GE84" s="10">
        <f t="shared" si="359"/>
        <v>0.74926606198035017</v>
      </c>
      <c r="GF84" s="10">
        <f t="shared" si="360"/>
        <v>5.3414996220710531</v>
      </c>
      <c r="GG84" s="5">
        <f t="shared" si="361"/>
        <v>-8.7342365835222964</v>
      </c>
      <c r="GH84" s="10">
        <f t="shared" si="362"/>
        <v>0.28039285787711721</v>
      </c>
      <c r="GI84" s="9">
        <f t="shared" si="276"/>
        <v>11.28041385016266</v>
      </c>
      <c r="GJ84" s="8">
        <f t="shared" si="277"/>
        <v>-6.1247088804227401</v>
      </c>
      <c r="GK84" s="8">
        <f t="shared" si="392"/>
        <v>0.46359708287301338</v>
      </c>
      <c r="GL84" s="7">
        <f t="shared" si="393"/>
        <v>0.4635498213946484</v>
      </c>
      <c r="GM84" s="6">
        <f t="shared" si="278"/>
        <v>0.38793711902778816</v>
      </c>
      <c r="GN84" s="5">
        <f t="shared" si="279"/>
        <v>0.67925717560225363</v>
      </c>
      <c r="GO84" s="4">
        <f t="shared" si="280"/>
        <v>0.46659407806565367</v>
      </c>
      <c r="GP84" s="4">
        <f t="shared" si="363"/>
        <v>0.88818423022188309</v>
      </c>
      <c r="GQ84" s="4">
        <f t="shared" si="364"/>
        <v>4.2486660642796936E-2</v>
      </c>
      <c r="GR84" s="1"/>
    </row>
    <row r="85" spans="1:200" x14ac:dyDescent="0.4">
      <c r="A85" s="32"/>
      <c r="B85" s="33"/>
      <c r="C85" s="33"/>
      <c r="D85" s="32"/>
      <c r="E85" s="32"/>
      <c r="F85" s="20" t="s">
        <v>84</v>
      </c>
      <c r="G85" s="19">
        <v>1050</v>
      </c>
      <c r="H85" s="18">
        <v>1E-4</v>
      </c>
      <c r="I85" s="17">
        <v>1.5</v>
      </c>
      <c r="J85" s="16">
        <v>49.6</v>
      </c>
      <c r="K85" s="16">
        <v>0.92</v>
      </c>
      <c r="L85" s="16">
        <v>14.6</v>
      </c>
      <c r="M85" s="16">
        <v>0</v>
      </c>
      <c r="N85" s="16">
        <v>9</v>
      </c>
      <c r="O85" s="16">
        <v>0</v>
      </c>
      <c r="P85" s="16">
        <v>8.6999999999999993</v>
      </c>
      <c r="Q85" s="16">
        <v>12.4</v>
      </c>
      <c r="R85" s="16">
        <v>2.2999999999999998</v>
      </c>
      <c r="S85" s="16">
        <v>0.21</v>
      </c>
      <c r="T85" s="16">
        <v>0</v>
      </c>
      <c r="U85" s="15">
        <v>7.6</v>
      </c>
      <c r="V85" s="16"/>
      <c r="W85" s="28">
        <f t="shared" si="365"/>
        <v>47.090097787904682</v>
      </c>
      <c r="X85" s="24">
        <f t="shared" si="156"/>
        <v>0.87344536219500624</v>
      </c>
      <c r="Y85" s="24">
        <f t="shared" si="156"/>
        <v>13.861198139181619</v>
      </c>
      <c r="Z85" s="24">
        <f t="shared" si="156"/>
        <v>0</v>
      </c>
      <c r="AA85" s="24">
        <f t="shared" si="156"/>
        <v>8.5445741953859304</v>
      </c>
      <c r="AB85" s="24">
        <f t="shared" si="156"/>
        <v>0</v>
      </c>
      <c r="AC85" s="24">
        <f t="shared" si="396"/>
        <v>8.2597550555397312</v>
      </c>
      <c r="AD85" s="24">
        <f t="shared" si="396"/>
        <v>11.772524446976171</v>
      </c>
      <c r="AE85" s="24">
        <f t="shared" si="396"/>
        <v>2.1836134054875154</v>
      </c>
      <c r="AF85" s="24">
        <f t="shared" si="396"/>
        <v>0.19937339789233835</v>
      </c>
      <c r="AG85" s="24">
        <f t="shared" si="396"/>
        <v>0</v>
      </c>
      <c r="AH85" s="24">
        <f t="shared" si="396"/>
        <v>7.2154182094370078</v>
      </c>
      <c r="AI85" s="14">
        <f t="shared" si="366"/>
        <v>100</v>
      </c>
      <c r="AJ85" s="26"/>
      <c r="AK85" s="50">
        <f t="shared" si="367"/>
        <v>0.78365947392086333</v>
      </c>
      <c r="AL85" s="47">
        <f t="shared" si="368"/>
        <v>1.0931731692052643E-2</v>
      </c>
      <c r="AM85" s="47">
        <f t="shared" si="369"/>
        <v>0.13594741211437447</v>
      </c>
      <c r="AN85" s="49">
        <f t="shared" si="370"/>
        <v>0</v>
      </c>
      <c r="AO85" s="49">
        <f t="shared" si="371"/>
        <v>0.11892239659548964</v>
      </c>
      <c r="AP85" s="47">
        <f t="shared" si="372"/>
        <v>0</v>
      </c>
      <c r="AQ85" s="47">
        <f t="shared" si="373"/>
        <v>0.20485503609969571</v>
      </c>
      <c r="AR85" s="47">
        <f t="shared" si="374"/>
        <v>0.20992375975349806</v>
      </c>
      <c r="AS85" s="47">
        <f t="shared" si="375"/>
        <v>3.5230935874274207E-2</v>
      </c>
      <c r="AT85" s="47">
        <f t="shared" si="376"/>
        <v>2.1164904234855452E-3</v>
      </c>
      <c r="AU85" s="47">
        <f t="shared" si="377"/>
        <v>0</v>
      </c>
      <c r="AV85" s="47">
        <f t="shared" si="378"/>
        <v>0.40041166534056649</v>
      </c>
      <c r="AW85" s="47">
        <f t="shared" si="379"/>
        <v>1.9019989018143</v>
      </c>
      <c r="AX85" s="47">
        <f t="shared" si="380"/>
        <v>8.5590336805922387E-2</v>
      </c>
      <c r="AY85" s="46">
        <f t="shared" si="381"/>
        <v>1.6671324178716373E-2</v>
      </c>
      <c r="AZ85" s="26"/>
      <c r="BA85" s="23">
        <f t="shared" si="296"/>
        <v>0.4120188887455915</v>
      </c>
      <c r="BB85" s="13">
        <f t="shared" si="297"/>
        <v>5.7474963216986932E-3</v>
      </c>
      <c r="BC85" s="13">
        <f t="shared" si="298"/>
        <v>7.1476072875066035E-2</v>
      </c>
      <c r="BD85" s="13">
        <f t="shared" si="299"/>
        <v>0</v>
      </c>
      <c r="BE85" s="13">
        <f t="shared" si="300"/>
        <v>6.2524955446635971E-2</v>
      </c>
      <c r="BF85" s="13">
        <f t="shared" si="301"/>
        <v>4.5000203062303831E-2</v>
      </c>
      <c r="BG85" s="13">
        <f t="shared" si="302"/>
        <v>8.7651597289639567E-3</v>
      </c>
      <c r="BH85" s="13">
        <f t="shared" si="303"/>
        <v>0</v>
      </c>
      <c r="BI85" s="13">
        <f t="shared" si="304"/>
        <v>0.10770512848576637</v>
      </c>
      <c r="BJ85" s="13">
        <f t="shared" si="305"/>
        <v>0.11037007411163784</v>
      </c>
      <c r="BK85" s="13">
        <f t="shared" si="306"/>
        <v>1.8523110523706258E-2</v>
      </c>
      <c r="BL85" s="13">
        <f t="shared" si="307"/>
        <v>1.1127716327631123E-3</v>
      </c>
      <c r="BM85" s="13">
        <f t="shared" si="308"/>
        <v>0</v>
      </c>
      <c r="BN85" s="13">
        <f t="shared" si="309"/>
        <v>0.21052150185713428</v>
      </c>
      <c r="BO85" s="12">
        <f t="shared" si="310"/>
        <v>0.78947849814286575</v>
      </c>
      <c r="BP85" s="13"/>
      <c r="BQ85" s="23">
        <f t="shared" si="311"/>
        <v>1.5673189478417267</v>
      </c>
      <c r="BR85" s="13">
        <f t="shared" si="312"/>
        <v>2.1863463384105285E-2</v>
      </c>
      <c r="BS85" s="13">
        <f t="shared" si="313"/>
        <v>0.40768229821122409</v>
      </c>
      <c r="BT85" s="13">
        <f t="shared" si="314"/>
        <v>0</v>
      </c>
      <c r="BU85" s="13">
        <f t="shared" si="315"/>
        <v>0.11892239659548964</v>
      </c>
      <c r="BV85" s="13">
        <f t="shared" si="316"/>
        <v>8.5590336805922387E-2</v>
      </c>
      <c r="BW85" s="24">
        <f t="shared" si="317"/>
        <v>5.0013972536149122E-2</v>
      </c>
      <c r="BX85" s="13">
        <f t="shared" si="318"/>
        <v>0</v>
      </c>
      <c r="BY85" s="13">
        <f t="shared" si="319"/>
        <v>0.20495670113001815</v>
      </c>
      <c r="BZ85" s="13">
        <f t="shared" si="320"/>
        <v>0.20984892062346114</v>
      </c>
      <c r="CA85" s="13">
        <f t="shared" si="321"/>
        <v>3.5219571056250246E-2</v>
      </c>
      <c r="CB85" s="13">
        <f t="shared" si="322"/>
        <v>2.1164904234855452E-3</v>
      </c>
      <c r="CC85" s="13">
        <f t="shared" si="323"/>
        <v>0</v>
      </c>
      <c r="CD85" s="13">
        <f t="shared" si="324"/>
        <v>0.40041166534056649</v>
      </c>
      <c r="CE85" s="12">
        <f t="shared" si="325"/>
        <v>2.9683404546063272</v>
      </c>
      <c r="CF85" s="13"/>
      <c r="CG85" s="23">
        <f t="shared" si="281"/>
        <v>0.52801185437119624</v>
      </c>
      <c r="CH85" s="13">
        <f t="shared" si="281"/>
        <v>7.3655511281319318E-3</v>
      </c>
      <c r="CI85" s="13">
        <f t="shared" si="281"/>
        <v>0.13734351043815576</v>
      </c>
      <c r="CJ85" s="13">
        <f t="shared" si="281"/>
        <v>0</v>
      </c>
      <c r="CK85" s="13">
        <f t="shared" si="281"/>
        <v>4.0063597290851058E-2</v>
      </c>
      <c r="CL85" s="13">
        <f t="shared" si="281"/>
        <v>2.8834407007828793E-2</v>
      </c>
      <c r="CM85" s="13">
        <f t="shared" si="281"/>
        <v>1.684913617591826E-2</v>
      </c>
      <c r="CN85" s="13">
        <f t="shared" si="281"/>
        <v>0</v>
      </c>
      <c r="CO85" s="13">
        <f t="shared" si="281"/>
        <v>6.9047571956229764E-2</v>
      </c>
      <c r="CP85" s="13">
        <f t="shared" si="281"/>
        <v>7.0695704833255768E-2</v>
      </c>
      <c r="CQ85" s="13">
        <f t="shared" si="281"/>
        <v>1.1865071272938333E-2</v>
      </c>
      <c r="CR85" s="13">
        <f t="shared" si="281"/>
        <v>7.1302145284619727E-4</v>
      </c>
      <c r="CS85" s="13">
        <f t="shared" si="281"/>
        <v>0</v>
      </c>
      <c r="CT85" s="13">
        <f t="shared" si="281"/>
        <v>0.13489411725639491</v>
      </c>
      <c r="CU85" s="12">
        <f t="shared" si="326"/>
        <v>1</v>
      </c>
      <c r="CV85" s="26"/>
      <c r="CW85" s="23">
        <f t="shared" si="327"/>
        <v>0.78365947392086333</v>
      </c>
      <c r="CX85" s="13">
        <f t="shared" si="328"/>
        <v>1.0931731692052643E-2</v>
      </c>
      <c r="CY85" s="13">
        <f t="shared" si="329"/>
        <v>0.27178819880748273</v>
      </c>
      <c r="CZ85" s="13">
        <f t="shared" si="330"/>
        <v>0</v>
      </c>
      <c r="DA85" s="13">
        <f t="shared" si="331"/>
        <v>0.17270194986072424</v>
      </c>
      <c r="DB85" s="13">
        <f t="shared" si="332"/>
        <v>8.5590336805922387E-2</v>
      </c>
      <c r="DC85" s="24">
        <f t="shared" si="333"/>
        <v>3.3342648357432746E-2</v>
      </c>
      <c r="DD85" s="13">
        <f t="shared" si="334"/>
        <v>0</v>
      </c>
      <c r="DE85" s="13">
        <f t="shared" si="335"/>
        <v>0.20495670113001815</v>
      </c>
      <c r="DF85" s="13">
        <f t="shared" si="336"/>
        <v>0.20984892062346114</v>
      </c>
      <c r="DG85" s="13">
        <f t="shared" si="337"/>
        <v>7.0439142112500491E-2</v>
      </c>
      <c r="DH85" s="13">
        <f t="shared" si="338"/>
        <v>4.2329808469710904E-3</v>
      </c>
      <c r="DI85" s="13">
        <f t="shared" si="339"/>
        <v>0</v>
      </c>
      <c r="DJ85" s="13">
        <f t="shared" si="382"/>
        <v>0.80082333068113298</v>
      </c>
      <c r="DK85" s="12">
        <f t="shared" si="383"/>
        <v>2.5293824296752065</v>
      </c>
      <c r="DL85" s="26"/>
      <c r="DM85" s="23">
        <f t="shared" si="154"/>
        <v>0.30982245497035876</v>
      </c>
      <c r="DN85" s="13">
        <f t="shared" si="154"/>
        <v>4.3218975366474599E-3</v>
      </c>
      <c r="DO85" s="13">
        <f t="shared" si="154"/>
        <v>0.10745239455244518</v>
      </c>
      <c r="DP85" s="13">
        <f t="shared" si="154"/>
        <v>0</v>
      </c>
      <c r="DQ85" s="13">
        <f t="shared" si="154"/>
        <v>6.8278306923678825E-2</v>
      </c>
      <c r="DR85" s="13">
        <f t="shared" si="295"/>
        <v>3.3838432576173499E-2</v>
      </c>
      <c r="DS85" s="13">
        <f t="shared" si="295"/>
        <v>1.3182130138270239E-2</v>
      </c>
      <c r="DT85" s="13">
        <f t="shared" si="295"/>
        <v>0</v>
      </c>
      <c r="DU85" s="13">
        <f t="shared" si="295"/>
        <v>8.1030333224990522E-2</v>
      </c>
      <c r="DV85" s="13">
        <f t="shared" si="295"/>
        <v>8.296448894460276E-2</v>
      </c>
      <c r="DW85" s="13">
        <f t="shared" si="295"/>
        <v>2.7848355901462261E-2</v>
      </c>
      <c r="DX85" s="13">
        <f t="shared" si="295"/>
        <v>1.6735234645852426E-3</v>
      </c>
      <c r="DY85" s="13">
        <f t="shared" si="295"/>
        <v>0</v>
      </c>
      <c r="DZ85" s="13">
        <f t="shared" si="295"/>
        <v>0.3166082444812291</v>
      </c>
      <c r="EA85" s="12">
        <f t="shared" si="340"/>
        <v>1</v>
      </c>
      <c r="EB85" s="26"/>
      <c r="EC85" s="30">
        <f t="shared" si="341"/>
        <v>1323</v>
      </c>
      <c r="ED85" s="14">
        <f t="shared" si="342"/>
        <v>100000</v>
      </c>
      <c r="EE85" s="29"/>
      <c r="EF85" s="128">
        <f t="shared" si="394"/>
        <v>-8.7342365835222964</v>
      </c>
      <c r="EG85" s="13">
        <f t="shared" si="384"/>
        <v>1.5</v>
      </c>
      <c r="EH85" s="13">
        <f t="shared" si="385"/>
        <v>0.74926606198035017</v>
      </c>
      <c r="EI85" s="12">
        <f t="shared" si="343"/>
        <v>5.3414996220710531</v>
      </c>
      <c r="EJ85" s="29"/>
      <c r="EK85" s="28">
        <f t="shared" si="386"/>
        <v>-1.6361998792769363</v>
      </c>
      <c r="EL85" s="24">
        <f t="shared" si="344"/>
        <v>-0.7104645589565507</v>
      </c>
      <c r="EM85" s="24">
        <f t="shared" si="387"/>
        <v>0.19471859227022495</v>
      </c>
      <c r="EN85" s="24">
        <f t="shared" si="345"/>
        <v>4.5000203062303838E-2</v>
      </c>
      <c r="EO85" s="24">
        <f t="shared" si="346"/>
        <v>8.7623761921660701E-3</v>
      </c>
      <c r="EP85" s="24">
        <f t="shared" si="347"/>
        <v>0.2802841243012037</v>
      </c>
      <c r="EQ85" s="24">
        <f t="shared" si="348"/>
        <v>-1.6358822605501724</v>
      </c>
      <c r="ER85" s="24">
        <f t="shared" si="349"/>
        <v>-20.10929575626913</v>
      </c>
      <c r="ES85" s="25">
        <f t="shared" si="350"/>
        <v>-8.7317827860482549</v>
      </c>
      <c r="ET85" s="26">
        <v>7.6</v>
      </c>
      <c r="EU85" s="26">
        <v>0.2908388804178052</v>
      </c>
      <c r="EV85" s="26">
        <v>0.46869975967317967</v>
      </c>
      <c r="EW85" s="26">
        <v>0.2802841243012037</v>
      </c>
      <c r="EX85" s="26">
        <v>0.46582463220193548</v>
      </c>
      <c r="EY85" s="26">
        <f t="shared" si="388"/>
        <v>0.99386573726163419</v>
      </c>
      <c r="EZ85" s="26">
        <f t="shared" si="389"/>
        <v>1.0376573455343443</v>
      </c>
      <c r="FA85" s="23">
        <f t="shared" si="395"/>
        <v>-1.3547647572623909</v>
      </c>
      <c r="FB85" s="190">
        <f t="shared" si="351"/>
        <v>4.2311602000924764E-2</v>
      </c>
      <c r="FC85" s="124">
        <v>6.2646889236044001E-2</v>
      </c>
      <c r="FD85" s="26"/>
      <c r="FE85" s="27">
        <f t="shared" si="352"/>
        <v>0.88818423022188309</v>
      </c>
      <c r="FF85" s="26"/>
      <c r="FG85" s="23">
        <f t="shared" si="282"/>
        <v>-5.1770503432351642</v>
      </c>
      <c r="FH85" s="13">
        <f t="shared" si="353"/>
        <v>13.059727791849259</v>
      </c>
      <c r="FI85" s="13">
        <f t="shared" si="283"/>
        <v>-21.845149910644157</v>
      </c>
      <c r="FJ85" s="13">
        <f t="shared" si="284"/>
        <v>-0.14071786607478742</v>
      </c>
      <c r="FK85" s="12">
        <f t="shared" si="354"/>
        <v>0.46487846933169719</v>
      </c>
      <c r="FL85" s="13"/>
      <c r="FM85" s="23">
        <f t="shared" si="285"/>
        <v>-6.0895316020045342</v>
      </c>
      <c r="FN85" s="13">
        <f t="shared" si="286"/>
        <v>11.177934421603062</v>
      </c>
      <c r="FO85" s="13">
        <f t="shared" si="287"/>
        <v>11.701916598824084</v>
      </c>
      <c r="FP85" s="24">
        <f t="shared" si="288"/>
        <v>0.3863132495007211</v>
      </c>
      <c r="FQ85" s="25">
        <f t="shared" si="289"/>
        <v>0.67779949984302967</v>
      </c>
      <c r="FR85" s="13"/>
      <c r="FS85" s="23">
        <f t="shared" si="355"/>
        <v>11.285812807842007</v>
      </c>
      <c r="FT85" s="13">
        <f t="shared" si="356"/>
        <v>-6.1231989512269349</v>
      </c>
      <c r="FU85" s="13">
        <f t="shared" si="290"/>
        <v>-5.946140797565036E-2</v>
      </c>
      <c r="FV85" s="13">
        <f t="shared" si="357"/>
        <v>0.46582463220193548</v>
      </c>
      <c r="FW85" s="23">
        <f t="shared" si="291"/>
        <v>-5.9543947658191598E-2</v>
      </c>
      <c r="FX85" s="13">
        <f t="shared" si="292"/>
        <v>0.46577734082400957</v>
      </c>
      <c r="FY85" s="13">
        <f t="shared" si="293"/>
        <v>-5.951159694012631E-2</v>
      </c>
      <c r="FZ85" s="13">
        <f t="shared" si="390"/>
        <v>0.46579587619924134</v>
      </c>
      <c r="GA85" s="13">
        <f t="shared" si="294"/>
        <v>-5.9552262095074582E-2</v>
      </c>
      <c r="GB85" s="12">
        <f t="shared" si="391"/>
        <v>0.46577257707461195</v>
      </c>
      <c r="GC85" s="22"/>
      <c r="GD85" s="11">
        <f t="shared" si="358"/>
        <v>1.5</v>
      </c>
      <c r="GE85" s="10">
        <f t="shared" si="359"/>
        <v>0.74926606198035017</v>
      </c>
      <c r="GF85" s="10">
        <f t="shared" si="360"/>
        <v>5.3414996220710531</v>
      </c>
      <c r="GG85" s="5">
        <f t="shared" si="361"/>
        <v>-8.7342365835222964</v>
      </c>
      <c r="GH85" s="10">
        <f t="shared" si="362"/>
        <v>0.2802841243012037</v>
      </c>
      <c r="GI85" s="9">
        <f t="shared" si="276"/>
        <v>11.285812807842007</v>
      </c>
      <c r="GJ85" s="8">
        <f t="shared" si="277"/>
        <v>-6.1231989512269349</v>
      </c>
      <c r="GK85" s="8">
        <f t="shared" si="392"/>
        <v>0.46582463220193548</v>
      </c>
      <c r="GL85" s="7">
        <f t="shared" si="393"/>
        <v>0.46577734082400957</v>
      </c>
      <c r="GM85" s="6">
        <f t="shared" si="278"/>
        <v>0.3863132495007211</v>
      </c>
      <c r="GN85" s="5">
        <f t="shared" si="279"/>
        <v>0.67779949984302967</v>
      </c>
      <c r="GO85" s="4">
        <f t="shared" si="280"/>
        <v>0.46487846933169719</v>
      </c>
      <c r="GP85" s="4">
        <f t="shared" si="363"/>
        <v>0.88818423022188309</v>
      </c>
      <c r="GQ85" s="4">
        <f t="shared" si="364"/>
        <v>4.2311602000924764E-2</v>
      </c>
      <c r="GR85" s="1"/>
    </row>
    <row r="86" spans="1:200" x14ac:dyDescent="0.4">
      <c r="A86" s="32"/>
      <c r="B86" s="33"/>
      <c r="C86" s="33"/>
      <c r="D86" s="32"/>
      <c r="E86" s="32"/>
      <c r="F86" s="20" t="s">
        <v>84</v>
      </c>
      <c r="G86" s="19">
        <v>1050</v>
      </c>
      <c r="H86" s="18">
        <v>1E-4</v>
      </c>
      <c r="I86" s="17">
        <v>1.5</v>
      </c>
      <c r="J86" s="16">
        <v>49.6</v>
      </c>
      <c r="K86" s="16">
        <v>0.92</v>
      </c>
      <c r="L86" s="16">
        <v>14.6</v>
      </c>
      <c r="M86" s="16">
        <v>0</v>
      </c>
      <c r="N86" s="16">
        <v>9</v>
      </c>
      <c r="O86" s="16">
        <v>0</v>
      </c>
      <c r="P86" s="16">
        <v>8.6999999999999993</v>
      </c>
      <c r="Q86" s="16">
        <v>12.4</v>
      </c>
      <c r="R86" s="16">
        <v>2.2999999999999998</v>
      </c>
      <c r="S86" s="16">
        <v>0.21</v>
      </c>
      <c r="T86" s="16">
        <v>0</v>
      </c>
      <c r="U86" s="15">
        <v>7.7</v>
      </c>
      <c r="V86" s="16"/>
      <c r="W86" s="28">
        <f t="shared" si="365"/>
        <v>47.045432988712889</v>
      </c>
      <c r="X86" s="24">
        <f t="shared" si="156"/>
        <v>0.87261690220999721</v>
      </c>
      <c r="Y86" s="24">
        <f t="shared" si="156"/>
        <v>13.848050839419518</v>
      </c>
      <c r="Z86" s="24">
        <f t="shared" si="156"/>
        <v>0</v>
      </c>
      <c r="AA86" s="24">
        <f t="shared" si="156"/>
        <v>8.5364696955325812</v>
      </c>
      <c r="AB86" s="24">
        <f t="shared" si="156"/>
        <v>0</v>
      </c>
      <c r="AC86" s="24">
        <f t="shared" si="396"/>
        <v>8.2519207056814938</v>
      </c>
      <c r="AD86" s="24">
        <f t="shared" si="396"/>
        <v>11.761358247178222</v>
      </c>
      <c r="AE86" s="24">
        <f t="shared" si="396"/>
        <v>2.1815422555249926</v>
      </c>
      <c r="AF86" s="24">
        <f t="shared" si="396"/>
        <v>0.1991842928957602</v>
      </c>
      <c r="AG86" s="24">
        <f t="shared" si="396"/>
        <v>0</v>
      </c>
      <c r="AH86" s="24">
        <f t="shared" si="396"/>
        <v>7.3034240728445416</v>
      </c>
      <c r="AI86" s="14">
        <f t="shared" si="366"/>
        <v>100</v>
      </c>
      <c r="AJ86" s="26"/>
      <c r="AK86" s="50">
        <f t="shared" si="367"/>
        <v>0.78291617554855863</v>
      </c>
      <c r="AL86" s="47">
        <f t="shared" si="368"/>
        <v>1.0921362981351653E-2</v>
      </c>
      <c r="AM86" s="47">
        <f t="shared" si="369"/>
        <v>0.13581846645174106</v>
      </c>
      <c r="AN86" s="49">
        <f t="shared" si="370"/>
        <v>0</v>
      </c>
      <c r="AO86" s="49">
        <f t="shared" si="371"/>
        <v>0.11880959910274992</v>
      </c>
      <c r="AP86" s="47">
        <f t="shared" si="372"/>
        <v>0</v>
      </c>
      <c r="AQ86" s="47">
        <f t="shared" si="373"/>
        <v>0.20466073178773547</v>
      </c>
      <c r="AR86" s="47">
        <f t="shared" si="374"/>
        <v>0.20972464777421937</v>
      </c>
      <c r="AS86" s="47">
        <f t="shared" si="375"/>
        <v>3.5197519450225763E-2</v>
      </c>
      <c r="AT86" s="47">
        <f t="shared" si="376"/>
        <v>2.1144829394454372E-3</v>
      </c>
      <c r="AU86" s="47">
        <f t="shared" si="377"/>
        <v>0</v>
      </c>
      <c r="AV86" s="47">
        <f t="shared" si="378"/>
        <v>0.40529545354298235</v>
      </c>
      <c r="AW86" s="47">
        <f t="shared" si="379"/>
        <v>1.90545843957901</v>
      </c>
      <c r="AX86" s="47">
        <f t="shared" si="380"/>
        <v>8.5521998846516525E-2</v>
      </c>
      <c r="AY86" s="46">
        <f t="shared" si="381"/>
        <v>1.6649087350337849E-2</v>
      </c>
      <c r="AZ86" s="26"/>
      <c r="BA86" s="23">
        <f t="shared" si="296"/>
        <v>0.41088074097356608</v>
      </c>
      <c r="BB86" s="13">
        <f t="shared" si="297"/>
        <v>5.7316196220813971E-3</v>
      </c>
      <c r="BC86" s="13">
        <f t="shared" si="298"/>
        <v>7.1278629662344481E-2</v>
      </c>
      <c r="BD86" s="13">
        <f t="shared" si="299"/>
        <v>0</v>
      </c>
      <c r="BE86" s="13">
        <f t="shared" si="300"/>
        <v>6.2352238513792825E-2</v>
      </c>
      <c r="BF86" s="13">
        <f t="shared" si="301"/>
        <v>4.4882636676878487E-2</v>
      </c>
      <c r="BG86" s="13">
        <f t="shared" si="302"/>
        <v>8.7375756954406626E-3</v>
      </c>
      <c r="BH86" s="13">
        <f t="shared" si="303"/>
        <v>0</v>
      </c>
      <c r="BI86" s="13">
        <f t="shared" si="304"/>
        <v>0.10740760729105853</v>
      </c>
      <c r="BJ86" s="13">
        <f t="shared" si="305"/>
        <v>0.1100651913565513</v>
      </c>
      <c r="BK86" s="13">
        <f t="shared" si="306"/>
        <v>1.847194287690802E-2</v>
      </c>
      <c r="BL86" s="13">
        <f t="shared" si="307"/>
        <v>1.1096977480719069E-3</v>
      </c>
      <c r="BM86" s="13">
        <f t="shared" si="308"/>
        <v>0</v>
      </c>
      <c r="BN86" s="13">
        <f t="shared" si="309"/>
        <v>0.2127023319556253</v>
      </c>
      <c r="BO86" s="12">
        <f t="shared" si="310"/>
        <v>0.78729766804437451</v>
      </c>
      <c r="BP86" s="13"/>
      <c r="BQ86" s="23">
        <f t="shared" si="311"/>
        <v>1.5658323510971173</v>
      </c>
      <c r="BR86" s="13">
        <f t="shared" si="312"/>
        <v>2.1842725962703306E-2</v>
      </c>
      <c r="BS86" s="13">
        <f t="shared" si="313"/>
        <v>0.40729561292410343</v>
      </c>
      <c r="BT86" s="13">
        <f t="shared" si="314"/>
        <v>0</v>
      </c>
      <c r="BU86" s="13">
        <f t="shared" si="315"/>
        <v>0.11880959910274992</v>
      </c>
      <c r="BV86" s="13">
        <f t="shared" si="316"/>
        <v>8.5521998846516525E-2</v>
      </c>
      <c r="BW86" s="24">
        <f t="shared" si="317"/>
        <v>4.9947262051013554E-2</v>
      </c>
      <c r="BX86" s="13">
        <f t="shared" si="318"/>
        <v>0</v>
      </c>
      <c r="BY86" s="13">
        <f t="shared" si="319"/>
        <v>0.20476230038911897</v>
      </c>
      <c r="BZ86" s="13">
        <f t="shared" si="320"/>
        <v>0.20964987962884532</v>
      </c>
      <c r="CA86" s="13">
        <f t="shared" si="321"/>
        <v>3.5186165411693428E-2</v>
      </c>
      <c r="CB86" s="13">
        <f t="shared" si="322"/>
        <v>2.1144829394454372E-3</v>
      </c>
      <c r="CC86" s="13">
        <f t="shared" si="323"/>
        <v>0</v>
      </c>
      <c r="CD86" s="13">
        <f t="shared" si="324"/>
        <v>0.40529545354298235</v>
      </c>
      <c r="CE86" s="12">
        <f t="shared" si="325"/>
        <v>2.97078857099876</v>
      </c>
      <c r="CF86" s="13"/>
      <c r="CG86" s="23">
        <f t="shared" si="281"/>
        <v>0.52707633467523896</v>
      </c>
      <c r="CH86" s="13">
        <f t="shared" si="281"/>
        <v>7.3525010079596217E-3</v>
      </c>
      <c r="CI86" s="13">
        <f t="shared" si="281"/>
        <v>0.13710016825168184</v>
      </c>
      <c r="CJ86" s="13">
        <f t="shared" si="281"/>
        <v>0</v>
      </c>
      <c r="CK86" s="13">
        <f t="shared" si="281"/>
        <v>3.9992613497502078E-2</v>
      </c>
      <c r="CL86" s="13">
        <f t="shared" si="281"/>
        <v>2.8787642338937831E-2</v>
      </c>
      <c r="CM86" s="13">
        <f t="shared" si="281"/>
        <v>1.681279594872738E-2</v>
      </c>
      <c r="CN86" s="13">
        <f t="shared" si="281"/>
        <v>0</v>
      </c>
      <c r="CO86" s="13">
        <f t="shared" si="281"/>
        <v>6.8925234999230922E-2</v>
      </c>
      <c r="CP86" s="13">
        <f t="shared" si="281"/>
        <v>7.0570447750969489E-2</v>
      </c>
      <c r="CQ86" s="13">
        <f t="shared" si="281"/>
        <v>1.1844049002741405E-2</v>
      </c>
      <c r="CR86" s="13">
        <f t="shared" ref="CR86:CT95" si="397">IF(OR($CE86="",CB86=""),"",CB86/$CE86)</f>
        <v>7.1175813724588344E-4</v>
      </c>
      <c r="CS86" s="13">
        <f t="shared" si="397"/>
        <v>0</v>
      </c>
      <c r="CT86" s="13">
        <f t="shared" si="397"/>
        <v>0.13642689267742963</v>
      </c>
      <c r="CU86" s="12">
        <f t="shared" si="326"/>
        <v>0.99999999999999956</v>
      </c>
      <c r="CV86" s="26"/>
      <c r="CW86" s="23">
        <f t="shared" si="327"/>
        <v>0.78291617554855863</v>
      </c>
      <c r="CX86" s="13">
        <f t="shared" si="328"/>
        <v>1.0921362981351653E-2</v>
      </c>
      <c r="CY86" s="13">
        <f t="shared" si="329"/>
        <v>0.27153040861606897</v>
      </c>
      <c r="CZ86" s="13">
        <f t="shared" si="330"/>
        <v>0</v>
      </c>
      <c r="DA86" s="13">
        <f t="shared" si="331"/>
        <v>0.17270194986072424</v>
      </c>
      <c r="DB86" s="13">
        <f t="shared" si="332"/>
        <v>8.5521998846516525E-2</v>
      </c>
      <c r="DC86" s="24">
        <f t="shared" si="333"/>
        <v>3.3298174700675698E-2</v>
      </c>
      <c r="DD86" s="13">
        <f t="shared" si="334"/>
        <v>0</v>
      </c>
      <c r="DE86" s="13">
        <f t="shared" si="335"/>
        <v>0.20476230038911897</v>
      </c>
      <c r="DF86" s="13">
        <f t="shared" si="336"/>
        <v>0.20964987962884532</v>
      </c>
      <c r="DG86" s="13">
        <f t="shared" si="337"/>
        <v>7.0372330823386856E-2</v>
      </c>
      <c r="DH86" s="13">
        <f t="shared" si="338"/>
        <v>4.2289658788908745E-3</v>
      </c>
      <c r="DI86" s="13">
        <f t="shared" si="339"/>
        <v>0</v>
      </c>
      <c r="DJ86" s="13">
        <f t="shared" si="382"/>
        <v>0.81059090708596471</v>
      </c>
      <c r="DK86" s="12">
        <f t="shared" si="383"/>
        <v>2.5376742808129098</v>
      </c>
      <c r="DL86" s="26"/>
      <c r="DM86" s="23">
        <f t="shared" si="154"/>
        <v>0.30851720469727184</v>
      </c>
      <c r="DN86" s="13">
        <f t="shared" si="154"/>
        <v>4.3036898249420499E-3</v>
      </c>
      <c r="DO86" s="13">
        <f t="shared" si="154"/>
        <v>0.10699970861866791</v>
      </c>
      <c r="DP86" s="13">
        <f t="shared" si="154"/>
        <v>0</v>
      </c>
      <c r="DQ86" s="13">
        <f t="shared" si="154"/>
        <v>6.8055207544366766E-2</v>
      </c>
      <c r="DR86" s="13">
        <f t="shared" si="295"/>
        <v>3.3700936126097598E-2</v>
      </c>
      <c r="DS86" s="13">
        <f t="shared" si="295"/>
        <v>1.3121532165274211E-2</v>
      </c>
      <c r="DT86" s="13">
        <f t="shared" si="295"/>
        <v>0</v>
      </c>
      <c r="DU86" s="13">
        <f t="shared" si="295"/>
        <v>8.0688960729635537E-2</v>
      </c>
      <c r="DV86" s="13">
        <f t="shared" si="295"/>
        <v>8.2614968049282825E-2</v>
      </c>
      <c r="DW86" s="13">
        <f t="shared" si="295"/>
        <v>2.7731033630070141E-2</v>
      </c>
      <c r="DX86" s="13">
        <f t="shared" si="295"/>
        <v>1.6664730816187262E-3</v>
      </c>
      <c r="DY86" s="13">
        <f t="shared" si="295"/>
        <v>0</v>
      </c>
      <c r="DZ86" s="13">
        <f t="shared" si="295"/>
        <v>0.31942275382414437</v>
      </c>
      <c r="EA86" s="12">
        <f t="shared" si="340"/>
        <v>1</v>
      </c>
      <c r="EB86" s="26"/>
      <c r="EC86" s="30">
        <f t="shared" si="341"/>
        <v>1323</v>
      </c>
      <c r="ED86" s="14">
        <f t="shared" si="342"/>
        <v>100000</v>
      </c>
      <c r="EE86" s="29"/>
      <c r="EF86" s="128">
        <f t="shared" si="394"/>
        <v>-8.7342365835222964</v>
      </c>
      <c r="EG86" s="13">
        <f t="shared" si="384"/>
        <v>1.5</v>
      </c>
      <c r="EH86" s="13">
        <f t="shared" si="385"/>
        <v>0.74926606198035017</v>
      </c>
      <c r="EI86" s="12">
        <f t="shared" si="343"/>
        <v>5.3414996220710531</v>
      </c>
      <c r="EJ86" s="29"/>
      <c r="EK86" s="28">
        <f t="shared" si="386"/>
        <v>-1.6367358568943093</v>
      </c>
      <c r="EL86" s="24">
        <f t="shared" si="344"/>
        <v>-0.71069728914212305</v>
      </c>
      <c r="EM86" s="24">
        <f t="shared" si="387"/>
        <v>0.19461425542668589</v>
      </c>
      <c r="EN86" s="24">
        <f t="shared" si="345"/>
        <v>4.4882636676878487E-2</v>
      </c>
      <c r="EO86" s="24">
        <f t="shared" si="346"/>
        <v>8.7348009184571706E-3</v>
      </c>
      <c r="EP86" s="24">
        <f t="shared" si="347"/>
        <v>0.28017601698533917</v>
      </c>
      <c r="EQ86" s="24">
        <f t="shared" si="348"/>
        <v>-1.6364182381675458</v>
      </c>
      <c r="ER86" s="24">
        <f t="shared" si="349"/>
        <v>-20.109295756269134</v>
      </c>
      <c r="ES86" s="25">
        <f t="shared" si="350"/>
        <v>-8.7317827860482566</v>
      </c>
      <c r="ET86" s="26">
        <v>7.7</v>
      </c>
      <c r="EU86" s="26">
        <v>0.29083888041780526</v>
      </c>
      <c r="EV86" s="26">
        <v>0.47094292352369926</v>
      </c>
      <c r="EW86" s="26">
        <v>0.28017601698533917</v>
      </c>
      <c r="EX86" s="26">
        <v>0.46804510089139839</v>
      </c>
      <c r="EY86" s="26">
        <f t="shared" si="388"/>
        <v>0.99384676467666455</v>
      </c>
      <c r="EZ86" s="26">
        <f t="shared" si="389"/>
        <v>1.0380577308050747</v>
      </c>
      <c r="FA86" s="23">
        <f t="shared" si="395"/>
        <v>-1.3566269342355817</v>
      </c>
      <c r="FB86" s="190">
        <f t="shared" si="351"/>
        <v>4.2138194367944748E-2</v>
      </c>
      <c r="FC86" s="124">
        <v>6.2646889236044334E-2</v>
      </c>
      <c r="FD86" s="26"/>
      <c r="FE86" s="27">
        <f t="shared" si="352"/>
        <v>0.88818423022188309</v>
      </c>
      <c r="FF86" s="26"/>
      <c r="FG86" s="23">
        <f t="shared" si="282"/>
        <v>-5.191766591306477</v>
      </c>
      <c r="FH86" s="13">
        <f t="shared" si="353"/>
        <v>13.03817400700693</v>
      </c>
      <c r="FI86" s="13">
        <f t="shared" si="283"/>
        <v>-21.845149910644157</v>
      </c>
      <c r="FJ86" s="13">
        <f t="shared" si="284"/>
        <v>-0.14755540284581059</v>
      </c>
      <c r="FK86" s="12">
        <f t="shared" si="354"/>
        <v>0.46317793439022026</v>
      </c>
      <c r="FL86" s="13"/>
      <c r="FM86" s="23">
        <f t="shared" si="285"/>
        <v>-6.0901520474452475</v>
      </c>
      <c r="FN86" s="13">
        <f t="shared" si="286"/>
        <v>11.174352549425862</v>
      </c>
      <c r="FO86" s="13">
        <f t="shared" si="287"/>
        <v>11.698404663461275</v>
      </c>
      <c r="FP86" s="24">
        <f t="shared" si="288"/>
        <v>0.38469790630697953</v>
      </c>
      <c r="FQ86" s="25">
        <f t="shared" si="289"/>
        <v>0.67634378057712774</v>
      </c>
      <c r="FR86" s="13"/>
      <c r="FS86" s="23">
        <f t="shared" si="355"/>
        <v>11.291192634014322</v>
      </c>
      <c r="FT86" s="13">
        <f t="shared" si="356"/>
        <v>-6.1216934238609912</v>
      </c>
      <c r="FU86" s="13">
        <f t="shared" si="290"/>
        <v>-5.5587109169280779E-2</v>
      </c>
      <c r="FV86" s="13">
        <f t="shared" si="357"/>
        <v>0.46804510089139839</v>
      </c>
      <c r="FW86" s="23">
        <f t="shared" si="291"/>
        <v>-5.5669648851822018E-2</v>
      </c>
      <c r="FX86" s="13">
        <f t="shared" si="292"/>
        <v>0.46799778158602545</v>
      </c>
      <c r="FY86" s="13">
        <f t="shared" si="293"/>
        <v>-5.563729813375673E-2</v>
      </c>
      <c r="FZ86" s="13">
        <f t="shared" si="390"/>
        <v>0.46801632791189551</v>
      </c>
      <c r="GA86" s="13">
        <f t="shared" si="294"/>
        <v>-5.5677963288705001E-2</v>
      </c>
      <c r="GB86" s="12">
        <f t="shared" si="391"/>
        <v>0.46799301502122959</v>
      </c>
      <c r="GC86" s="22"/>
      <c r="GD86" s="11">
        <f t="shared" si="358"/>
        <v>1.5</v>
      </c>
      <c r="GE86" s="10">
        <f t="shared" si="359"/>
        <v>0.74926606198035017</v>
      </c>
      <c r="GF86" s="10">
        <f t="shared" si="360"/>
        <v>5.3414996220710531</v>
      </c>
      <c r="GG86" s="5">
        <f t="shared" si="361"/>
        <v>-8.7342365835222964</v>
      </c>
      <c r="GH86" s="10">
        <f t="shared" si="362"/>
        <v>0.28017601698533917</v>
      </c>
      <c r="GI86" s="9">
        <f t="shared" si="276"/>
        <v>11.291192634014322</v>
      </c>
      <c r="GJ86" s="8">
        <f t="shared" si="277"/>
        <v>-6.1216934238609912</v>
      </c>
      <c r="GK86" s="8">
        <f t="shared" si="392"/>
        <v>0.46804510089139839</v>
      </c>
      <c r="GL86" s="7">
        <f t="shared" si="393"/>
        <v>0.46799778158602545</v>
      </c>
      <c r="GM86" s="6">
        <f t="shared" si="278"/>
        <v>0.38469790630697953</v>
      </c>
      <c r="GN86" s="5">
        <f t="shared" si="279"/>
        <v>0.67634378057712774</v>
      </c>
      <c r="GO86" s="4">
        <f t="shared" si="280"/>
        <v>0.46317793439022026</v>
      </c>
      <c r="GP86" s="4">
        <f t="shared" si="363"/>
        <v>0.88818423022188309</v>
      </c>
      <c r="GQ86" s="4">
        <f t="shared" si="364"/>
        <v>4.2138194367944748E-2</v>
      </c>
      <c r="GR86" s="1"/>
    </row>
    <row r="87" spans="1:200" x14ac:dyDescent="0.4">
      <c r="A87" s="32"/>
      <c r="B87" s="33"/>
      <c r="C87" s="33"/>
      <c r="D87" s="32"/>
      <c r="E87" s="32"/>
      <c r="F87" s="20" t="s">
        <v>84</v>
      </c>
      <c r="G87" s="19">
        <v>1050</v>
      </c>
      <c r="H87" s="18">
        <v>1E-4</v>
      </c>
      <c r="I87" s="17">
        <v>1.5</v>
      </c>
      <c r="J87" s="16">
        <v>49.6</v>
      </c>
      <c r="K87" s="16">
        <v>0.92</v>
      </c>
      <c r="L87" s="16">
        <v>14.6</v>
      </c>
      <c r="M87" s="16">
        <v>0</v>
      </c>
      <c r="N87" s="16">
        <v>9</v>
      </c>
      <c r="O87" s="16">
        <v>0</v>
      </c>
      <c r="P87" s="16">
        <v>8.6999999999999993</v>
      </c>
      <c r="Q87" s="16">
        <v>12.4</v>
      </c>
      <c r="R87" s="16">
        <v>2.2999999999999998</v>
      </c>
      <c r="S87" s="16">
        <v>0.21</v>
      </c>
      <c r="T87" s="16">
        <v>0</v>
      </c>
      <c r="U87" s="15">
        <v>7.8</v>
      </c>
      <c r="V87" s="16"/>
      <c r="W87" s="28">
        <f t="shared" si="365"/>
        <v>47.000852838055529</v>
      </c>
      <c r="X87" s="24">
        <f t="shared" si="156"/>
        <v>0.87179001231877196</v>
      </c>
      <c r="Y87" s="24">
        <f t="shared" si="156"/>
        <v>13.834928456363119</v>
      </c>
      <c r="Z87" s="24">
        <f t="shared" si="156"/>
        <v>0</v>
      </c>
      <c r="AA87" s="24">
        <f t="shared" si="156"/>
        <v>8.5283805552923333</v>
      </c>
      <c r="AB87" s="24">
        <f t="shared" si="156"/>
        <v>0</v>
      </c>
      <c r="AC87" s="24">
        <f t="shared" si="396"/>
        <v>8.2441012034492562</v>
      </c>
      <c r="AD87" s="24">
        <f t="shared" si="396"/>
        <v>11.750213209513882</v>
      </c>
      <c r="AE87" s="24">
        <f t="shared" si="396"/>
        <v>2.1794750307969299</v>
      </c>
      <c r="AF87" s="24">
        <f t="shared" si="396"/>
        <v>0.19899554629015445</v>
      </c>
      <c r="AG87" s="24">
        <f t="shared" si="396"/>
        <v>0</v>
      </c>
      <c r="AH87" s="24">
        <f t="shared" si="396"/>
        <v>7.3912631479200224</v>
      </c>
      <c r="AI87" s="14">
        <f t="shared" si="366"/>
        <v>100.00000000000001</v>
      </c>
      <c r="AJ87" s="26"/>
      <c r="AK87" s="50">
        <f t="shared" si="367"/>
        <v>0.78217428587211724</v>
      </c>
      <c r="AL87" s="47">
        <f t="shared" si="368"/>
        <v>1.0911013921386381E-2</v>
      </c>
      <c r="AM87" s="47">
        <f t="shared" si="369"/>
        <v>0.13568976516637035</v>
      </c>
      <c r="AN87" s="49">
        <f t="shared" si="370"/>
        <v>0</v>
      </c>
      <c r="AO87" s="49">
        <f t="shared" si="371"/>
        <v>0.11869701538333102</v>
      </c>
      <c r="AP87" s="47">
        <f t="shared" si="372"/>
        <v>0</v>
      </c>
      <c r="AQ87" s="47">
        <f t="shared" si="373"/>
        <v>0.20446679572046766</v>
      </c>
      <c r="AR87" s="47">
        <f t="shared" si="374"/>
        <v>0.20952591315110347</v>
      </c>
      <c r="AS87" s="47">
        <f t="shared" si="375"/>
        <v>3.5164166356839791E-2</v>
      </c>
      <c r="AT87" s="47">
        <f t="shared" si="376"/>
        <v>2.1124792599804083E-3</v>
      </c>
      <c r="AU87" s="47">
        <f t="shared" si="377"/>
        <v>0</v>
      </c>
      <c r="AV87" s="47">
        <f t="shared" si="378"/>
        <v>0.41016998601110005</v>
      </c>
      <c r="AW87" s="47">
        <f t="shared" si="379"/>
        <v>1.9089114208426965</v>
      </c>
      <c r="AX87" s="47">
        <f t="shared" si="380"/>
        <v>8.5453716704255514E-2</v>
      </c>
      <c r="AY87" s="46">
        <f t="shared" si="381"/>
        <v>1.6626929525136218E-2</v>
      </c>
      <c r="AZ87" s="26"/>
      <c r="BA87" s="23">
        <f t="shared" si="296"/>
        <v>0.40974886384556458</v>
      </c>
      <c r="BB87" s="13">
        <f t="shared" si="297"/>
        <v>5.7158303954039265E-3</v>
      </c>
      <c r="BC87" s="13">
        <f t="shared" si="298"/>
        <v>7.1082274266277667E-2</v>
      </c>
      <c r="BD87" s="13">
        <f t="shared" si="299"/>
        <v>0</v>
      </c>
      <c r="BE87" s="13">
        <f t="shared" si="300"/>
        <v>6.2180473167755344E-2</v>
      </c>
      <c r="BF87" s="13">
        <f t="shared" si="301"/>
        <v>4.4765679418760897E-2</v>
      </c>
      <c r="BG87" s="13">
        <f t="shared" si="302"/>
        <v>8.7101629460607424E-3</v>
      </c>
      <c r="BH87" s="13">
        <f t="shared" si="303"/>
        <v>0</v>
      </c>
      <c r="BI87" s="13">
        <f t="shared" si="304"/>
        <v>0.10711172529430674</v>
      </c>
      <c r="BJ87" s="13">
        <f t="shared" si="305"/>
        <v>0.10976198835805981</v>
      </c>
      <c r="BK87" s="13">
        <f t="shared" si="306"/>
        <v>1.8421057139108337E-2</v>
      </c>
      <c r="BL87" s="13">
        <f t="shared" si="307"/>
        <v>1.1066407989993826E-3</v>
      </c>
      <c r="BM87" s="13">
        <f t="shared" si="308"/>
        <v>0</v>
      </c>
      <c r="BN87" s="13">
        <f t="shared" si="309"/>
        <v>0.21487114673452418</v>
      </c>
      <c r="BO87" s="12">
        <f t="shared" si="310"/>
        <v>0.78512885326547577</v>
      </c>
      <c r="BP87" s="13"/>
      <c r="BQ87" s="23">
        <f t="shared" si="311"/>
        <v>1.5643485717442345</v>
      </c>
      <c r="BR87" s="13">
        <f t="shared" si="312"/>
        <v>2.1822027842772762E-2</v>
      </c>
      <c r="BS87" s="13">
        <f t="shared" si="313"/>
        <v>0.4069096604812682</v>
      </c>
      <c r="BT87" s="13">
        <f t="shared" si="314"/>
        <v>0</v>
      </c>
      <c r="BU87" s="13">
        <f t="shared" si="315"/>
        <v>0.11869701538333102</v>
      </c>
      <c r="BV87" s="13">
        <f t="shared" si="316"/>
        <v>8.5453716704255514E-2</v>
      </c>
      <c r="BW87" s="24">
        <f t="shared" si="317"/>
        <v>4.9880788575408661E-2</v>
      </c>
      <c r="BX87" s="13">
        <f t="shared" si="318"/>
        <v>0</v>
      </c>
      <c r="BY87" s="13">
        <f t="shared" si="319"/>
        <v>0.20456826807566394</v>
      </c>
      <c r="BZ87" s="13">
        <f t="shared" si="320"/>
        <v>0.20945121585586243</v>
      </c>
      <c r="CA87" s="13">
        <f t="shared" si="321"/>
        <v>3.5152823077369839E-2</v>
      </c>
      <c r="CB87" s="13">
        <f t="shared" si="322"/>
        <v>2.1124792599804083E-3</v>
      </c>
      <c r="CC87" s="13">
        <f t="shared" si="323"/>
        <v>0</v>
      </c>
      <c r="CD87" s="13">
        <f t="shared" si="324"/>
        <v>0.41016998601110005</v>
      </c>
      <c r="CE87" s="12">
        <f t="shared" si="325"/>
        <v>2.9732320477315834</v>
      </c>
      <c r="CF87" s="13"/>
      <c r="CG87" s="23">
        <f t="shared" ref="CG87:CQ95" si="398">IF(OR($CE87="",BQ87=""),"",BQ87/$CE87)</f>
        <v>0.52614412418221734</v>
      </c>
      <c r="CH87" s="13">
        <f t="shared" si="398"/>
        <v>7.339497049825559E-3</v>
      </c>
      <c r="CI87" s="13">
        <f t="shared" si="398"/>
        <v>0.13685768683669289</v>
      </c>
      <c r="CJ87" s="13">
        <f t="shared" si="398"/>
        <v>0</v>
      </c>
      <c r="CK87" s="13">
        <f t="shared" si="398"/>
        <v>3.9921880794299418E-2</v>
      </c>
      <c r="CL87" s="13">
        <f t="shared" si="398"/>
        <v>2.8741018303449311E-2</v>
      </c>
      <c r="CM87" s="13">
        <f t="shared" si="398"/>
        <v>1.6776621459285369E-2</v>
      </c>
      <c r="CN87" s="13">
        <f t="shared" si="398"/>
        <v>0</v>
      </c>
      <c r="CO87" s="13">
        <f t="shared" si="398"/>
        <v>6.8803330783326705E-2</v>
      </c>
      <c r="CP87" s="13">
        <f t="shared" si="398"/>
        <v>7.0445633739103036E-2</v>
      </c>
      <c r="CQ87" s="13">
        <f t="shared" si="398"/>
        <v>1.1823101094376256E-2</v>
      </c>
      <c r="CR87" s="13">
        <f t="shared" si="397"/>
        <v>7.1049929035714411E-4</v>
      </c>
      <c r="CS87" s="13">
        <f t="shared" si="397"/>
        <v>0</v>
      </c>
      <c r="CT87" s="13">
        <f t="shared" si="397"/>
        <v>0.1379542462298016</v>
      </c>
      <c r="CU87" s="12">
        <f t="shared" si="326"/>
        <v>0.99999999999999978</v>
      </c>
      <c r="CV87" s="26"/>
      <c r="CW87" s="23">
        <f t="shared" si="327"/>
        <v>0.78217428587211724</v>
      </c>
      <c r="CX87" s="13">
        <f t="shared" si="328"/>
        <v>1.0911013921386381E-2</v>
      </c>
      <c r="CY87" s="13">
        <f t="shared" si="329"/>
        <v>0.27127310698751217</v>
      </c>
      <c r="CZ87" s="13">
        <f t="shared" si="330"/>
        <v>0</v>
      </c>
      <c r="DA87" s="13">
        <f t="shared" si="331"/>
        <v>0.17270194986072424</v>
      </c>
      <c r="DB87" s="13">
        <f t="shared" si="332"/>
        <v>8.5453716704255514E-2</v>
      </c>
      <c r="DC87" s="24">
        <f t="shared" si="333"/>
        <v>3.3253859050272436E-2</v>
      </c>
      <c r="DD87" s="13">
        <f t="shared" si="334"/>
        <v>0</v>
      </c>
      <c r="DE87" s="13">
        <f t="shared" si="335"/>
        <v>0.20456826807566394</v>
      </c>
      <c r="DF87" s="13">
        <f t="shared" si="336"/>
        <v>0.20945121585586243</v>
      </c>
      <c r="DG87" s="13">
        <f t="shared" si="337"/>
        <v>7.0305646154739679E-2</v>
      </c>
      <c r="DH87" s="13">
        <f t="shared" si="338"/>
        <v>4.2249585199608166E-3</v>
      </c>
      <c r="DI87" s="13">
        <f t="shared" si="339"/>
        <v>0</v>
      </c>
      <c r="DJ87" s="13">
        <f t="shared" si="382"/>
        <v>0.8203399720222001</v>
      </c>
      <c r="DK87" s="12">
        <f t="shared" si="383"/>
        <v>2.5459504172701672</v>
      </c>
      <c r="DL87" s="26"/>
      <c r="DM87" s="23">
        <f t="shared" si="154"/>
        <v>0.30722290605752817</v>
      </c>
      <c r="DN87" s="13">
        <f t="shared" si="154"/>
        <v>4.2856348840781622E-3</v>
      </c>
      <c r="DO87" s="13">
        <f t="shared" si="154"/>
        <v>0.10655082092226215</v>
      </c>
      <c r="DP87" s="13">
        <f t="shared" si="154"/>
        <v>0</v>
      </c>
      <c r="DQ87" s="13">
        <f t="shared" si="154"/>
        <v>6.783398006859051E-2</v>
      </c>
      <c r="DR87" s="13">
        <f t="shared" si="295"/>
        <v>3.3564564386089325E-2</v>
      </c>
      <c r="DS87" s="13">
        <f t="shared" si="295"/>
        <v>1.3061471592179736E-2</v>
      </c>
      <c r="DT87" s="13">
        <f t="shared" si="295"/>
        <v>0</v>
      </c>
      <c r="DU87" s="13">
        <f t="shared" si="295"/>
        <v>8.0350452502137584E-2</v>
      </c>
      <c r="DV87" s="13">
        <f t="shared" si="295"/>
        <v>8.2268379790538637E-2</v>
      </c>
      <c r="DW87" s="13">
        <f t="shared" si="295"/>
        <v>2.7614695744987518E-2</v>
      </c>
      <c r="DX87" s="13">
        <f t="shared" si="295"/>
        <v>1.6594818545173887E-3</v>
      </c>
      <c r="DY87" s="13">
        <f t="shared" si="295"/>
        <v>0</v>
      </c>
      <c r="DZ87" s="13">
        <f t="shared" si="295"/>
        <v>0.3222136481753598</v>
      </c>
      <c r="EA87" s="12">
        <f t="shared" si="340"/>
        <v>1</v>
      </c>
      <c r="EB87" s="26"/>
      <c r="EC87" s="30">
        <f t="shared" si="341"/>
        <v>1323</v>
      </c>
      <c r="ED87" s="14">
        <f t="shared" si="342"/>
        <v>100000</v>
      </c>
      <c r="EE87" s="29"/>
      <c r="EF87" s="128">
        <f t="shared" si="394"/>
        <v>-8.7342365835222964</v>
      </c>
      <c r="EG87" s="13">
        <f t="shared" si="384"/>
        <v>1.5</v>
      </c>
      <c r="EH87" s="13">
        <f t="shared" si="385"/>
        <v>0.74926606198035017</v>
      </c>
      <c r="EI87" s="12">
        <f t="shared" si="343"/>
        <v>5.3414996220710531</v>
      </c>
      <c r="EJ87" s="29"/>
      <c r="EK87" s="28">
        <f t="shared" si="386"/>
        <v>-1.6372688815341114</v>
      </c>
      <c r="EL87" s="24">
        <f t="shared" si="344"/>
        <v>-0.71092873709687865</v>
      </c>
      <c r="EM87" s="24">
        <f t="shared" si="387"/>
        <v>0.19451054887481584</v>
      </c>
      <c r="EN87" s="24">
        <f t="shared" si="345"/>
        <v>4.476567941876089E-2</v>
      </c>
      <c r="EO87" s="24">
        <f t="shared" si="346"/>
        <v>8.7073968744972273E-3</v>
      </c>
      <c r="EP87" s="24">
        <f t="shared" si="347"/>
        <v>0.28006853054996</v>
      </c>
      <c r="EQ87" s="24">
        <f t="shared" si="348"/>
        <v>-1.6369512628073479</v>
      </c>
      <c r="ER87" s="24">
        <f t="shared" si="349"/>
        <v>-20.109295756269134</v>
      </c>
      <c r="ES87" s="25">
        <f t="shared" si="350"/>
        <v>-8.7317827860482566</v>
      </c>
      <c r="ET87" s="26">
        <v>7.8</v>
      </c>
      <c r="EU87" s="26">
        <v>0.29083888041780526</v>
      </c>
      <c r="EV87" s="26">
        <v>0.47317855631842309</v>
      </c>
      <c r="EW87" s="26">
        <v>0.28006853054996</v>
      </c>
      <c r="EX87" s="26">
        <v>0.47025843339068296</v>
      </c>
      <c r="EY87" s="26">
        <f t="shared" si="388"/>
        <v>0.99382870823551217</v>
      </c>
      <c r="EZ87" s="26">
        <f t="shared" si="389"/>
        <v>1.0384561230306595</v>
      </c>
      <c r="FA87" s="23">
        <f t="shared" si="395"/>
        <v>-1.3584788515138584</v>
      </c>
      <c r="FB87" s="190">
        <f t="shared" si="351"/>
        <v>4.1966416068768608E-2</v>
      </c>
      <c r="FC87" s="124">
        <v>6.2646889236044334E-2</v>
      </c>
      <c r="FD87" s="26"/>
      <c r="FE87" s="27">
        <f t="shared" si="352"/>
        <v>0.88818423022188309</v>
      </c>
      <c r="FF87" s="26"/>
      <c r="FG87" s="23">
        <f t="shared" si="282"/>
        <v>-5.2063589177254492</v>
      </c>
      <c r="FH87" s="13">
        <f t="shared" si="353"/>
        <v>13.016800707043437</v>
      </c>
      <c r="FI87" s="13">
        <f t="shared" si="283"/>
        <v>-21.845149910644157</v>
      </c>
      <c r="FJ87" s="13">
        <f t="shared" si="284"/>
        <v>-0.15433637639031872</v>
      </c>
      <c r="FK87" s="12">
        <f t="shared" si="354"/>
        <v>0.4614923124264918</v>
      </c>
      <c r="FL87" s="13"/>
      <c r="FM87" s="23">
        <f t="shared" si="285"/>
        <v>-6.0907707710126635</v>
      </c>
      <c r="FN87" s="13">
        <f t="shared" si="286"/>
        <v>11.170783347363439</v>
      </c>
      <c r="FO87" s="13">
        <f t="shared" si="287"/>
        <v>11.694905150826571</v>
      </c>
      <c r="FP87" s="24">
        <f t="shared" si="288"/>
        <v>0.38309105893963036</v>
      </c>
      <c r="FQ87" s="25">
        <f t="shared" si="289"/>
        <v>0.67489004533524466</v>
      </c>
      <c r="FR87" s="13"/>
      <c r="FS87" s="23">
        <f t="shared" si="355"/>
        <v>11.29655343019013</v>
      </c>
      <c r="FT87" s="13">
        <f t="shared" si="356"/>
        <v>-6.1201922780293856</v>
      </c>
      <c r="FU87" s="13">
        <f t="shared" si="290"/>
        <v>-5.1727458825077122E-2</v>
      </c>
      <c r="FV87" s="13">
        <f t="shared" si="357"/>
        <v>0.47025843339068296</v>
      </c>
      <c r="FW87" s="23">
        <f t="shared" si="291"/>
        <v>-5.180999850761836E-2</v>
      </c>
      <c r="FX87" s="13">
        <f t="shared" si="292"/>
        <v>0.47021108811267953</v>
      </c>
      <c r="FY87" s="13">
        <f t="shared" si="293"/>
        <v>-5.1777647789553072E-2</v>
      </c>
      <c r="FZ87" s="13">
        <f t="shared" si="390"/>
        <v>0.4702296446230072</v>
      </c>
      <c r="GA87" s="13">
        <f t="shared" si="294"/>
        <v>-5.1818312944501344E-2</v>
      </c>
      <c r="GB87" s="12">
        <f t="shared" si="391"/>
        <v>0.47020631892940223</v>
      </c>
      <c r="GC87" s="22"/>
      <c r="GD87" s="11">
        <f t="shared" si="358"/>
        <v>1.5</v>
      </c>
      <c r="GE87" s="10">
        <f t="shared" si="359"/>
        <v>0.74926606198035017</v>
      </c>
      <c r="GF87" s="10">
        <f t="shared" si="360"/>
        <v>5.3414996220710531</v>
      </c>
      <c r="GG87" s="5">
        <f t="shared" si="361"/>
        <v>-8.7342365835222964</v>
      </c>
      <c r="GH87" s="10">
        <f t="shared" si="362"/>
        <v>0.28006853054996</v>
      </c>
      <c r="GI87" s="9">
        <f t="shared" si="276"/>
        <v>11.29655343019013</v>
      </c>
      <c r="GJ87" s="8">
        <f t="shared" si="277"/>
        <v>-6.1201922780293856</v>
      </c>
      <c r="GK87" s="8">
        <f t="shared" si="392"/>
        <v>0.47025843339068296</v>
      </c>
      <c r="GL87" s="7">
        <f t="shared" si="393"/>
        <v>0.47021108811267953</v>
      </c>
      <c r="GM87" s="6">
        <f t="shared" si="278"/>
        <v>0.38309105893963036</v>
      </c>
      <c r="GN87" s="5">
        <f t="shared" si="279"/>
        <v>0.67489004533524466</v>
      </c>
      <c r="GO87" s="4">
        <f t="shared" si="280"/>
        <v>0.4614923124264918</v>
      </c>
      <c r="GP87" s="4">
        <f t="shared" si="363"/>
        <v>0.88818423022188309</v>
      </c>
      <c r="GQ87" s="4">
        <f t="shared" si="364"/>
        <v>4.1966416068768608E-2</v>
      </c>
      <c r="GR87" s="1"/>
    </row>
    <row r="88" spans="1:200" x14ac:dyDescent="0.4">
      <c r="A88" s="32"/>
      <c r="B88" s="33"/>
      <c r="C88" s="33"/>
      <c r="D88" s="32"/>
      <c r="E88" s="32"/>
      <c r="F88" s="20" t="s">
        <v>84</v>
      </c>
      <c r="G88" s="19">
        <v>1050</v>
      </c>
      <c r="H88" s="18">
        <v>1E-4</v>
      </c>
      <c r="I88" s="17">
        <v>1.5</v>
      </c>
      <c r="J88" s="16">
        <v>49.6</v>
      </c>
      <c r="K88" s="16">
        <v>0.92</v>
      </c>
      <c r="L88" s="16">
        <v>14.6</v>
      </c>
      <c r="M88" s="16">
        <v>0</v>
      </c>
      <c r="N88" s="16">
        <v>9</v>
      </c>
      <c r="O88" s="16">
        <v>0</v>
      </c>
      <c r="P88" s="16">
        <v>8.6999999999999993</v>
      </c>
      <c r="Q88" s="16">
        <v>12.4</v>
      </c>
      <c r="R88" s="16">
        <v>2.2999999999999998</v>
      </c>
      <c r="S88" s="16">
        <v>0.21</v>
      </c>
      <c r="T88" s="16">
        <v>0</v>
      </c>
      <c r="U88" s="15">
        <v>7.9</v>
      </c>
      <c r="V88" s="16"/>
      <c r="W88" s="28">
        <f t="shared" si="365"/>
        <v>46.956357095522101</v>
      </c>
      <c r="X88" s="24">
        <f t="shared" si="156"/>
        <v>0.87096468806210359</v>
      </c>
      <c r="Y88" s="24">
        <f t="shared" si="156"/>
        <v>13.821830919246425</v>
      </c>
      <c r="Z88" s="24">
        <f t="shared" si="156"/>
        <v>0</v>
      </c>
      <c r="AA88" s="24">
        <f t="shared" si="156"/>
        <v>8.5203067310423162</v>
      </c>
      <c r="AB88" s="24">
        <f t="shared" si="156"/>
        <v>0</v>
      </c>
      <c r="AC88" s="24">
        <f t="shared" si="396"/>
        <v>8.236296506674238</v>
      </c>
      <c r="AD88" s="24">
        <f t="shared" si="396"/>
        <v>11.739089273880525</v>
      </c>
      <c r="AE88" s="24">
        <f t="shared" si="396"/>
        <v>2.1774117201552587</v>
      </c>
      <c r="AF88" s="24">
        <f t="shared" si="396"/>
        <v>0.19880715705765406</v>
      </c>
      <c r="AG88" s="24">
        <f t="shared" si="396"/>
        <v>0</v>
      </c>
      <c r="AH88" s="24">
        <f t="shared" si="396"/>
        <v>7.4789359083593672</v>
      </c>
      <c r="AI88" s="14">
        <f t="shared" si="366"/>
        <v>99.999999999999986</v>
      </c>
      <c r="AJ88" s="26"/>
      <c r="AK88" s="50">
        <f t="shared" si="367"/>
        <v>0.78143380089069892</v>
      </c>
      <c r="AL88" s="47">
        <f t="shared" si="368"/>
        <v>1.0900684456346727E-2</v>
      </c>
      <c r="AM88" s="47">
        <f t="shared" si="369"/>
        <v>0.13556130756420581</v>
      </c>
      <c r="AN88" s="49">
        <f t="shared" si="370"/>
        <v>0</v>
      </c>
      <c r="AO88" s="49">
        <f t="shared" si="371"/>
        <v>0.11858464483009487</v>
      </c>
      <c r="AP88" s="47">
        <f t="shared" si="372"/>
        <v>0</v>
      </c>
      <c r="AQ88" s="47">
        <f t="shared" si="373"/>
        <v>0.20427322685203964</v>
      </c>
      <c r="AR88" s="47">
        <f t="shared" si="374"/>
        <v>0.20932755481242021</v>
      </c>
      <c r="AS88" s="47">
        <f t="shared" si="375"/>
        <v>3.5130876414250709E-2</v>
      </c>
      <c r="AT88" s="47">
        <f t="shared" si="376"/>
        <v>2.1104793742850749E-3</v>
      </c>
      <c r="AU88" s="47">
        <f t="shared" si="377"/>
        <v>0</v>
      </c>
      <c r="AV88" s="47">
        <f t="shared" si="378"/>
        <v>0.41503528903215137</v>
      </c>
      <c r="AW88" s="47">
        <f t="shared" si="379"/>
        <v>1.9123578642264933</v>
      </c>
      <c r="AX88" s="47">
        <f t="shared" si="380"/>
        <v>8.538549085128104E-2</v>
      </c>
      <c r="AY88" s="46">
        <f t="shared" si="381"/>
        <v>1.6604850163300169E-2</v>
      </c>
      <c r="AZ88" s="26"/>
      <c r="BA88" s="23">
        <f t="shared" si="296"/>
        <v>0.4086232056816268</v>
      </c>
      <c r="BB88" s="13">
        <f t="shared" si="297"/>
        <v>5.7001279207518065E-3</v>
      </c>
      <c r="BC88" s="13">
        <f t="shared" si="298"/>
        <v>7.088699772154694E-2</v>
      </c>
      <c r="BD88" s="13">
        <f t="shared" si="299"/>
        <v>0</v>
      </c>
      <c r="BE88" s="13">
        <f t="shared" si="300"/>
        <v>6.2009651565952978E-2</v>
      </c>
      <c r="BF88" s="13">
        <f t="shared" si="301"/>
        <v>4.4649326597570475E-2</v>
      </c>
      <c r="BG88" s="13">
        <f t="shared" si="302"/>
        <v>8.6829199042285244E-3</v>
      </c>
      <c r="BH88" s="13">
        <f t="shared" si="303"/>
        <v>0</v>
      </c>
      <c r="BI88" s="13">
        <f t="shared" si="304"/>
        <v>0.10681746898594403</v>
      </c>
      <c r="BJ88" s="13">
        <f t="shared" si="305"/>
        <v>0.10946045127232951</v>
      </c>
      <c r="BK88" s="13">
        <f t="shared" si="306"/>
        <v>1.8370450986934066E-2</v>
      </c>
      <c r="BL88" s="13">
        <f t="shared" si="307"/>
        <v>1.1036006459694287E-3</v>
      </c>
      <c r="BM88" s="13">
        <f t="shared" si="308"/>
        <v>0</v>
      </c>
      <c r="BN88" s="13">
        <f t="shared" si="309"/>
        <v>0.21702804521894442</v>
      </c>
      <c r="BO88" s="12">
        <f t="shared" si="310"/>
        <v>0.78297195478105552</v>
      </c>
      <c r="BP88" s="13"/>
      <c r="BQ88" s="23">
        <f t="shared" si="311"/>
        <v>1.5628676017813978</v>
      </c>
      <c r="BR88" s="13">
        <f t="shared" si="312"/>
        <v>2.1801368912693454E-2</v>
      </c>
      <c r="BS88" s="13">
        <f t="shared" si="313"/>
        <v>0.40652443880136546</v>
      </c>
      <c r="BT88" s="13">
        <f t="shared" si="314"/>
        <v>0</v>
      </c>
      <c r="BU88" s="13">
        <f t="shared" si="315"/>
        <v>0.11858464483009487</v>
      </c>
      <c r="BV88" s="13">
        <f t="shared" si="316"/>
        <v>8.538549085128104E-2</v>
      </c>
      <c r="BW88" s="24">
        <f t="shared" si="317"/>
        <v>4.9814550489900508E-2</v>
      </c>
      <c r="BX88" s="13">
        <f t="shared" si="318"/>
        <v>0</v>
      </c>
      <c r="BY88" s="13">
        <f t="shared" si="319"/>
        <v>0.20437460314328135</v>
      </c>
      <c r="BZ88" s="13">
        <f t="shared" si="320"/>
        <v>0.20925292823316444</v>
      </c>
      <c r="CA88" s="13">
        <f t="shared" si="321"/>
        <v>3.5119543873471916E-2</v>
      </c>
      <c r="CB88" s="13">
        <f t="shared" si="322"/>
        <v>2.1104793742850749E-3</v>
      </c>
      <c r="CC88" s="13">
        <f t="shared" si="323"/>
        <v>0</v>
      </c>
      <c r="CD88" s="13">
        <f t="shared" si="324"/>
        <v>0.41503528903215137</v>
      </c>
      <c r="CE88" s="12">
        <f t="shared" si="325"/>
        <v>2.9756708979819058</v>
      </c>
      <c r="CF88" s="13"/>
      <c r="CG88" s="23">
        <f t="shared" si="398"/>
        <v>0.52521520536472355</v>
      </c>
      <c r="CH88" s="13">
        <f t="shared" si="398"/>
        <v>7.3265390092295156E-3</v>
      </c>
      <c r="CI88" s="13">
        <f t="shared" si="398"/>
        <v>0.1366160616340569</v>
      </c>
      <c r="CJ88" s="13">
        <f t="shared" si="398"/>
        <v>0</v>
      </c>
      <c r="CK88" s="13">
        <f t="shared" si="398"/>
        <v>3.9851397851327831E-2</v>
      </c>
      <c r="CL88" s="13">
        <f t="shared" si="398"/>
        <v>2.8694534368430769E-2</v>
      </c>
      <c r="CM88" s="13">
        <f t="shared" si="398"/>
        <v>1.674061151173829E-2</v>
      </c>
      <c r="CN88" s="13">
        <f t="shared" si="398"/>
        <v>0</v>
      </c>
      <c r="CO88" s="13">
        <f t="shared" si="398"/>
        <v>6.8681857016475778E-2</v>
      </c>
      <c r="CP88" s="13">
        <f t="shared" si="398"/>
        <v>7.0321260450905157E-2</v>
      </c>
      <c r="CQ88" s="13">
        <f t="shared" si="398"/>
        <v>1.1802227153980611E-2</v>
      </c>
      <c r="CR88" s="13">
        <f t="shared" si="397"/>
        <v>7.0924488851115824E-4</v>
      </c>
      <c r="CS88" s="13">
        <f t="shared" si="397"/>
        <v>0</v>
      </c>
      <c r="CT88" s="13">
        <f t="shared" si="397"/>
        <v>0.13947620663078955</v>
      </c>
      <c r="CU88" s="12">
        <f t="shared" si="326"/>
        <v>1.0000000000000002</v>
      </c>
      <c r="CV88" s="26"/>
      <c r="CW88" s="23">
        <f t="shared" si="327"/>
        <v>0.78143380089069892</v>
      </c>
      <c r="CX88" s="13">
        <f t="shared" si="328"/>
        <v>1.0900684456346727E-2</v>
      </c>
      <c r="CY88" s="13">
        <f t="shared" si="329"/>
        <v>0.27101629253424364</v>
      </c>
      <c r="CZ88" s="13">
        <f t="shared" si="330"/>
        <v>0</v>
      </c>
      <c r="DA88" s="13">
        <f t="shared" si="331"/>
        <v>0.17270194986072424</v>
      </c>
      <c r="DB88" s="13">
        <f t="shared" si="332"/>
        <v>8.538549085128104E-2</v>
      </c>
      <c r="DC88" s="24">
        <f t="shared" si="333"/>
        <v>3.3209700326600339E-2</v>
      </c>
      <c r="DD88" s="13">
        <f t="shared" si="334"/>
        <v>0</v>
      </c>
      <c r="DE88" s="13">
        <f t="shared" si="335"/>
        <v>0.20437460314328135</v>
      </c>
      <c r="DF88" s="13">
        <f t="shared" si="336"/>
        <v>0.20925292823316444</v>
      </c>
      <c r="DG88" s="13">
        <f t="shared" si="337"/>
        <v>7.0239087746943832E-2</v>
      </c>
      <c r="DH88" s="13">
        <f t="shared" si="338"/>
        <v>4.2209587485701498E-3</v>
      </c>
      <c r="DI88" s="13">
        <f t="shared" si="339"/>
        <v>0</v>
      </c>
      <c r="DJ88" s="13">
        <f t="shared" si="382"/>
        <v>0.83007057806430273</v>
      </c>
      <c r="DK88" s="12">
        <f t="shared" si="383"/>
        <v>2.5542108836782766</v>
      </c>
      <c r="DL88" s="26"/>
      <c r="DM88" s="23">
        <f t="shared" si="154"/>
        <v>0.30593942179330513</v>
      </c>
      <c r="DN88" s="13">
        <f t="shared" si="154"/>
        <v>4.2677307993648642E-3</v>
      </c>
      <c r="DO88" s="13">
        <f t="shared" si="154"/>
        <v>0.10610568385957136</v>
      </c>
      <c r="DP88" s="13">
        <f t="shared" si="154"/>
        <v>0</v>
      </c>
      <c r="DQ88" s="13">
        <f t="shared" si="154"/>
        <v>6.7614601035611843E-2</v>
      </c>
      <c r="DR88" s="13">
        <f t="shared" si="295"/>
        <v>3.3429303506967607E-2</v>
      </c>
      <c r="DS88" s="13">
        <f t="shared" si="295"/>
        <v>1.3001941436713167E-2</v>
      </c>
      <c r="DT88" s="13">
        <f t="shared" si="295"/>
        <v>0</v>
      </c>
      <c r="DU88" s="13">
        <f t="shared" si="295"/>
        <v>8.0014772644365559E-2</v>
      </c>
      <c r="DV88" s="13">
        <f t="shared" si="295"/>
        <v>8.1924687413367669E-2</v>
      </c>
      <c r="DW88" s="13">
        <f t="shared" si="295"/>
        <v>2.7499329908810696E-2</v>
      </c>
      <c r="DX88" s="13">
        <f t="shared" si="295"/>
        <v>1.652549041875359E-3</v>
      </c>
      <c r="DY88" s="13">
        <f t="shared" si="295"/>
        <v>0</v>
      </c>
      <c r="DZ88" s="13">
        <f t="shared" si="295"/>
        <v>0.32498122350372727</v>
      </c>
      <c r="EA88" s="12">
        <f t="shared" si="340"/>
        <v>1</v>
      </c>
      <c r="EB88" s="26"/>
      <c r="EC88" s="30">
        <f t="shared" si="341"/>
        <v>1323</v>
      </c>
      <c r="ED88" s="14">
        <f t="shared" si="342"/>
        <v>100000</v>
      </c>
      <c r="EE88" s="29"/>
      <c r="EF88" s="128">
        <f t="shared" si="394"/>
        <v>-8.7342365835222964</v>
      </c>
      <c r="EG88" s="13">
        <f t="shared" si="384"/>
        <v>1.5</v>
      </c>
      <c r="EH88" s="13">
        <f t="shared" si="385"/>
        <v>0.74926606198035017</v>
      </c>
      <c r="EI88" s="12">
        <f t="shared" si="343"/>
        <v>5.3414996220710531</v>
      </c>
      <c r="EJ88" s="29"/>
      <c r="EK88" s="28">
        <f t="shared" si="386"/>
        <v>-1.6377989775335176</v>
      </c>
      <c r="EL88" s="24">
        <f t="shared" si="344"/>
        <v>-0.71115891338841408</v>
      </c>
      <c r="EM88" s="24">
        <f t="shared" si="387"/>
        <v>0.19440746693509081</v>
      </c>
      <c r="EN88" s="24">
        <f t="shared" si="345"/>
        <v>4.4649326597570475E-2</v>
      </c>
      <c r="EO88" s="24">
        <f t="shared" si="346"/>
        <v>8.680162484191253E-3</v>
      </c>
      <c r="EP88" s="24">
        <f t="shared" si="347"/>
        <v>0.27996165967677145</v>
      </c>
      <c r="EQ88" s="24">
        <f t="shared" si="348"/>
        <v>-1.6374813588067538</v>
      </c>
      <c r="ER88" s="24">
        <f t="shared" si="349"/>
        <v>-20.109295756269134</v>
      </c>
      <c r="ES88" s="25">
        <f t="shared" si="350"/>
        <v>-8.7317827860482566</v>
      </c>
      <c r="ET88" s="26">
        <v>7.9</v>
      </c>
      <c r="EU88" s="26">
        <v>0.29083888041780526</v>
      </c>
      <c r="EV88" s="26">
        <v>0.47540660603342721</v>
      </c>
      <c r="EW88" s="26">
        <v>0.27996165967677145</v>
      </c>
      <c r="EX88" s="26">
        <v>0.47246457575459444</v>
      </c>
      <c r="EY88" s="26">
        <f t="shared" si="388"/>
        <v>0.99381154943685002</v>
      </c>
      <c r="EZ88" s="26">
        <f t="shared" si="389"/>
        <v>1.0388525369995023</v>
      </c>
      <c r="FA88" s="23">
        <f t="shared" si="395"/>
        <v>-1.3603205936532277</v>
      </c>
      <c r="FB88" s="190">
        <f t="shared" si="351"/>
        <v>4.1796245786931641E-2</v>
      </c>
      <c r="FC88" s="124">
        <v>6.2646889236044334E-2</v>
      </c>
      <c r="FD88" s="26"/>
      <c r="FE88" s="27">
        <f t="shared" si="352"/>
        <v>0.88818423022188309</v>
      </c>
      <c r="FF88" s="26"/>
      <c r="FG88" s="23">
        <f t="shared" si="282"/>
        <v>-5.220828873562783</v>
      </c>
      <c r="FH88" s="13">
        <f t="shared" si="353"/>
        <v>12.995605633004693</v>
      </c>
      <c r="FI88" s="13">
        <f t="shared" si="283"/>
        <v>-21.845149910644157</v>
      </c>
      <c r="FJ88" s="13">
        <f t="shared" si="284"/>
        <v>-0.1610614945917348</v>
      </c>
      <c r="FK88" s="12">
        <f t="shared" si="354"/>
        <v>0.45982144416393189</v>
      </c>
      <c r="FL88" s="13"/>
      <c r="FM88" s="23">
        <f t="shared" si="285"/>
        <v>-6.0913877777838881</v>
      </c>
      <c r="FN88" s="13">
        <f t="shared" si="286"/>
        <v>11.167226748307712</v>
      </c>
      <c r="FO88" s="13">
        <f t="shared" si="287"/>
        <v>11.69141799512218</v>
      </c>
      <c r="FP88" s="24">
        <f t="shared" si="288"/>
        <v>0.38149267656228425</v>
      </c>
      <c r="FQ88" s="25">
        <f t="shared" si="289"/>
        <v>0.6734383212577304</v>
      </c>
      <c r="FR88" s="13"/>
      <c r="FS88" s="23">
        <f t="shared" si="355"/>
        <v>11.301895297163014</v>
      </c>
      <c r="FT88" s="13">
        <f t="shared" si="356"/>
        <v>-6.1186954935806233</v>
      </c>
      <c r="FU88" s="13">
        <f t="shared" si="290"/>
        <v>-4.7882376300954377E-2</v>
      </c>
      <c r="FV88" s="13">
        <f t="shared" si="357"/>
        <v>0.47246457575459444</v>
      </c>
      <c r="FW88" s="23">
        <f t="shared" si="291"/>
        <v>-4.7964915983495615E-2</v>
      </c>
      <c r="FX88" s="13">
        <f t="shared" si="292"/>
        <v>0.47241720644133356</v>
      </c>
      <c r="FY88" s="13">
        <f t="shared" si="293"/>
        <v>-4.7932565265430327E-2</v>
      </c>
      <c r="FZ88" s="13">
        <f t="shared" si="390"/>
        <v>0.4724357723767747</v>
      </c>
      <c r="GA88" s="13">
        <f t="shared" si="294"/>
        <v>-4.7973230420378599E-2</v>
      </c>
      <c r="GB88" s="12">
        <f t="shared" si="391"/>
        <v>0.47241243483473516</v>
      </c>
      <c r="GC88" s="22"/>
      <c r="GD88" s="11">
        <f t="shared" si="358"/>
        <v>1.5</v>
      </c>
      <c r="GE88" s="10">
        <f t="shared" si="359"/>
        <v>0.74926606198035017</v>
      </c>
      <c r="GF88" s="10">
        <f t="shared" si="360"/>
        <v>5.3414996220710531</v>
      </c>
      <c r="GG88" s="5">
        <f t="shared" si="361"/>
        <v>-8.7342365835222964</v>
      </c>
      <c r="GH88" s="10">
        <f t="shared" si="362"/>
        <v>0.27996165967677145</v>
      </c>
      <c r="GI88" s="9">
        <f t="shared" si="276"/>
        <v>11.301895297163014</v>
      </c>
      <c r="GJ88" s="8">
        <f t="shared" si="277"/>
        <v>-6.1186954935806233</v>
      </c>
      <c r="GK88" s="8">
        <f t="shared" si="392"/>
        <v>0.47246457575459444</v>
      </c>
      <c r="GL88" s="7">
        <f t="shared" si="393"/>
        <v>0.47241720644133356</v>
      </c>
      <c r="GM88" s="6">
        <f t="shared" si="278"/>
        <v>0.38149267656228425</v>
      </c>
      <c r="GN88" s="5">
        <f t="shared" si="279"/>
        <v>0.6734383212577304</v>
      </c>
      <c r="GO88" s="4">
        <f t="shared" si="280"/>
        <v>0.45982144416393189</v>
      </c>
      <c r="GP88" s="4">
        <f t="shared" si="363"/>
        <v>0.88818423022188309</v>
      </c>
      <c r="GQ88" s="4">
        <f t="shared" si="364"/>
        <v>4.1796245786931641E-2</v>
      </c>
      <c r="GR88" s="1"/>
    </row>
    <row r="89" spans="1:200" x14ac:dyDescent="0.4">
      <c r="A89" s="32"/>
      <c r="B89" s="33"/>
      <c r="C89" s="33"/>
      <c r="D89" s="32"/>
      <c r="E89" s="32"/>
      <c r="F89" s="20" t="s">
        <v>84</v>
      </c>
      <c r="G89" s="19">
        <v>1050</v>
      </c>
      <c r="H89" s="18">
        <v>1E-4</v>
      </c>
      <c r="I89" s="17">
        <v>1.5</v>
      </c>
      <c r="J89" s="16">
        <v>49.6</v>
      </c>
      <c r="K89" s="16">
        <v>0.92</v>
      </c>
      <c r="L89" s="16">
        <v>14.6</v>
      </c>
      <c r="M89" s="16">
        <v>0</v>
      </c>
      <c r="N89" s="16">
        <v>9</v>
      </c>
      <c r="O89" s="16">
        <v>0</v>
      </c>
      <c r="P89" s="16">
        <v>8.6999999999999993</v>
      </c>
      <c r="Q89" s="16">
        <v>12.4</v>
      </c>
      <c r="R89" s="16">
        <v>2.2999999999999998</v>
      </c>
      <c r="S89" s="16">
        <v>0.21</v>
      </c>
      <c r="T89" s="16">
        <v>0</v>
      </c>
      <c r="U89" s="15">
        <v>8</v>
      </c>
      <c r="V89" s="16"/>
      <c r="W89" s="28">
        <f t="shared" si="365"/>
        <v>46.911945521611656</v>
      </c>
      <c r="X89" s="24">
        <f t="shared" si="156"/>
        <v>0.8701409249976354</v>
      </c>
      <c r="Y89" s="24">
        <f t="shared" si="156"/>
        <v>13.808758157571171</v>
      </c>
      <c r="Z89" s="24">
        <f t="shared" si="156"/>
        <v>0</v>
      </c>
      <c r="AA89" s="24">
        <f t="shared" si="156"/>
        <v>8.5122481793246934</v>
      </c>
      <c r="AB89" s="24">
        <f t="shared" si="156"/>
        <v>0</v>
      </c>
      <c r="AC89" s="24">
        <f t="shared" si="396"/>
        <v>8.2285065733472038</v>
      </c>
      <c r="AD89" s="24">
        <f t="shared" si="396"/>
        <v>11.727986380402914</v>
      </c>
      <c r="AE89" s="24">
        <f t="shared" si="396"/>
        <v>2.1753523124940886</v>
      </c>
      <c r="AF89" s="24">
        <f t="shared" si="396"/>
        <v>0.19861912418424288</v>
      </c>
      <c r="AG89" s="24">
        <f t="shared" si="396"/>
        <v>0</v>
      </c>
      <c r="AH89" s="24">
        <f t="shared" si="396"/>
        <v>7.5664428260663952</v>
      </c>
      <c r="AI89" s="14">
        <f t="shared" si="366"/>
        <v>100</v>
      </c>
      <c r="AJ89" s="26"/>
      <c r="AK89" s="50">
        <f t="shared" si="367"/>
        <v>0.78069471661859968</v>
      </c>
      <c r="AL89" s="47">
        <f t="shared" si="368"/>
        <v>1.0890374530633734E-2</v>
      </c>
      <c r="AM89" s="47">
        <f t="shared" si="369"/>
        <v>0.13543309295381692</v>
      </c>
      <c r="AN89" s="49">
        <f t="shared" si="370"/>
        <v>0</v>
      </c>
      <c r="AO89" s="49">
        <f t="shared" si="371"/>
        <v>0.11847248683820033</v>
      </c>
      <c r="AP89" s="47">
        <f t="shared" si="372"/>
        <v>0</v>
      </c>
      <c r="AQ89" s="47">
        <f t="shared" si="373"/>
        <v>0.20408002414055565</v>
      </c>
      <c r="AR89" s="47">
        <f t="shared" si="374"/>
        <v>0.2091295716904942</v>
      </c>
      <c r="AS89" s="47">
        <f t="shared" si="375"/>
        <v>3.5097649443273454E-2</v>
      </c>
      <c r="AT89" s="47">
        <f t="shared" si="376"/>
        <v>2.1084832715949349E-3</v>
      </c>
      <c r="AU89" s="47">
        <f t="shared" si="377"/>
        <v>0</v>
      </c>
      <c r="AV89" s="47">
        <f t="shared" si="378"/>
        <v>0.41989138879391763</v>
      </c>
      <c r="AW89" s="47">
        <f t="shared" si="379"/>
        <v>1.9157977882810866</v>
      </c>
      <c r="AX89" s="47">
        <f t="shared" si="380"/>
        <v>8.5317321750792652E-2</v>
      </c>
      <c r="AY89" s="46">
        <f t="shared" si="381"/>
        <v>1.6582848730639709E-2</v>
      </c>
      <c r="AZ89" s="26"/>
      <c r="BA89" s="23">
        <f t="shared" si="296"/>
        <v>0.40750371536813562</v>
      </c>
      <c r="BB89" s="13">
        <f t="shared" si="297"/>
        <v>5.684511485110815E-3</v>
      </c>
      <c r="BC89" s="13">
        <f t="shared" si="298"/>
        <v>7.0692791161081625E-2</v>
      </c>
      <c r="BD89" s="13">
        <f t="shared" si="299"/>
        <v>0</v>
      </c>
      <c r="BE89" s="13">
        <f t="shared" si="300"/>
        <v>6.1839765951759204E-2</v>
      </c>
      <c r="BF89" s="13">
        <f t="shared" si="301"/>
        <v>4.4533573570591713E-2</v>
      </c>
      <c r="BG89" s="13">
        <f t="shared" si="302"/>
        <v>8.655845012493911E-3</v>
      </c>
      <c r="BH89" s="13">
        <f t="shared" si="303"/>
        <v>0</v>
      </c>
      <c r="BI89" s="13">
        <f t="shared" si="304"/>
        <v>0.10652482500445029</v>
      </c>
      <c r="BJ89" s="13">
        <f t="shared" si="305"/>
        <v>0.10916056640723641</v>
      </c>
      <c r="BK89" s="13">
        <f t="shared" si="306"/>
        <v>1.8320122122473144E-2</v>
      </c>
      <c r="BL89" s="13">
        <f t="shared" si="307"/>
        <v>1.1005771509355023E-3</v>
      </c>
      <c r="BM89" s="13">
        <f t="shared" si="308"/>
        <v>0</v>
      </c>
      <c r="BN89" s="13">
        <f t="shared" si="309"/>
        <v>0.21917312534881736</v>
      </c>
      <c r="BO89" s="12">
        <f t="shared" si="310"/>
        <v>0.7808268746511825</v>
      </c>
      <c r="BP89" s="13"/>
      <c r="BQ89" s="23">
        <f t="shared" si="311"/>
        <v>1.5613894332371994</v>
      </c>
      <c r="BR89" s="13">
        <f t="shared" si="312"/>
        <v>2.1780749061267469E-2</v>
      </c>
      <c r="BS89" s="13">
        <f t="shared" si="313"/>
        <v>0.40613994581091678</v>
      </c>
      <c r="BT89" s="13">
        <f t="shared" si="314"/>
        <v>0</v>
      </c>
      <c r="BU89" s="13">
        <f t="shared" si="315"/>
        <v>0.11847248683820033</v>
      </c>
      <c r="BV89" s="13">
        <f t="shared" si="316"/>
        <v>8.5317321750792652E-2</v>
      </c>
      <c r="BW89" s="24">
        <f t="shared" si="317"/>
        <v>4.9748546191919124E-2</v>
      </c>
      <c r="BX89" s="13">
        <f t="shared" si="318"/>
        <v>0</v>
      </c>
      <c r="BY89" s="13">
        <f t="shared" si="319"/>
        <v>0.20418130454955843</v>
      </c>
      <c r="BZ89" s="13">
        <f t="shared" si="320"/>
        <v>0.20905501569345658</v>
      </c>
      <c r="CA89" s="13">
        <f t="shared" si="321"/>
        <v>3.5086327620872396E-2</v>
      </c>
      <c r="CB89" s="13">
        <f t="shared" si="322"/>
        <v>2.1084832715949349E-3</v>
      </c>
      <c r="CC89" s="13">
        <f t="shared" si="323"/>
        <v>0</v>
      </c>
      <c r="CD89" s="13">
        <f t="shared" si="324"/>
        <v>0.41989138879391763</v>
      </c>
      <c r="CE89" s="12">
        <f t="shared" si="325"/>
        <v>2.978105134876984</v>
      </c>
      <c r="CF89" s="13"/>
      <c r="CG89" s="23">
        <f t="shared" si="398"/>
        <v>0.52428956081891154</v>
      </c>
      <c r="CH89" s="13">
        <f t="shared" si="398"/>
        <v>7.3136266433948991E-3</v>
      </c>
      <c r="CI89" s="13">
        <f t="shared" si="398"/>
        <v>0.13637528811678207</v>
      </c>
      <c r="CJ89" s="13">
        <f t="shared" si="398"/>
        <v>0</v>
      </c>
      <c r="CK89" s="13">
        <f t="shared" si="398"/>
        <v>3.9781163348047502E-2</v>
      </c>
      <c r="CL89" s="13">
        <f t="shared" si="398"/>
        <v>2.8648190002303876E-2</v>
      </c>
      <c r="CM89" s="13">
        <f t="shared" si="398"/>
        <v>1.6704764922267957E-2</v>
      </c>
      <c r="CN89" s="13">
        <f t="shared" si="398"/>
        <v>0</v>
      </c>
      <c r="CO89" s="13">
        <f t="shared" si="398"/>
        <v>6.856081142279502E-2</v>
      </c>
      <c r="CP89" s="13">
        <f t="shared" si="398"/>
        <v>7.0197325556168449E-2</v>
      </c>
      <c r="CQ89" s="13">
        <f t="shared" si="398"/>
        <v>1.1781426790468799E-2</v>
      </c>
      <c r="CR89" s="13">
        <f t="shared" si="397"/>
        <v>7.0799490820596213E-4</v>
      </c>
      <c r="CS89" s="13">
        <f t="shared" si="397"/>
        <v>0</v>
      </c>
      <c r="CT89" s="13">
        <f t="shared" si="397"/>
        <v>0.14099280239522571</v>
      </c>
      <c r="CU89" s="12">
        <f t="shared" si="326"/>
        <v>0.99999999999999989</v>
      </c>
      <c r="CV89" s="26"/>
      <c r="CW89" s="23">
        <f t="shared" si="327"/>
        <v>0.78069471661859968</v>
      </c>
      <c r="CX89" s="13">
        <f t="shared" si="328"/>
        <v>1.0890374530633734E-2</v>
      </c>
      <c r="CY89" s="13">
        <f t="shared" si="329"/>
        <v>0.27075996387394452</v>
      </c>
      <c r="CZ89" s="13">
        <f t="shared" si="330"/>
        <v>0</v>
      </c>
      <c r="DA89" s="13">
        <f t="shared" si="331"/>
        <v>0.17270194986072424</v>
      </c>
      <c r="DB89" s="13">
        <f t="shared" si="332"/>
        <v>8.5317321750792652E-2</v>
      </c>
      <c r="DC89" s="24">
        <f t="shared" si="333"/>
        <v>3.3165697461279418E-2</v>
      </c>
      <c r="DD89" s="13">
        <f t="shared" si="334"/>
        <v>0</v>
      </c>
      <c r="DE89" s="13">
        <f t="shared" si="335"/>
        <v>0.20418130454955843</v>
      </c>
      <c r="DF89" s="13">
        <f t="shared" si="336"/>
        <v>0.20905501569345658</v>
      </c>
      <c r="DG89" s="13">
        <f t="shared" si="337"/>
        <v>7.0172655241744791E-2</v>
      </c>
      <c r="DH89" s="13">
        <f t="shared" si="338"/>
        <v>4.2169665431898698E-3</v>
      </c>
      <c r="DI89" s="13">
        <f t="shared" si="339"/>
        <v>0</v>
      </c>
      <c r="DJ89" s="13">
        <f t="shared" si="382"/>
        <v>0.83978277758783526</v>
      </c>
      <c r="DK89" s="12">
        <f t="shared" si="383"/>
        <v>2.5624557244996868</v>
      </c>
      <c r="DL89" s="26"/>
      <c r="DM89" s="23">
        <f t="shared" si="154"/>
        <v>0.30466661693092412</v>
      </c>
      <c r="DN89" s="13">
        <f t="shared" si="154"/>
        <v>4.2499756879741026E-3</v>
      </c>
      <c r="DO89" s="13">
        <f t="shared" si="154"/>
        <v>0.10566425061912425</v>
      </c>
      <c r="DP89" s="13">
        <f t="shared" si="154"/>
        <v>0</v>
      </c>
      <c r="DQ89" s="13">
        <f t="shared" si="154"/>
        <v>6.7397047375108834E-2</v>
      </c>
      <c r="DR89" s="13">
        <f t="shared" si="295"/>
        <v>3.3295139867226639E-2</v>
      </c>
      <c r="DS89" s="13">
        <f t="shared" si="295"/>
        <v>1.2942934835588209E-2</v>
      </c>
      <c r="DT89" s="13">
        <f t="shared" si="295"/>
        <v>0</v>
      </c>
      <c r="DU89" s="13">
        <f t="shared" si="295"/>
        <v>7.9681885855578768E-2</v>
      </c>
      <c r="DV89" s="13">
        <f t="shared" si="295"/>
        <v>8.158385477441725E-2</v>
      </c>
      <c r="DW89" s="13">
        <f t="shared" si="295"/>
        <v>2.7384923989446034E-2</v>
      </c>
      <c r="DX89" s="13">
        <f t="shared" si="295"/>
        <v>1.6456739146246994E-3</v>
      </c>
      <c r="DY89" s="13">
        <f t="shared" si="295"/>
        <v>0</v>
      </c>
      <c r="DZ89" s="13">
        <f t="shared" si="295"/>
        <v>0.32772577085280208</v>
      </c>
      <c r="EA89" s="12">
        <f t="shared" si="340"/>
        <v>1</v>
      </c>
      <c r="EB89" s="26"/>
      <c r="EC89" s="30">
        <f t="shared" si="341"/>
        <v>1323</v>
      </c>
      <c r="ED89" s="14">
        <f t="shared" si="342"/>
        <v>100000</v>
      </c>
      <c r="EE89" s="29"/>
      <c r="EF89" s="128">
        <f t="shared" si="394"/>
        <v>-8.7342365835222964</v>
      </c>
      <c r="EG89" s="13">
        <f t="shared" si="384"/>
        <v>1.5</v>
      </c>
      <c r="EH89" s="13">
        <f t="shared" si="385"/>
        <v>0.74926606198035017</v>
      </c>
      <c r="EI89" s="12">
        <f t="shared" si="343"/>
        <v>5.3414996220710531</v>
      </c>
      <c r="EJ89" s="29"/>
      <c r="EK89" s="28">
        <f t="shared" si="386"/>
        <v>-1.6383261689630009</v>
      </c>
      <c r="EL89" s="24">
        <f t="shared" si="344"/>
        <v>-0.71138782846851967</v>
      </c>
      <c r="EM89" s="24">
        <f t="shared" si="387"/>
        <v>0.1943050039958599</v>
      </c>
      <c r="EN89" s="24">
        <f t="shared" si="345"/>
        <v>4.4533573570591713E-2</v>
      </c>
      <c r="EO89" s="24">
        <f t="shared" si="346"/>
        <v>8.653096190583744E-3</v>
      </c>
      <c r="EP89" s="24">
        <f t="shared" si="347"/>
        <v>0.27985539910788043</v>
      </c>
      <c r="EQ89" s="24">
        <f t="shared" si="348"/>
        <v>-1.6380085502362369</v>
      </c>
      <c r="ER89" s="24">
        <f t="shared" si="349"/>
        <v>-20.10929575626913</v>
      </c>
      <c r="ES89" s="25">
        <f t="shared" si="350"/>
        <v>-8.7317827860482549</v>
      </c>
      <c r="ET89" s="26">
        <v>8</v>
      </c>
      <c r="EU89" s="26">
        <v>0.29083888041780526</v>
      </c>
      <c r="EV89" s="26">
        <v>0.47762702229943765</v>
      </c>
      <c r="EW89" s="26">
        <v>0.27985539910788043</v>
      </c>
      <c r="EX89" s="26">
        <v>0.47466347562839617</v>
      </c>
      <c r="EY89" s="26">
        <f t="shared" si="388"/>
        <v>0.99379527009009228</v>
      </c>
      <c r="EZ89" s="26">
        <f t="shared" si="389"/>
        <v>1.0392469873546761</v>
      </c>
      <c r="FA89" s="23">
        <f t="shared" si="395"/>
        <v>-1.3621522442830774</v>
      </c>
      <c r="FB89" s="190">
        <f t="shared" si="351"/>
        <v>4.1627662557510603E-2</v>
      </c>
      <c r="FC89" s="124">
        <v>6.2646889236044334E-2</v>
      </c>
      <c r="FD89" s="26"/>
      <c r="FE89" s="27">
        <f t="shared" si="352"/>
        <v>0.88818423022188309</v>
      </c>
      <c r="FF89" s="26"/>
      <c r="FG89" s="23">
        <f t="shared" si="282"/>
        <v>-5.2351779841813215</v>
      </c>
      <c r="FH89" s="13">
        <f t="shared" si="353"/>
        <v>12.974586563493641</v>
      </c>
      <c r="FI89" s="13">
        <f t="shared" si="283"/>
        <v>-21.845149910644157</v>
      </c>
      <c r="FJ89" s="13">
        <f t="shared" si="284"/>
        <v>-0.16773145348425089</v>
      </c>
      <c r="FK89" s="12">
        <f t="shared" si="354"/>
        <v>0.45816517186816741</v>
      </c>
      <c r="FL89" s="13"/>
      <c r="FM89" s="23">
        <f t="shared" si="285"/>
        <v>-6.0920030728460706</v>
      </c>
      <c r="FN89" s="13">
        <f t="shared" si="286"/>
        <v>11.16368268562368</v>
      </c>
      <c r="FO89" s="13">
        <f t="shared" si="287"/>
        <v>11.687943131014151</v>
      </c>
      <c r="FP89" s="24">
        <f t="shared" si="288"/>
        <v>0.37990272802110714</v>
      </c>
      <c r="FQ89" s="25">
        <f t="shared" si="289"/>
        <v>0.67198863509645679</v>
      </c>
      <c r="FR89" s="13"/>
      <c r="FS89" s="23">
        <f t="shared" si="355"/>
        <v>11.307218335016046</v>
      </c>
      <c r="FT89" s="13">
        <f t="shared" si="356"/>
        <v>-6.1172030505056423</v>
      </c>
      <c r="FU89" s="13">
        <f t="shared" si="290"/>
        <v>-4.40517815229029E-2</v>
      </c>
      <c r="FV89" s="13">
        <f t="shared" si="357"/>
        <v>0.47466347562839617</v>
      </c>
      <c r="FW89" s="23">
        <f t="shared" si="291"/>
        <v>-4.4134321205444138E-2</v>
      </c>
      <c r="FX89" s="13">
        <f t="shared" si="292"/>
        <v>0.47461608419966983</v>
      </c>
      <c r="FY89" s="13">
        <f t="shared" si="293"/>
        <v>-4.410197048737885E-2</v>
      </c>
      <c r="FZ89" s="13">
        <f t="shared" si="390"/>
        <v>0.47463465880776967</v>
      </c>
      <c r="GA89" s="13">
        <f t="shared" si="294"/>
        <v>-4.4142635642327122E-2</v>
      </c>
      <c r="GB89" s="12">
        <f t="shared" si="391"/>
        <v>0.47461131036313997</v>
      </c>
      <c r="GC89" s="22"/>
      <c r="GD89" s="11">
        <f t="shared" si="358"/>
        <v>1.5</v>
      </c>
      <c r="GE89" s="10">
        <f t="shared" si="359"/>
        <v>0.74926606198035017</v>
      </c>
      <c r="GF89" s="10">
        <f t="shared" si="360"/>
        <v>5.3414996220710531</v>
      </c>
      <c r="GG89" s="5">
        <f t="shared" si="361"/>
        <v>-8.7342365835222964</v>
      </c>
      <c r="GH89" s="10">
        <f t="shared" si="362"/>
        <v>0.27985539910788043</v>
      </c>
      <c r="GI89" s="9">
        <f t="shared" si="276"/>
        <v>11.307218335016046</v>
      </c>
      <c r="GJ89" s="8">
        <f t="shared" si="277"/>
        <v>-6.1172030505056423</v>
      </c>
      <c r="GK89" s="8">
        <f t="shared" si="392"/>
        <v>0.47466347562839617</v>
      </c>
      <c r="GL89" s="7">
        <f t="shared" si="393"/>
        <v>0.47461608419966983</v>
      </c>
      <c r="GM89" s="6">
        <f t="shared" si="278"/>
        <v>0.37990272802110714</v>
      </c>
      <c r="GN89" s="5">
        <f t="shared" si="279"/>
        <v>0.67198863509645679</v>
      </c>
      <c r="GO89" s="4">
        <f t="shared" si="280"/>
        <v>0.45816517186816741</v>
      </c>
      <c r="GP89" s="4">
        <f t="shared" si="363"/>
        <v>0.88818423022188309</v>
      </c>
      <c r="GQ89" s="4">
        <f t="shared" si="364"/>
        <v>4.1627662557510603E-2</v>
      </c>
      <c r="GR89" s="1"/>
    </row>
    <row r="90" spans="1:200" x14ac:dyDescent="0.4">
      <c r="A90" s="32"/>
      <c r="B90" s="33"/>
      <c r="C90" s="33"/>
      <c r="D90" s="32"/>
      <c r="E90" s="32"/>
      <c r="F90" s="20" t="s">
        <v>84</v>
      </c>
      <c r="G90" s="19">
        <v>1050</v>
      </c>
      <c r="H90" s="18">
        <v>1E-4</v>
      </c>
      <c r="I90" s="17">
        <v>1.5</v>
      </c>
      <c r="J90" s="16">
        <v>49.6</v>
      </c>
      <c r="K90" s="16">
        <v>0.92</v>
      </c>
      <c r="L90" s="16">
        <v>14.6</v>
      </c>
      <c r="M90" s="16">
        <v>0</v>
      </c>
      <c r="N90" s="16">
        <v>9</v>
      </c>
      <c r="O90" s="16">
        <v>0</v>
      </c>
      <c r="P90" s="16">
        <v>8.6999999999999993</v>
      </c>
      <c r="Q90" s="16">
        <v>12.4</v>
      </c>
      <c r="R90" s="16">
        <v>2.2999999999999998</v>
      </c>
      <c r="S90" s="16">
        <v>0.21</v>
      </c>
      <c r="T90" s="16">
        <v>0</v>
      </c>
      <c r="U90" s="15">
        <v>8.1</v>
      </c>
      <c r="V90" s="16"/>
      <c r="W90" s="28">
        <f t="shared" si="365"/>
        <v>46.867617877728435</v>
      </c>
      <c r="X90" s="24">
        <f t="shared" si="156"/>
        <v>0.8693187186998016</v>
      </c>
      <c r="Y90" s="24">
        <f t="shared" si="156"/>
        <v>13.795710101105547</v>
      </c>
      <c r="Z90" s="24">
        <f t="shared" si="156"/>
        <v>0</v>
      </c>
      <c r="AA90" s="24">
        <f t="shared" si="156"/>
        <v>8.5042048568458846</v>
      </c>
      <c r="AB90" s="24">
        <f t="shared" si="156"/>
        <v>0</v>
      </c>
      <c r="AC90" s="24">
        <f t="shared" si="396"/>
        <v>8.2207313616176876</v>
      </c>
      <c r="AD90" s="24">
        <f t="shared" si="396"/>
        <v>11.716904469432109</v>
      </c>
      <c r="AE90" s="24">
        <f t="shared" si="396"/>
        <v>2.1732967967495038</v>
      </c>
      <c r="AF90" s="24">
        <f t="shared" si="396"/>
        <v>0.19843144665973733</v>
      </c>
      <c r="AG90" s="24">
        <f t="shared" si="396"/>
        <v>0</v>
      </c>
      <c r="AH90" s="24">
        <f t="shared" si="396"/>
        <v>7.6537843711612954</v>
      </c>
      <c r="AI90" s="14">
        <f t="shared" si="366"/>
        <v>99.999999999999986</v>
      </c>
      <c r="AJ90" s="26"/>
      <c r="AK90" s="50">
        <f t="shared" si="367"/>
        <v>0.77995702908517939</v>
      </c>
      <c r="AL90" s="47">
        <f t="shared" si="368"/>
        <v>1.0880084088858592E-2</v>
      </c>
      <c r="AM90" s="47">
        <f t="shared" si="369"/>
        <v>0.13530512064638631</v>
      </c>
      <c r="AN90" s="49">
        <f t="shared" si="370"/>
        <v>0</v>
      </c>
      <c r="AO90" s="49">
        <f t="shared" si="371"/>
        <v>0.11836054080509235</v>
      </c>
      <c r="AP90" s="47">
        <f t="shared" si="372"/>
        <v>0</v>
      </c>
      <c r="AQ90" s="47">
        <f t="shared" si="373"/>
        <v>0.20388718654805774</v>
      </c>
      <c r="AR90" s="47">
        <f t="shared" si="374"/>
        <v>0.20893196272168527</v>
      </c>
      <c r="AS90" s="47">
        <f t="shared" si="375"/>
        <v>3.5064485265400194E-2</v>
      </c>
      <c r="AT90" s="47">
        <f t="shared" si="376"/>
        <v>2.106490941186171E-3</v>
      </c>
      <c r="AU90" s="47">
        <f t="shared" si="377"/>
        <v>0</v>
      </c>
      <c r="AV90" s="47">
        <f t="shared" si="378"/>
        <v>0.42473831138519952</v>
      </c>
      <c r="AW90" s="47">
        <f t="shared" si="379"/>
        <v>1.9192312114870456</v>
      </c>
      <c r="AX90" s="47">
        <f t="shared" si="380"/>
        <v>8.5249209857190936E-2</v>
      </c>
      <c r="AY90" s="46">
        <f t="shared" si="381"/>
        <v>1.6560924698509158E-2</v>
      </c>
      <c r="AZ90" s="26"/>
      <c r="BA90" s="23">
        <f t="shared" si="296"/>
        <v>0.40639034235008009</v>
      </c>
      <c r="BB90" s="13">
        <f t="shared" si="297"/>
        <v>5.6689803832590657E-3</v>
      </c>
      <c r="BC90" s="13">
        <f t="shared" si="298"/>
        <v>7.0499645814716669E-2</v>
      </c>
      <c r="BD90" s="13">
        <f t="shared" si="299"/>
        <v>0</v>
      </c>
      <c r="BE90" s="13">
        <f t="shared" si="300"/>
        <v>6.1670808653317519E-2</v>
      </c>
      <c r="BF90" s="13">
        <f t="shared" si="301"/>
        <v>4.4418415742175602E-2</v>
      </c>
      <c r="BG90" s="13">
        <f t="shared" si="302"/>
        <v>8.6289367322645479E-3</v>
      </c>
      <c r="BH90" s="13">
        <f t="shared" si="303"/>
        <v>0</v>
      </c>
      <c r="BI90" s="13">
        <f t="shared" si="304"/>
        <v>0.10623378013432955</v>
      </c>
      <c r="BJ90" s="13">
        <f t="shared" si="305"/>
        <v>0.10886232022029385</v>
      </c>
      <c r="BK90" s="13">
        <f t="shared" si="306"/>
        <v>1.8270068272926727E-2</v>
      </c>
      <c r="BL90" s="13">
        <f t="shared" si="307"/>
        <v>1.0975701773597326E-3</v>
      </c>
      <c r="BM90" s="13">
        <f t="shared" si="308"/>
        <v>0</v>
      </c>
      <c r="BN90" s="13">
        <f t="shared" si="309"/>
        <v>0.22130648399371677</v>
      </c>
      <c r="BO90" s="12">
        <f t="shared" si="310"/>
        <v>0.77869351600628334</v>
      </c>
      <c r="BP90" s="13"/>
      <c r="BQ90" s="23">
        <f t="shared" si="311"/>
        <v>1.5599140581703588</v>
      </c>
      <c r="BR90" s="13">
        <f t="shared" si="312"/>
        <v>2.1760168177717185E-2</v>
      </c>
      <c r="BS90" s="13">
        <f t="shared" si="313"/>
        <v>0.40575617944428077</v>
      </c>
      <c r="BT90" s="13">
        <f t="shared" si="314"/>
        <v>0</v>
      </c>
      <c r="BU90" s="13">
        <f t="shared" si="315"/>
        <v>0.11836054080509235</v>
      </c>
      <c r="BV90" s="13">
        <f t="shared" si="316"/>
        <v>8.5249209857190936E-2</v>
      </c>
      <c r="BW90" s="24">
        <f t="shared" si="317"/>
        <v>4.9682774095527481E-2</v>
      </c>
      <c r="BX90" s="13">
        <f t="shared" si="318"/>
        <v>0</v>
      </c>
      <c r="BY90" s="13">
        <f t="shared" si="319"/>
        <v>0.20398837125602204</v>
      </c>
      <c r="BZ90" s="13">
        <f t="shared" si="320"/>
        <v>0.20885747717347786</v>
      </c>
      <c r="CA90" s="13">
        <f t="shared" si="321"/>
        <v>3.5053174141121031E-2</v>
      </c>
      <c r="CB90" s="13">
        <f t="shared" si="322"/>
        <v>2.106490941186171E-3</v>
      </c>
      <c r="CC90" s="13">
        <f t="shared" si="323"/>
        <v>0</v>
      </c>
      <c r="CD90" s="13">
        <f t="shared" si="324"/>
        <v>0.42473831138519952</v>
      </c>
      <c r="CE90" s="12">
        <f t="shared" si="325"/>
        <v>2.9805347714944559</v>
      </c>
      <c r="CF90" s="13"/>
      <c r="CG90" s="23">
        <f t="shared" si="398"/>
        <v>0.52336717326341053</v>
      </c>
      <c r="CH90" s="13">
        <f t="shared" si="398"/>
        <v>7.3007597112536024E-3</v>
      </c>
      <c r="CI90" s="13">
        <f t="shared" si="398"/>
        <v>0.13613536178973429</v>
      </c>
      <c r="CJ90" s="13">
        <f t="shared" si="398"/>
        <v>0</v>
      </c>
      <c r="CK90" s="13">
        <f t="shared" si="398"/>
        <v>3.9711175973211596E-2</v>
      </c>
      <c r="CL90" s="13">
        <f t="shared" si="398"/>
        <v>2.8601984674866427E-2</v>
      </c>
      <c r="CM90" s="13">
        <f t="shared" si="398"/>
        <v>1.666908051893529E-2</v>
      </c>
      <c r="CN90" s="13">
        <f t="shared" si="398"/>
        <v>0</v>
      </c>
      <c r="CO90" s="13">
        <f t="shared" si="398"/>
        <v>6.8440191742417153E-2</v>
      </c>
      <c r="CP90" s="13">
        <f t="shared" si="398"/>
        <v>7.0073826741083658E-2</v>
      </c>
      <c r="CQ90" s="13">
        <f t="shared" si="398"/>
        <v>1.1760699615507315E-2</v>
      </c>
      <c r="CR90" s="13">
        <f t="shared" si="397"/>
        <v>7.0674932610498124E-4</v>
      </c>
      <c r="CS90" s="13">
        <f t="shared" si="397"/>
        <v>0</v>
      </c>
      <c r="CT90" s="13">
        <f t="shared" si="397"/>
        <v>0.14250406183727676</v>
      </c>
      <c r="CU90" s="12">
        <f t="shared" si="326"/>
        <v>0.99999999999999978</v>
      </c>
      <c r="CV90" s="26"/>
      <c r="CW90" s="23">
        <f t="shared" si="327"/>
        <v>0.77995702908517939</v>
      </c>
      <c r="CX90" s="13">
        <f t="shared" si="328"/>
        <v>1.0880084088858592E-2</v>
      </c>
      <c r="CY90" s="13">
        <f t="shared" si="329"/>
        <v>0.27050411962952053</v>
      </c>
      <c r="CZ90" s="13">
        <f t="shared" si="330"/>
        <v>0</v>
      </c>
      <c r="DA90" s="13">
        <f t="shared" si="331"/>
        <v>0.17270194986072424</v>
      </c>
      <c r="DB90" s="13">
        <f t="shared" si="332"/>
        <v>8.5249209857190936E-2</v>
      </c>
      <c r="DC90" s="24">
        <f t="shared" si="333"/>
        <v>3.3121849397018316E-2</v>
      </c>
      <c r="DD90" s="13">
        <f t="shared" si="334"/>
        <v>0</v>
      </c>
      <c r="DE90" s="13">
        <f t="shared" si="335"/>
        <v>0.20398837125602204</v>
      </c>
      <c r="DF90" s="13">
        <f t="shared" si="336"/>
        <v>0.20885747717347786</v>
      </c>
      <c r="DG90" s="13">
        <f t="shared" si="337"/>
        <v>7.0106348282242062E-2</v>
      </c>
      <c r="DH90" s="13">
        <f t="shared" si="338"/>
        <v>4.2129818823723421E-3</v>
      </c>
      <c r="DI90" s="13">
        <f t="shared" si="339"/>
        <v>0</v>
      </c>
      <c r="DJ90" s="13">
        <f t="shared" si="382"/>
        <v>0.84947662277039904</v>
      </c>
      <c r="DK90" s="12">
        <f t="shared" si="383"/>
        <v>2.5706849840287962</v>
      </c>
      <c r="DL90" s="26"/>
      <c r="DM90" s="23">
        <f t="shared" si="154"/>
        <v>0.303404358733533</v>
      </c>
      <c r="DN90" s="13">
        <f t="shared" si="154"/>
        <v>4.2323676982806528E-3</v>
      </c>
      <c r="DO90" s="13">
        <f t="shared" si="154"/>
        <v>0.10522647516522406</v>
      </c>
      <c r="DP90" s="13">
        <f t="shared" si="154"/>
        <v>0</v>
      </c>
      <c r="DQ90" s="13">
        <f t="shared" si="154"/>
        <v>6.7181296399088347E-2</v>
      </c>
      <c r="DR90" s="13">
        <f t="shared" si="295"/>
        <v>3.3162060068358805E-2</v>
      </c>
      <c r="DS90" s="13">
        <f t="shared" si="295"/>
        <v>1.2884445042001806E-2</v>
      </c>
      <c r="DT90" s="13">
        <f t="shared" si="295"/>
        <v>0</v>
      </c>
      <c r="DU90" s="13">
        <f t="shared" si="295"/>
        <v>7.9351757420051516E-2</v>
      </c>
      <c r="DV90" s="13">
        <f t="shared" si="295"/>
        <v>8.1245846329313712E-2</v>
      </c>
      <c r="DW90" s="13">
        <f t="shared" si="295"/>
        <v>2.7271466055856786E-2</v>
      </c>
      <c r="DX90" s="13">
        <f t="shared" si="295"/>
        <v>1.6388557557798179E-3</v>
      </c>
      <c r="DY90" s="13">
        <f t="shared" si="295"/>
        <v>0</v>
      </c>
      <c r="DZ90" s="13">
        <f t="shared" si="295"/>
        <v>0.33044757644287209</v>
      </c>
      <c r="EA90" s="12">
        <f t="shared" si="340"/>
        <v>1</v>
      </c>
      <c r="EB90" s="26"/>
      <c r="EC90" s="30">
        <f t="shared" si="341"/>
        <v>1323</v>
      </c>
      <c r="ED90" s="14">
        <f t="shared" si="342"/>
        <v>100000</v>
      </c>
      <c r="EE90" s="29"/>
      <c r="EF90" s="128">
        <f t="shared" si="394"/>
        <v>-8.7342365835222964</v>
      </c>
      <c r="EG90" s="13">
        <f t="shared" si="384"/>
        <v>1.5</v>
      </c>
      <c r="EH90" s="13">
        <f t="shared" si="385"/>
        <v>0.74926606198035017</v>
      </c>
      <c r="EI90" s="12">
        <f t="shared" si="343"/>
        <v>5.3414996220710531</v>
      </c>
      <c r="EJ90" s="29"/>
      <c r="EK90" s="28">
        <f t="shared" si="386"/>
        <v>-1.6388504796299741</v>
      </c>
      <c r="EL90" s="24">
        <f t="shared" si="344"/>
        <v>-0.71161549267476076</v>
      </c>
      <c r="EM90" s="24">
        <f t="shared" si="387"/>
        <v>0.19420315451233713</v>
      </c>
      <c r="EN90" s="24">
        <f t="shared" si="345"/>
        <v>4.4418415742175602E-2</v>
      </c>
      <c r="EO90" s="24">
        <f t="shared" si="346"/>
        <v>8.6261964555709569E-3</v>
      </c>
      <c r="EP90" s="24">
        <f t="shared" si="347"/>
        <v>0.27974974364494309</v>
      </c>
      <c r="EQ90" s="24">
        <f t="shared" si="348"/>
        <v>-1.6385328609032104</v>
      </c>
      <c r="ER90" s="24">
        <f t="shared" si="349"/>
        <v>-20.109295756269134</v>
      </c>
      <c r="ES90" s="25">
        <f t="shared" si="350"/>
        <v>-8.7317827860482566</v>
      </c>
      <c r="ET90" s="26">
        <v>8.1</v>
      </c>
      <c r="EU90" s="26">
        <v>0.29083888041780526</v>
      </c>
      <c r="EV90" s="26">
        <v>0.47983975638428567</v>
      </c>
      <c r="EW90" s="26">
        <v>0.27974974364494309</v>
      </c>
      <c r="EX90" s="26">
        <v>0.47685508223240303</v>
      </c>
      <c r="EY90" s="26">
        <f t="shared" si="388"/>
        <v>0.99377985231075283</v>
      </c>
      <c r="EZ90" s="26">
        <f t="shared" si="389"/>
        <v>1.0396394885956943</v>
      </c>
      <c r="FA90" s="23">
        <f t="shared" si="395"/>
        <v>-1.3639738861188349</v>
      </c>
      <c r="FB90" s="190">
        <f t="shared" si="351"/>
        <v>4.1460645760199699E-2</v>
      </c>
      <c r="FC90" s="124">
        <v>6.2646889236044334E-2</v>
      </c>
      <c r="FD90" s="26"/>
      <c r="FE90" s="27">
        <f t="shared" si="352"/>
        <v>0.88818423022188309</v>
      </c>
      <c r="FF90" s="26"/>
      <c r="FG90" s="23">
        <f t="shared" si="282"/>
        <v>-5.249407749766184</v>
      </c>
      <c r="FH90" s="13">
        <f t="shared" si="353"/>
        <v>12.953741313892731</v>
      </c>
      <c r="FI90" s="13">
        <f t="shared" si="283"/>
        <v>-21.845149910644157</v>
      </c>
      <c r="FJ90" s="13">
        <f t="shared" si="284"/>
        <v>-0.17434693750029595</v>
      </c>
      <c r="FK90" s="12">
        <f t="shared" si="354"/>
        <v>0.45652333934985934</v>
      </c>
      <c r="FL90" s="13"/>
      <c r="FM90" s="23">
        <f t="shared" si="285"/>
        <v>-6.0926166612956711</v>
      </c>
      <c r="FN90" s="13">
        <f t="shared" si="286"/>
        <v>11.160151093145274</v>
      </c>
      <c r="FO90" s="13">
        <f t="shared" si="287"/>
        <v>11.684480493628371</v>
      </c>
      <c r="FP90" s="24">
        <f t="shared" si="288"/>
        <v>0.37832118185659358</v>
      </c>
      <c r="FQ90" s="25">
        <f t="shared" si="289"/>
        <v>0.67054101321673332</v>
      </c>
      <c r="FR90" s="13"/>
      <c r="FS90" s="23">
        <f t="shared" si="355"/>
        <v>11.312522643127949</v>
      </c>
      <c r="FT90" s="13">
        <f t="shared" si="356"/>
        <v>-6.1157149289362565</v>
      </c>
      <c r="FU90" s="13">
        <f t="shared" si="290"/>
        <v>-4.0235594980387646E-2</v>
      </c>
      <c r="FV90" s="13">
        <f t="shared" si="357"/>
        <v>0.47685508223240303</v>
      </c>
      <c r="FW90" s="23">
        <f t="shared" si="291"/>
        <v>-4.0318134662928884E-2</v>
      </c>
      <c r="FX90" s="13">
        <f t="shared" si="292"/>
        <v>0.47680767059029294</v>
      </c>
      <c r="FY90" s="13">
        <f t="shared" si="293"/>
        <v>-4.0285783944863596E-2</v>
      </c>
      <c r="FZ90" s="13">
        <f t="shared" si="390"/>
        <v>0.47682625312553772</v>
      </c>
      <c r="GA90" s="13">
        <f t="shared" si="294"/>
        <v>-4.0326449099811867E-2</v>
      </c>
      <c r="GB90" s="12">
        <f t="shared" si="391"/>
        <v>0.47680289471543746</v>
      </c>
      <c r="GC90" s="22"/>
      <c r="GD90" s="11">
        <f t="shared" si="358"/>
        <v>1.5</v>
      </c>
      <c r="GE90" s="10">
        <f t="shared" si="359"/>
        <v>0.74926606198035017</v>
      </c>
      <c r="GF90" s="10">
        <f t="shared" si="360"/>
        <v>5.3414996220710531</v>
      </c>
      <c r="GG90" s="5">
        <f t="shared" si="361"/>
        <v>-8.7342365835222964</v>
      </c>
      <c r="GH90" s="10">
        <f t="shared" si="362"/>
        <v>0.27974974364494309</v>
      </c>
      <c r="GI90" s="9">
        <f t="shared" si="276"/>
        <v>11.312522643127949</v>
      </c>
      <c r="GJ90" s="8">
        <f t="shared" si="277"/>
        <v>-6.1157149289362565</v>
      </c>
      <c r="GK90" s="8">
        <f t="shared" si="392"/>
        <v>0.47685508223240303</v>
      </c>
      <c r="GL90" s="7">
        <f t="shared" si="393"/>
        <v>0.47680767059029294</v>
      </c>
      <c r="GM90" s="6">
        <f t="shared" si="278"/>
        <v>0.37832118185659358</v>
      </c>
      <c r="GN90" s="5">
        <f t="shared" si="279"/>
        <v>0.67054101321673332</v>
      </c>
      <c r="GO90" s="4">
        <f t="shared" si="280"/>
        <v>0.45652333934985934</v>
      </c>
      <c r="GP90" s="4">
        <f t="shared" si="363"/>
        <v>0.88818423022188309</v>
      </c>
      <c r="GQ90" s="4">
        <f t="shared" si="364"/>
        <v>4.1460645760199699E-2</v>
      </c>
      <c r="GR90" s="1"/>
    </row>
    <row r="91" spans="1:200" x14ac:dyDescent="0.4">
      <c r="A91" s="32"/>
      <c r="B91" s="33"/>
      <c r="C91" s="33"/>
      <c r="D91" s="32"/>
      <c r="E91" s="32"/>
      <c r="F91" s="20" t="s">
        <v>84</v>
      </c>
      <c r="G91" s="19">
        <v>1050</v>
      </c>
      <c r="H91" s="18">
        <v>1E-4</v>
      </c>
      <c r="I91" s="17">
        <v>1.5</v>
      </c>
      <c r="J91" s="16">
        <v>49.6</v>
      </c>
      <c r="K91" s="16">
        <v>0.92</v>
      </c>
      <c r="L91" s="16">
        <v>14.6</v>
      </c>
      <c r="M91" s="16">
        <v>0</v>
      </c>
      <c r="N91" s="16">
        <v>9</v>
      </c>
      <c r="O91" s="16">
        <v>0</v>
      </c>
      <c r="P91" s="16">
        <v>8.6999999999999993</v>
      </c>
      <c r="Q91" s="16">
        <v>12.4</v>
      </c>
      <c r="R91" s="16">
        <v>2.2999999999999998</v>
      </c>
      <c r="S91" s="16">
        <v>0.21</v>
      </c>
      <c r="T91" s="16">
        <v>0</v>
      </c>
      <c r="U91" s="15">
        <v>8.1999999999999993</v>
      </c>
      <c r="V91" s="16"/>
      <c r="W91" s="28">
        <f t="shared" si="365"/>
        <v>46.823373926177666</v>
      </c>
      <c r="X91" s="24">
        <f t="shared" si="156"/>
        <v>0.86849806475974711</v>
      </c>
      <c r="Y91" s="24">
        <f t="shared" si="156"/>
        <v>13.782686679882941</v>
      </c>
      <c r="Z91" s="24">
        <f t="shared" si="156"/>
        <v>0</v>
      </c>
      <c r="AA91" s="24">
        <f t="shared" si="156"/>
        <v>8.4961767204757859</v>
      </c>
      <c r="AB91" s="24">
        <f t="shared" si="156"/>
        <v>0</v>
      </c>
      <c r="AC91" s="24">
        <f t="shared" si="396"/>
        <v>8.2129708297932584</v>
      </c>
      <c r="AD91" s="24">
        <f t="shared" si="396"/>
        <v>11.705843481544417</v>
      </c>
      <c r="AE91" s="24">
        <f t="shared" si="396"/>
        <v>2.1712451618993671</v>
      </c>
      <c r="AF91" s="24">
        <f t="shared" si="396"/>
        <v>0.19824412347776832</v>
      </c>
      <c r="AG91" s="24">
        <f t="shared" si="396"/>
        <v>0</v>
      </c>
      <c r="AH91" s="24">
        <f t="shared" si="396"/>
        <v>7.7409610119890475</v>
      </c>
      <c r="AI91" s="14">
        <f t="shared" si="366"/>
        <v>100</v>
      </c>
      <c r="AJ91" s="26"/>
      <c r="AK91" s="50">
        <f t="shared" si="367"/>
        <v>0.77922073433479222</v>
      </c>
      <c r="AL91" s="47">
        <f t="shared" si="368"/>
        <v>1.0869813075841641E-2</v>
      </c>
      <c r="AM91" s="47">
        <f t="shared" si="369"/>
        <v>0.13517738995569775</v>
      </c>
      <c r="AN91" s="49">
        <f t="shared" si="370"/>
        <v>0</v>
      </c>
      <c r="AO91" s="49">
        <f t="shared" si="371"/>
        <v>0.11824880613049112</v>
      </c>
      <c r="AP91" s="47">
        <f t="shared" si="372"/>
        <v>0</v>
      </c>
      <c r="AQ91" s="47">
        <f t="shared" si="373"/>
        <v>0.2036947130405074</v>
      </c>
      <c r="AR91" s="47">
        <f t="shared" si="374"/>
        <v>0.20873472684636976</v>
      </c>
      <c r="AS91" s="47">
        <f t="shared" si="375"/>
        <v>3.5031383702797146E-2</v>
      </c>
      <c r="AT91" s="47">
        <f t="shared" si="376"/>
        <v>2.1045023723754597E-3</v>
      </c>
      <c r="AU91" s="47">
        <f t="shared" si="377"/>
        <v>0</v>
      </c>
      <c r="AV91" s="47">
        <f t="shared" si="378"/>
        <v>0.42957608279628456</v>
      </c>
      <c r="AW91" s="47">
        <f t="shared" si="379"/>
        <v>1.9226581522551567</v>
      </c>
      <c r="AX91" s="47">
        <f t="shared" si="380"/>
        <v>8.5181155616218099E-2</v>
      </c>
      <c r="AY91" s="46">
        <f t="shared" si="381"/>
        <v>1.6539077543731347E-2</v>
      </c>
      <c r="AZ91" s="26"/>
      <c r="BA91" s="23">
        <f t="shared" si="296"/>
        <v>0.40528303662344523</v>
      </c>
      <c r="BB91" s="13">
        <f t="shared" si="297"/>
        <v>5.6535339176608367E-3</v>
      </c>
      <c r="BC91" s="13">
        <f t="shared" si="298"/>
        <v>7.0307553007872572E-2</v>
      </c>
      <c r="BD91" s="13">
        <f t="shared" si="299"/>
        <v>0</v>
      </c>
      <c r="BE91" s="13">
        <f t="shared" si="300"/>
        <v>6.1502772082386421E-2</v>
      </c>
      <c r="BF91" s="13">
        <f t="shared" si="301"/>
        <v>4.4303848563149915E-2</v>
      </c>
      <c r="BG91" s="13">
        <f t="shared" si="302"/>
        <v>8.6021935435230922E-3</v>
      </c>
      <c r="BH91" s="13">
        <f t="shared" si="303"/>
        <v>0</v>
      </c>
      <c r="BI91" s="13">
        <f t="shared" si="304"/>
        <v>0.10594432130412074</v>
      </c>
      <c r="BJ91" s="13">
        <f t="shared" si="305"/>
        <v>0.10856569931661388</v>
      </c>
      <c r="BK91" s="13">
        <f t="shared" si="306"/>
        <v>1.822028719026705E-2</v>
      </c>
      <c r="BL91" s="13">
        <f t="shared" si="307"/>
        <v>1.0945795901923653E-3</v>
      </c>
      <c r="BM91" s="13">
        <f t="shared" si="308"/>
        <v>0</v>
      </c>
      <c r="BN91" s="13">
        <f t="shared" si="309"/>
        <v>0.22342821696744111</v>
      </c>
      <c r="BO91" s="12">
        <f t="shared" si="310"/>
        <v>0.77657178303255892</v>
      </c>
      <c r="BP91" s="13"/>
      <c r="BQ91" s="23">
        <f t="shared" si="311"/>
        <v>1.5584414686695844</v>
      </c>
      <c r="BR91" s="13">
        <f t="shared" si="312"/>
        <v>2.1739626151683282E-2</v>
      </c>
      <c r="BS91" s="13">
        <f t="shared" si="313"/>
        <v>0.40537313764361593</v>
      </c>
      <c r="BT91" s="13">
        <f t="shared" si="314"/>
        <v>0</v>
      </c>
      <c r="BU91" s="13">
        <f t="shared" si="315"/>
        <v>0.11824880613049112</v>
      </c>
      <c r="BV91" s="13">
        <f t="shared" si="316"/>
        <v>8.5181155616218099E-2</v>
      </c>
      <c r="BW91" s="24">
        <f t="shared" si="317"/>
        <v>4.9617232631194039E-2</v>
      </c>
      <c r="BX91" s="13">
        <f t="shared" si="318"/>
        <v>0</v>
      </c>
      <c r="BY91" s="13">
        <f t="shared" si="319"/>
        <v>0.20379580222812058</v>
      </c>
      <c r="BZ91" s="13">
        <f t="shared" si="320"/>
        <v>0.20866031161398246</v>
      </c>
      <c r="CA91" s="13">
        <f t="shared" si="321"/>
        <v>3.5020083256441403E-2</v>
      </c>
      <c r="CB91" s="13">
        <f t="shared" si="322"/>
        <v>2.1045023723754597E-3</v>
      </c>
      <c r="CC91" s="13">
        <f t="shared" si="323"/>
        <v>0</v>
      </c>
      <c r="CD91" s="13">
        <f t="shared" si="324"/>
        <v>0.42957608279628456</v>
      </c>
      <c r="CE91" s="12">
        <f t="shared" si="325"/>
        <v>2.9829598208625798</v>
      </c>
      <c r="CF91" s="13"/>
      <c r="CG91" s="23">
        <f t="shared" si="398"/>
        <v>0.52244802553824921</v>
      </c>
      <c r="CH91" s="13">
        <f t="shared" si="398"/>
        <v>7.2879379734309847E-3</v>
      </c>
      <c r="CI91" s="13">
        <f t="shared" si="398"/>
        <v>0.13589627818935709</v>
      </c>
      <c r="CJ91" s="13">
        <f t="shared" si="398"/>
        <v>0</v>
      </c>
      <c r="CK91" s="13">
        <f t="shared" si="398"/>
        <v>3.9641434424784579E-2</v>
      </c>
      <c r="CL91" s="13">
        <f t="shared" si="398"/>
        <v>2.8555917857313391E-2</v>
      </c>
      <c r="CM91" s="13">
        <f t="shared" si="398"/>
        <v>1.6633557141526051E-2</v>
      </c>
      <c r="CN91" s="13">
        <f t="shared" si="398"/>
        <v>0</v>
      </c>
      <c r="CO91" s="13">
        <f t="shared" si="398"/>
        <v>6.8319995731350183E-2</v>
      </c>
      <c r="CP91" s="13">
        <f t="shared" si="398"/>
        <v>6.9950761708095804E-2</v>
      </c>
      <c r="CQ91" s="13">
        <f t="shared" si="398"/>
        <v>1.1740045243490633E-2</v>
      </c>
      <c r="CR91" s="13">
        <f t="shared" si="397"/>
        <v>7.0550811903557673E-4</v>
      </c>
      <c r="CS91" s="13">
        <f t="shared" si="397"/>
        <v>0</v>
      </c>
      <c r="CT91" s="13">
        <f t="shared" si="397"/>
        <v>0.14401001307220573</v>
      </c>
      <c r="CU91" s="12">
        <f t="shared" si="326"/>
        <v>0.99999999999999978</v>
      </c>
      <c r="CV91" s="26"/>
      <c r="CW91" s="23">
        <f t="shared" si="327"/>
        <v>0.77922073433479222</v>
      </c>
      <c r="CX91" s="13">
        <f t="shared" si="328"/>
        <v>1.0869813075841641E-2</v>
      </c>
      <c r="CY91" s="13">
        <f t="shared" si="329"/>
        <v>0.27024875842907725</v>
      </c>
      <c r="CZ91" s="13">
        <f t="shared" si="330"/>
        <v>0</v>
      </c>
      <c r="DA91" s="13">
        <f t="shared" si="331"/>
        <v>0.17270194986072424</v>
      </c>
      <c r="DB91" s="13">
        <f t="shared" si="332"/>
        <v>8.5181155616218099E-2</v>
      </c>
      <c r="DC91" s="24">
        <f t="shared" si="333"/>
        <v>3.3078155087462695E-2</v>
      </c>
      <c r="DD91" s="13">
        <f t="shared" si="334"/>
        <v>0</v>
      </c>
      <c r="DE91" s="13">
        <f t="shared" si="335"/>
        <v>0.20379580222812058</v>
      </c>
      <c r="DF91" s="13">
        <f t="shared" si="336"/>
        <v>0.20866031161398246</v>
      </c>
      <c r="DG91" s="13">
        <f t="shared" si="337"/>
        <v>7.0040166512882807E-2</v>
      </c>
      <c r="DH91" s="13">
        <f t="shared" si="338"/>
        <v>4.2090047447509195E-3</v>
      </c>
      <c r="DI91" s="13">
        <f t="shared" si="339"/>
        <v>0</v>
      </c>
      <c r="DJ91" s="13">
        <f t="shared" si="382"/>
        <v>0.85915216559256913</v>
      </c>
      <c r="DK91" s="12">
        <f t="shared" si="383"/>
        <v>2.5788987063927413</v>
      </c>
      <c r="DL91" s="26"/>
      <c r="DM91" s="23">
        <f t="shared" si="154"/>
        <v>0.30215251665496179</v>
      </c>
      <c r="DN91" s="13">
        <f t="shared" si="154"/>
        <v>4.2149050092184096E-3</v>
      </c>
      <c r="DO91" s="13">
        <f t="shared" si="154"/>
        <v>0.10479231222194463</v>
      </c>
      <c r="DP91" s="13">
        <f t="shared" si="154"/>
        <v>0</v>
      </c>
      <c r="DQ91" s="13">
        <f t="shared" si="154"/>
        <v>6.6967325793998597E-2</v>
      </c>
      <c r="DR91" s="13">
        <f t="shared" si="295"/>
        <v>3.3030050930292661E-2</v>
      </c>
      <c r="DS91" s="13">
        <f t="shared" si="295"/>
        <v>1.2826465423192629E-2</v>
      </c>
      <c r="DT91" s="13">
        <f t="shared" si="295"/>
        <v>0</v>
      </c>
      <c r="DU91" s="13">
        <f t="shared" ref="DU91:DZ95" si="399">IF(OR($DK91="",DE91=""),"",DE91/$DK91)</f>
        <v>7.9024353195004643E-2</v>
      </c>
      <c r="DV91" s="13">
        <f t="shared" si="399"/>
        <v>8.0910627120305945E-2</v>
      </c>
      <c r="DW91" s="13">
        <f t="shared" si="399"/>
        <v>2.7158944373915386E-2</v>
      </c>
      <c r="DX91" s="13">
        <f t="shared" si="399"/>
        <v>1.6320938601882135E-3</v>
      </c>
      <c r="DY91" s="13">
        <f t="shared" si="399"/>
        <v>0</v>
      </c>
      <c r="DZ91" s="13">
        <f t="shared" si="399"/>
        <v>0.33314692177046235</v>
      </c>
      <c r="EA91" s="12">
        <f t="shared" si="340"/>
        <v>1</v>
      </c>
      <c r="EB91" s="26"/>
      <c r="EC91" s="30">
        <f t="shared" si="341"/>
        <v>1323</v>
      </c>
      <c r="ED91" s="14">
        <f t="shared" si="342"/>
        <v>100000</v>
      </c>
      <c r="EE91" s="29"/>
      <c r="EF91" s="128">
        <f t="shared" si="394"/>
        <v>-8.7342365835222964</v>
      </c>
      <c r="EG91" s="13">
        <f t="shared" si="384"/>
        <v>1.5</v>
      </c>
      <c r="EH91" s="13">
        <f t="shared" si="385"/>
        <v>0.74926606198035017</v>
      </c>
      <c r="EI91" s="12">
        <f t="shared" si="343"/>
        <v>5.3414996220710531</v>
      </c>
      <c r="EJ91" s="29"/>
      <c r="EK91" s="28">
        <f t="shared" si="386"/>
        <v>-1.6393719330823753</v>
      </c>
      <c r="EL91" s="24">
        <f t="shared" si="344"/>
        <v>-0.71184191623203441</v>
      </c>
      <c r="EM91" s="24">
        <f t="shared" si="387"/>
        <v>0.19410191300561014</v>
      </c>
      <c r="EN91" s="24">
        <f t="shared" si="345"/>
        <v>4.4303848563149922E-2</v>
      </c>
      <c r="EO91" s="24">
        <f t="shared" si="346"/>
        <v>8.5994617596182512E-3</v>
      </c>
      <c r="EP91" s="24">
        <f t="shared" si="347"/>
        <v>0.27964468814832566</v>
      </c>
      <c r="EQ91" s="24">
        <f t="shared" si="348"/>
        <v>-1.6390543143556116</v>
      </c>
      <c r="ER91" s="24">
        <f t="shared" si="349"/>
        <v>-20.109295756269134</v>
      </c>
      <c r="ES91" s="25">
        <f t="shared" si="350"/>
        <v>-8.7317827860482566</v>
      </c>
      <c r="ET91" s="26">
        <v>8.1999999999999993</v>
      </c>
      <c r="EU91" s="26">
        <v>0.2908388804178052</v>
      </c>
      <c r="EV91" s="26">
        <v>0.48204476117526429</v>
      </c>
      <c r="EW91" s="26">
        <v>0.27964468814832566</v>
      </c>
      <c r="EX91" s="26">
        <v>0.47903934634646084</v>
      </c>
      <c r="EY91" s="26">
        <f t="shared" si="388"/>
        <v>0.99376527851588714</v>
      </c>
      <c r="EZ91" s="26">
        <f t="shared" si="389"/>
        <v>1.0400300550802597</v>
      </c>
      <c r="FA91" s="23">
        <f t="shared" si="395"/>
        <v>-1.3657856009744123</v>
      </c>
      <c r="FB91" s="190">
        <f t="shared" si="351"/>
        <v>4.129517511254599E-2</v>
      </c>
      <c r="FC91" s="124">
        <v>6.2646889236044334E-2</v>
      </c>
      <c r="FD91" s="26"/>
      <c r="FE91" s="27">
        <f t="shared" si="352"/>
        <v>0.88818423022188309</v>
      </c>
      <c r="FF91" s="26"/>
      <c r="FG91" s="23">
        <f t="shared" si="282"/>
        <v>-5.2635196458418037</v>
      </c>
      <c r="FH91" s="13">
        <f t="shared" si="353"/>
        <v>12.93306773560564</v>
      </c>
      <c r="FI91" s="13">
        <f t="shared" si="283"/>
        <v>-21.845149910644157</v>
      </c>
      <c r="FJ91" s="13">
        <f t="shared" si="284"/>
        <v>-0.18090861971176508</v>
      </c>
      <c r="FK91" s="12">
        <f t="shared" si="354"/>
        <v>0.4548957919664407</v>
      </c>
      <c r="FL91" s="13"/>
      <c r="FM91" s="23">
        <f t="shared" si="285"/>
        <v>-6.0932285482377431</v>
      </c>
      <c r="FN91" s="13">
        <f t="shared" si="286"/>
        <v>11.156631905171231</v>
      </c>
      <c r="FO91" s="13">
        <f t="shared" si="287"/>
        <v>11.681030018546323</v>
      </c>
      <c r="FP91" s="24">
        <f t="shared" si="288"/>
        <v>0.37674800631515482</v>
      </c>
      <c r="FQ91" s="25">
        <f t="shared" si="289"/>
        <v>0.66909548159912802</v>
      </c>
      <c r="FR91" s="13"/>
      <c r="FS91" s="23">
        <f t="shared" si="355"/>
        <v>11.317808320179353</v>
      </c>
      <c r="FT91" s="13">
        <f t="shared" si="356"/>
        <v>-6.1142311091436126</v>
      </c>
      <c r="FU91" s="13">
        <f t="shared" si="290"/>
        <v>-3.6433737721626613E-2</v>
      </c>
      <c r="FV91" s="13">
        <f t="shared" si="357"/>
        <v>0.47903934634646084</v>
      </c>
      <c r="FW91" s="23">
        <f t="shared" si="291"/>
        <v>-3.6516277404167852E-2</v>
      </c>
      <c r="FX91" s="13">
        <f t="shared" si="292"/>
        <v>0.47899191637521632</v>
      </c>
      <c r="FY91" s="13">
        <f t="shared" si="293"/>
        <v>-3.6483926686102564E-2</v>
      </c>
      <c r="FZ91" s="13">
        <f t="shared" si="390"/>
        <v>0.47901050609908069</v>
      </c>
      <c r="GA91" s="13">
        <f t="shared" si="294"/>
        <v>-3.6524591841050835E-2</v>
      </c>
      <c r="GB91" s="12">
        <f t="shared" si="391"/>
        <v>0.47898713865184539</v>
      </c>
      <c r="GC91" s="22"/>
      <c r="GD91" s="11">
        <f t="shared" si="358"/>
        <v>1.5</v>
      </c>
      <c r="GE91" s="10">
        <f t="shared" si="359"/>
        <v>0.74926606198035017</v>
      </c>
      <c r="GF91" s="10">
        <f t="shared" si="360"/>
        <v>5.3414996220710531</v>
      </c>
      <c r="GG91" s="5">
        <f t="shared" si="361"/>
        <v>-8.7342365835222964</v>
      </c>
      <c r="GH91" s="10">
        <f t="shared" si="362"/>
        <v>0.27964468814832566</v>
      </c>
      <c r="GI91" s="9">
        <f t="shared" si="276"/>
        <v>11.317808320179353</v>
      </c>
      <c r="GJ91" s="8">
        <f t="shared" si="277"/>
        <v>-6.1142311091436126</v>
      </c>
      <c r="GK91" s="8">
        <f t="shared" si="392"/>
        <v>0.47903934634646084</v>
      </c>
      <c r="GL91" s="7">
        <f t="shared" si="393"/>
        <v>0.47899191637521632</v>
      </c>
      <c r="GM91" s="6">
        <f t="shared" si="278"/>
        <v>0.37674800631515482</v>
      </c>
      <c r="GN91" s="5">
        <f t="shared" si="279"/>
        <v>0.66909548159912802</v>
      </c>
      <c r="GO91" s="4">
        <f t="shared" si="280"/>
        <v>0.4548957919664407</v>
      </c>
      <c r="GP91" s="4">
        <f t="shared" si="363"/>
        <v>0.88818423022188309</v>
      </c>
      <c r="GQ91" s="4">
        <f t="shared" si="364"/>
        <v>4.129517511254599E-2</v>
      </c>
      <c r="GR91" s="1"/>
    </row>
    <row r="92" spans="1:200" x14ac:dyDescent="0.4">
      <c r="A92" s="32"/>
      <c r="B92" s="33"/>
      <c r="C92" s="33"/>
      <c r="D92" s="32"/>
      <c r="E92" s="32"/>
      <c r="F92" s="20" t="s">
        <v>84</v>
      </c>
      <c r="G92" s="19">
        <v>1050</v>
      </c>
      <c r="H92" s="18">
        <v>1E-4</v>
      </c>
      <c r="I92" s="17">
        <v>1.5</v>
      </c>
      <c r="J92" s="16">
        <v>49.6</v>
      </c>
      <c r="K92" s="16">
        <v>0.92</v>
      </c>
      <c r="L92" s="16">
        <v>14.6</v>
      </c>
      <c r="M92" s="16">
        <v>0</v>
      </c>
      <c r="N92" s="16">
        <v>9</v>
      </c>
      <c r="O92" s="16">
        <v>0</v>
      </c>
      <c r="P92" s="16">
        <v>8.6999999999999993</v>
      </c>
      <c r="Q92" s="16">
        <v>12.4</v>
      </c>
      <c r="R92" s="16">
        <v>2.2999999999999998</v>
      </c>
      <c r="S92" s="16">
        <v>0.21</v>
      </c>
      <c r="T92" s="16">
        <v>0</v>
      </c>
      <c r="U92" s="15">
        <v>8.3000000000000007</v>
      </c>
      <c r="V92" s="16"/>
      <c r="W92" s="28">
        <f t="shared" si="365"/>
        <v>46.779213430161278</v>
      </c>
      <c r="X92" s="24">
        <f t="shared" si="156"/>
        <v>0.86767895878524948</v>
      </c>
      <c r="Y92" s="24">
        <f t="shared" si="156"/>
        <v>13.769687824200696</v>
      </c>
      <c r="Z92" s="24">
        <f t="shared" si="156"/>
        <v>0</v>
      </c>
      <c r="AA92" s="24">
        <f t="shared" si="156"/>
        <v>8.4881637272470059</v>
      </c>
      <c r="AB92" s="24">
        <f t="shared" si="156"/>
        <v>0</v>
      </c>
      <c r="AC92" s="24">
        <f t="shared" si="396"/>
        <v>8.2052249363387713</v>
      </c>
      <c r="AD92" s="24">
        <f t="shared" si="396"/>
        <v>11.694803357540319</v>
      </c>
      <c r="AE92" s="24">
        <f t="shared" si="396"/>
        <v>2.1691973969631237</v>
      </c>
      <c r="AF92" s="24">
        <f t="shared" si="396"/>
        <v>0.19805715363576346</v>
      </c>
      <c r="AG92" s="24">
        <f t="shared" si="396"/>
        <v>0</v>
      </c>
      <c r="AH92" s="24">
        <f t="shared" si="396"/>
        <v>7.8279732151277939</v>
      </c>
      <c r="AI92" s="14">
        <f t="shared" si="366"/>
        <v>100</v>
      </c>
      <c r="AJ92" s="26"/>
      <c r="AK92" s="50">
        <f t="shared" si="367"/>
        <v>0.77848582842671454</v>
      </c>
      <c r="AL92" s="47">
        <f t="shared" si="368"/>
        <v>1.0859561436611383E-2</v>
      </c>
      <c r="AM92" s="47">
        <f t="shared" si="369"/>
        <v>0.13504990019812374</v>
      </c>
      <c r="AN92" s="49">
        <f t="shared" si="370"/>
        <v>0</v>
      </c>
      <c r="AO92" s="49">
        <f t="shared" si="371"/>
        <v>0.11813728221638144</v>
      </c>
      <c r="AP92" s="47">
        <f t="shared" si="372"/>
        <v>0</v>
      </c>
      <c r="AQ92" s="47">
        <f t="shared" si="373"/>
        <v>0.20350260258776715</v>
      </c>
      <c r="AR92" s="47">
        <f t="shared" si="374"/>
        <v>0.20853786300892155</v>
      </c>
      <c r="AS92" s="47">
        <f t="shared" si="375"/>
        <v>3.4998344578301449E-2</v>
      </c>
      <c r="AT92" s="47">
        <f t="shared" si="376"/>
        <v>2.102517554519782E-3</v>
      </c>
      <c r="AU92" s="47">
        <f t="shared" si="377"/>
        <v>0</v>
      </c>
      <c r="AV92" s="47">
        <f t="shared" si="378"/>
        <v>0.43440472891941145</v>
      </c>
      <c r="AW92" s="47">
        <f t="shared" si="379"/>
        <v>1.9260786289267526</v>
      </c>
      <c r="AX92" s="47">
        <f t="shared" si="380"/>
        <v>8.5113159465096344E-2</v>
      </c>
      <c r="AY92" s="46">
        <f t="shared" si="381"/>
        <v>1.6517306748523156E-2</v>
      </c>
      <c r="AZ92" s="26"/>
      <c r="BA92" s="23">
        <f t="shared" si="296"/>
        <v>0.40418174872772539</v>
      </c>
      <c r="BB92" s="13">
        <f t="shared" si="297"/>
        <v>5.6381713983621401E-3</v>
      </c>
      <c r="BC92" s="13">
        <f t="shared" si="298"/>
        <v>7.0116504160256471E-2</v>
      </c>
      <c r="BD92" s="13">
        <f t="shared" si="299"/>
        <v>0</v>
      </c>
      <c r="BE92" s="13">
        <f t="shared" si="300"/>
        <v>6.1335648733203463E-2</v>
      </c>
      <c r="BF92" s="13">
        <f t="shared" si="301"/>
        <v>4.4189867530238368E-2</v>
      </c>
      <c r="BG92" s="13">
        <f t="shared" si="302"/>
        <v>8.5756139445495594E-3</v>
      </c>
      <c r="BH92" s="13">
        <f t="shared" si="303"/>
        <v>0</v>
      </c>
      <c r="BI92" s="13">
        <f t="shared" si="304"/>
        <v>0.10565643558444061</v>
      </c>
      <c r="BJ92" s="13">
        <f t="shared" si="305"/>
        <v>0.10827069044690184</v>
      </c>
      <c r="BK92" s="13">
        <f t="shared" si="306"/>
        <v>1.8170776650900895E-2</v>
      </c>
      <c r="BL92" s="13">
        <f t="shared" si="307"/>
        <v>1.0916052558515457E-3</v>
      </c>
      <c r="BM92" s="13">
        <f t="shared" si="308"/>
        <v>0</v>
      </c>
      <c r="BN92" s="13">
        <f t="shared" si="309"/>
        <v>0.22553841904235755</v>
      </c>
      <c r="BO92" s="12">
        <f t="shared" si="310"/>
        <v>0.77446158095764239</v>
      </c>
      <c r="BP92" s="13"/>
      <c r="BQ92" s="23">
        <f t="shared" si="311"/>
        <v>1.5569716568534291</v>
      </c>
      <c r="BR92" s="13">
        <f t="shared" si="312"/>
        <v>2.1719122873222765E-2</v>
      </c>
      <c r="BS92" s="13">
        <f t="shared" si="313"/>
        <v>0.40499081835884398</v>
      </c>
      <c r="BT92" s="13">
        <f t="shared" si="314"/>
        <v>0</v>
      </c>
      <c r="BU92" s="13">
        <f t="shared" si="315"/>
        <v>0.11813728221638144</v>
      </c>
      <c r="BV92" s="13">
        <f t="shared" si="316"/>
        <v>8.5113159465096344E-2</v>
      </c>
      <c r="BW92" s="24">
        <f t="shared" si="317"/>
        <v>4.9551920245569467E-2</v>
      </c>
      <c r="BX92" s="13">
        <f t="shared" si="318"/>
        <v>0</v>
      </c>
      <c r="BY92" s="13">
        <f t="shared" si="319"/>
        <v>0.20360359643520526</v>
      </c>
      <c r="BZ92" s="13">
        <f t="shared" si="320"/>
        <v>0.20846351795972048</v>
      </c>
      <c r="CA92" s="13">
        <f t="shared" si="321"/>
        <v>3.4987054789727801E-2</v>
      </c>
      <c r="CB92" s="13">
        <f t="shared" si="322"/>
        <v>2.102517554519782E-3</v>
      </c>
      <c r="CC92" s="13">
        <f t="shared" si="323"/>
        <v>0</v>
      </c>
      <c r="CD92" s="13">
        <f t="shared" si="324"/>
        <v>0.43440472891941145</v>
      </c>
      <c r="CE92" s="12">
        <f t="shared" si="325"/>
        <v>2.9853802959604625</v>
      </c>
      <c r="CF92" s="13"/>
      <c r="CG92" s="23">
        <f t="shared" si="398"/>
        <v>0.52153210060379163</v>
      </c>
      <c r="CH92" s="13">
        <f t="shared" si="398"/>
        <v>7.2751611922310371E-3</v>
      </c>
      <c r="CI92" s="13">
        <f t="shared" si="398"/>
        <v>0.13565803288339504</v>
      </c>
      <c r="CJ92" s="13">
        <f t="shared" si="398"/>
        <v>0</v>
      </c>
      <c r="CK92" s="13">
        <f t="shared" si="398"/>
        <v>3.957193740986157E-2</v>
      </c>
      <c r="CL92" s="13">
        <f t="shared" si="398"/>
        <v>2.8509989022257404E-2</v>
      </c>
      <c r="CM92" s="13">
        <f t="shared" si="398"/>
        <v>1.6598193641399219E-2</v>
      </c>
      <c r="CN92" s="13">
        <f t="shared" si="398"/>
        <v>0</v>
      </c>
      <c r="CO92" s="13">
        <f t="shared" si="398"/>
        <v>6.8200221161338337E-2</v>
      </c>
      <c r="CP92" s="13">
        <f t="shared" si="398"/>
        <v>6.9828128175761672E-2</v>
      </c>
      <c r="CQ92" s="13">
        <f t="shared" si="398"/>
        <v>1.1719463291517336E-2</v>
      </c>
      <c r="CR92" s="13">
        <f t="shared" si="397"/>
        <v>7.0427126398761065E-4</v>
      </c>
      <c r="CS92" s="13">
        <f t="shared" si="397"/>
        <v>0</v>
      </c>
      <c r="CT92" s="13">
        <f t="shared" si="397"/>
        <v>0.14551068401811565</v>
      </c>
      <c r="CU92" s="12">
        <f t="shared" si="326"/>
        <v>0.99999999999999978</v>
      </c>
      <c r="CV92" s="26"/>
      <c r="CW92" s="23">
        <f t="shared" si="327"/>
        <v>0.77848582842671454</v>
      </c>
      <c r="CX92" s="13">
        <f t="shared" si="328"/>
        <v>1.0859561436611383E-2</v>
      </c>
      <c r="CY92" s="13">
        <f t="shared" si="329"/>
        <v>0.26999387890589599</v>
      </c>
      <c r="CZ92" s="13">
        <f t="shared" si="330"/>
        <v>0</v>
      </c>
      <c r="DA92" s="13">
        <f t="shared" si="331"/>
        <v>0.17270194986072424</v>
      </c>
      <c r="DB92" s="13">
        <f t="shared" si="332"/>
        <v>8.5113159465096344E-2</v>
      </c>
      <c r="DC92" s="24">
        <f t="shared" si="333"/>
        <v>3.3034613497046311E-2</v>
      </c>
      <c r="DD92" s="13">
        <f t="shared" si="334"/>
        <v>0</v>
      </c>
      <c r="DE92" s="13">
        <f t="shared" si="335"/>
        <v>0.20360359643520526</v>
      </c>
      <c r="DF92" s="13">
        <f t="shared" si="336"/>
        <v>0.20846351795972048</v>
      </c>
      <c r="DG92" s="13">
        <f t="shared" si="337"/>
        <v>6.9974109579455601E-2</v>
      </c>
      <c r="DH92" s="13">
        <f t="shared" si="338"/>
        <v>4.205035109039564E-3</v>
      </c>
      <c r="DI92" s="13">
        <f t="shared" si="339"/>
        <v>0</v>
      </c>
      <c r="DJ92" s="13">
        <f t="shared" si="382"/>
        <v>0.86880945783882291</v>
      </c>
      <c r="DK92" s="12">
        <f t="shared" si="383"/>
        <v>2.5870969355521902</v>
      </c>
      <c r="DL92" s="26"/>
      <c r="DM92" s="23">
        <f t="shared" si="154"/>
        <v>0.3009109622947137</v>
      </c>
      <c r="DN92" s="13">
        <f t="shared" si="154"/>
        <v>4.1975858296525396E-3</v>
      </c>
      <c r="DO92" s="13">
        <f t="shared" si="154"/>
        <v>0.10436171725752072</v>
      </c>
      <c r="DP92" s="13">
        <f t="shared" si="154"/>
        <v>0</v>
      </c>
      <c r="DQ92" s="13">
        <f t="shared" si="154"/>
        <v>6.6755113613036196E-2</v>
      </c>
      <c r="DR92" s="13">
        <f t="shared" si="154"/>
        <v>3.28990994869428E-2</v>
      </c>
      <c r="DS92" s="13">
        <f t="shared" si="154"/>
        <v>1.276898945806041E-2</v>
      </c>
      <c r="DT92" s="13">
        <f t="shared" si="154"/>
        <v>0</v>
      </c>
      <c r="DU92" s="13">
        <f t="shared" si="399"/>
        <v>7.8699639598834012E-2</v>
      </c>
      <c r="DV92" s="13">
        <f t="shared" si="399"/>
        <v>8.0578162764212785E-2</v>
      </c>
      <c r="DW92" s="13">
        <f t="shared" si="399"/>
        <v>2.7047347402357893E-2</v>
      </c>
      <c r="DX92" s="13">
        <f t="shared" si="399"/>
        <v>1.6253875342873618E-3</v>
      </c>
      <c r="DY92" s="13">
        <f t="shared" si="399"/>
        <v>0</v>
      </c>
      <c r="DZ92" s="13">
        <f t="shared" si="399"/>
        <v>0.33582408370538469</v>
      </c>
      <c r="EA92" s="12">
        <f t="shared" si="340"/>
        <v>1</v>
      </c>
      <c r="EB92" s="26"/>
      <c r="EC92" s="30">
        <f t="shared" si="341"/>
        <v>1323</v>
      </c>
      <c r="ED92" s="14">
        <f t="shared" si="342"/>
        <v>100000</v>
      </c>
      <c r="EE92" s="29"/>
      <c r="EF92" s="128">
        <f t="shared" si="394"/>
        <v>-8.7342365835222964</v>
      </c>
      <c r="EG92" s="13">
        <f t="shared" si="384"/>
        <v>1.5</v>
      </c>
      <c r="EH92" s="13">
        <f t="shared" si="385"/>
        <v>0.74926606198035017</v>
      </c>
      <c r="EI92" s="12">
        <f t="shared" si="343"/>
        <v>5.3414996220710531</v>
      </c>
      <c r="EJ92" s="29"/>
      <c r="EK92" s="28">
        <f t="shared" si="386"/>
        <v>-1.6398905526121919</v>
      </c>
      <c r="EL92" s="24">
        <f t="shared" si="344"/>
        <v>-0.71206710925409977</v>
      </c>
      <c r="EM92" s="24">
        <f t="shared" si="387"/>
        <v>0.19400127406166728</v>
      </c>
      <c r="EN92" s="24">
        <f t="shared" si="345"/>
        <v>4.4189867530238375E-2</v>
      </c>
      <c r="EO92" s="24">
        <f t="shared" si="346"/>
        <v>8.5728906014825475E-3</v>
      </c>
      <c r="EP92" s="24">
        <f t="shared" si="347"/>
        <v>0.27954022753628088</v>
      </c>
      <c r="EQ92" s="24">
        <f t="shared" si="348"/>
        <v>-1.6395729338854281</v>
      </c>
      <c r="ER92" s="24">
        <f t="shared" si="349"/>
        <v>-20.109295756269134</v>
      </c>
      <c r="ES92" s="25">
        <f t="shared" si="350"/>
        <v>-8.7317827860482566</v>
      </c>
      <c r="ET92" s="26">
        <v>8.3000000000000007</v>
      </c>
      <c r="EU92" s="26">
        <v>0.29083888041780526</v>
      </c>
      <c r="EV92" s="26">
        <v>0.48424199116124311</v>
      </c>
      <c r="EW92" s="26">
        <v>0.27954022753628088</v>
      </c>
      <c r="EX92" s="26">
        <v>0.48121622029414757</v>
      </c>
      <c r="EY92" s="26">
        <f t="shared" si="388"/>
        <v>0.99375153141957073</v>
      </c>
      <c r="EZ92" s="26">
        <f t="shared" si="389"/>
        <v>1.0404187010259835</v>
      </c>
      <c r="FA92" s="23">
        <f t="shared" si="395"/>
        <v>-1.3675874697744632</v>
      </c>
      <c r="FB92" s="190">
        <f t="shared" si="351"/>
        <v>4.1131230663336571E-2</v>
      </c>
      <c r="FC92" s="124">
        <v>6.2646889236044334E-2</v>
      </c>
      <c r="FD92" s="26"/>
      <c r="FE92" s="27">
        <f t="shared" si="352"/>
        <v>0.88818423022188309</v>
      </c>
      <c r="FF92" s="26"/>
      <c r="FG92" s="23">
        <f t="shared" si="282"/>
        <v>-5.2775151237762792</v>
      </c>
      <c r="FH92" s="13">
        <f t="shared" si="353"/>
        <v>12.912563715317702</v>
      </c>
      <c r="FI92" s="13">
        <f t="shared" si="283"/>
        <v>-21.845149910644157</v>
      </c>
      <c r="FJ92" s="13">
        <f t="shared" si="284"/>
        <v>-0.18741716206523051</v>
      </c>
      <c r="FK92" s="12">
        <f t="shared" si="354"/>
        <v>0.45328237662281878</v>
      </c>
      <c r="FL92" s="13"/>
      <c r="FM92" s="23">
        <f t="shared" si="285"/>
        <v>-6.0938387387852337</v>
      </c>
      <c r="FN92" s="13">
        <f t="shared" si="286"/>
        <v>11.153125056461029</v>
      </c>
      <c r="FO92" s="13">
        <f t="shared" si="287"/>
        <v>11.677591641801428</v>
      </c>
      <c r="FP92" s="24">
        <f t="shared" si="288"/>
        <v>0.3751831693604657</v>
      </c>
      <c r="FQ92" s="25">
        <f t="shared" si="289"/>
        <v>0.66765206584160408</v>
      </c>
      <c r="FR92" s="13"/>
      <c r="FS92" s="23">
        <f t="shared" si="355"/>
        <v>11.323075464158876</v>
      </c>
      <c r="FT92" s="13">
        <f t="shared" si="356"/>
        <v>-6.1127515715366716</v>
      </c>
      <c r="FU92" s="13">
        <f t="shared" si="290"/>
        <v>-3.2646131349046925E-2</v>
      </c>
      <c r="FV92" s="13">
        <f t="shared" si="357"/>
        <v>0.48121622029414757</v>
      </c>
      <c r="FW92" s="23">
        <f t="shared" si="291"/>
        <v>-3.2728671031588163E-2</v>
      </c>
      <c r="FX92" s="13">
        <f t="shared" si="292"/>
        <v>0.48116877386007328</v>
      </c>
      <c r="FY92" s="13">
        <f t="shared" si="293"/>
        <v>-3.2696320313522875E-2</v>
      </c>
      <c r="FZ92" s="13">
        <f t="shared" si="390"/>
        <v>0.48118737004106471</v>
      </c>
      <c r="GA92" s="13">
        <f t="shared" si="294"/>
        <v>-3.2736985468471147E-2</v>
      </c>
      <c r="GB92" s="12">
        <f t="shared" si="391"/>
        <v>0.4811639944761894</v>
      </c>
      <c r="GC92" s="22"/>
      <c r="GD92" s="11">
        <f t="shared" si="358"/>
        <v>1.5</v>
      </c>
      <c r="GE92" s="10">
        <f t="shared" si="359"/>
        <v>0.74926606198035017</v>
      </c>
      <c r="GF92" s="10">
        <f t="shared" si="360"/>
        <v>5.3414996220710531</v>
      </c>
      <c r="GG92" s="5">
        <f t="shared" si="361"/>
        <v>-8.7342365835222964</v>
      </c>
      <c r="GH92" s="10">
        <f t="shared" si="362"/>
        <v>0.27954022753628088</v>
      </c>
      <c r="GI92" s="9">
        <f t="shared" si="276"/>
        <v>11.323075464158876</v>
      </c>
      <c r="GJ92" s="8">
        <f t="shared" si="277"/>
        <v>-6.1127515715366716</v>
      </c>
      <c r="GK92" s="8">
        <f t="shared" si="392"/>
        <v>0.48121622029414757</v>
      </c>
      <c r="GL92" s="7">
        <f t="shared" si="393"/>
        <v>0.48116877386007328</v>
      </c>
      <c r="GM92" s="6">
        <f t="shared" si="278"/>
        <v>0.3751831693604657</v>
      </c>
      <c r="GN92" s="5">
        <f t="shared" si="279"/>
        <v>0.66765206584160408</v>
      </c>
      <c r="GO92" s="4">
        <f t="shared" si="280"/>
        <v>0.45328237662281878</v>
      </c>
      <c r="GP92" s="4">
        <f t="shared" si="363"/>
        <v>0.88818423022188309</v>
      </c>
      <c r="GQ92" s="4">
        <f t="shared" si="364"/>
        <v>4.1131230663336571E-2</v>
      </c>
      <c r="GR92" s="1"/>
    </row>
    <row r="93" spans="1:200" x14ac:dyDescent="0.4">
      <c r="A93" s="32"/>
      <c r="B93" s="33"/>
      <c r="C93" s="33"/>
      <c r="D93" s="32"/>
      <c r="E93" s="32"/>
      <c r="F93" s="20" t="s">
        <v>84</v>
      </c>
      <c r="G93" s="19">
        <v>1050</v>
      </c>
      <c r="H93" s="18">
        <v>1E-4</v>
      </c>
      <c r="I93" s="17">
        <v>1.5</v>
      </c>
      <c r="J93" s="16">
        <v>49.6</v>
      </c>
      <c r="K93" s="16">
        <v>0.92</v>
      </c>
      <c r="L93" s="16">
        <v>14.6</v>
      </c>
      <c r="M93" s="16">
        <v>0</v>
      </c>
      <c r="N93" s="16">
        <v>9</v>
      </c>
      <c r="O93" s="16">
        <v>0</v>
      </c>
      <c r="P93" s="16">
        <v>8.6999999999999993</v>
      </c>
      <c r="Q93" s="16">
        <v>12.4</v>
      </c>
      <c r="R93" s="16">
        <v>2.2999999999999998</v>
      </c>
      <c r="S93" s="16">
        <v>0.21</v>
      </c>
      <c r="T93" s="16">
        <v>0</v>
      </c>
      <c r="U93" s="15">
        <v>8.4</v>
      </c>
      <c r="V93" s="16"/>
      <c r="W93" s="28">
        <f t="shared" si="365"/>
        <v>46.735136153773674</v>
      </c>
      <c r="X93" s="24">
        <f t="shared" si="156"/>
        <v>0.86686139640064064</v>
      </c>
      <c r="Y93" s="24">
        <f t="shared" si="156"/>
        <v>13.75671346461886</v>
      </c>
      <c r="Z93" s="24">
        <f t="shared" si="156"/>
        <v>0</v>
      </c>
      <c r="AA93" s="24">
        <f t="shared" si="156"/>
        <v>8.4801658343540929</v>
      </c>
      <c r="AB93" s="24">
        <f t="shared" si="156"/>
        <v>0</v>
      </c>
      <c r="AC93" s="24">
        <f t="shared" si="396"/>
        <v>8.1974936398756242</v>
      </c>
      <c r="AD93" s="24">
        <f t="shared" si="396"/>
        <v>11.683784038443418</v>
      </c>
      <c r="AE93" s="24">
        <f t="shared" si="396"/>
        <v>2.1671534910016015</v>
      </c>
      <c r="AF93" s="24">
        <f t="shared" si="396"/>
        <v>0.19787053613492886</v>
      </c>
      <c r="AG93" s="24">
        <f t="shared" si="396"/>
        <v>0</v>
      </c>
      <c r="AH93" s="24">
        <f t="shared" si="396"/>
        <v>7.9148214453971537</v>
      </c>
      <c r="AI93" s="14">
        <f t="shared" si="366"/>
        <v>99.999999999999986</v>
      </c>
      <c r="AJ93" s="26"/>
      <c r="AK93" s="50">
        <f t="shared" si="367"/>
        <v>0.77775230743507529</v>
      </c>
      <c r="AL93" s="47">
        <f t="shared" si="368"/>
        <v>1.0849329116403511E-2</v>
      </c>
      <c r="AM93" s="47">
        <f t="shared" si="369"/>
        <v>0.13492265069261339</v>
      </c>
      <c r="AN93" s="49">
        <f t="shared" si="370"/>
        <v>0</v>
      </c>
      <c r="AO93" s="49">
        <f t="shared" si="371"/>
        <v>0.118025968467002</v>
      </c>
      <c r="AP93" s="47">
        <f t="shared" si="372"/>
        <v>0</v>
      </c>
      <c r="AQ93" s="47">
        <f t="shared" si="373"/>
        <v>0.20331085416358194</v>
      </c>
      <c r="AR93" s="47">
        <f t="shared" si="374"/>
        <v>0.20834137015769291</v>
      </c>
      <c r="AS93" s="47">
        <f t="shared" si="375"/>
        <v>3.4965367715417903E-2</v>
      </c>
      <c r="AT93" s="47">
        <f t="shared" si="376"/>
        <v>2.10053647701623E-3</v>
      </c>
      <c r="AU93" s="47">
        <f t="shared" si="377"/>
        <v>0</v>
      </c>
      <c r="AV93" s="47">
        <f t="shared" si="378"/>
        <v>0.4392242755492316</v>
      </c>
      <c r="AW93" s="47">
        <f t="shared" si="379"/>
        <v>1.9294926597740343</v>
      </c>
      <c r="AX93" s="47">
        <f t="shared" si="380"/>
        <v>8.5045221832663567E-2</v>
      </c>
      <c r="AY93" s="46">
        <f t="shared" si="381"/>
        <v>1.6495611800422225E-2</v>
      </c>
      <c r="AZ93" s="26"/>
      <c r="BA93" s="23">
        <f t="shared" si="296"/>
        <v>0.4030864297385609</v>
      </c>
      <c r="BB93" s="13">
        <f t="shared" si="297"/>
        <v>5.622892142888013E-3</v>
      </c>
      <c r="BC93" s="13">
        <f t="shared" si="298"/>
        <v>6.9926490784584988E-2</v>
      </c>
      <c r="BD93" s="13">
        <f t="shared" si="299"/>
        <v>0</v>
      </c>
      <c r="BE93" s="13">
        <f t="shared" si="300"/>
        <v>6.1169431181367744E-2</v>
      </c>
      <c r="BF93" s="13">
        <f t="shared" si="301"/>
        <v>4.4076468185488375E-2</v>
      </c>
      <c r="BG93" s="13">
        <f t="shared" si="302"/>
        <v>8.5491964516486163E-3</v>
      </c>
      <c r="BH93" s="13">
        <f t="shared" si="303"/>
        <v>0</v>
      </c>
      <c r="BI93" s="13">
        <f t="shared" si="304"/>
        <v>0.10537011018605895</v>
      </c>
      <c r="BJ93" s="13">
        <f t="shared" si="305"/>
        <v>0.1079772805054838</v>
      </c>
      <c r="BK93" s="13">
        <f t="shared" si="306"/>
        <v>1.8121534455338508E-2</v>
      </c>
      <c r="BL93" s="13">
        <f t="shared" si="307"/>
        <v>1.0886470422034292E-3</v>
      </c>
      <c r="BM93" s="13">
        <f t="shared" si="308"/>
        <v>0</v>
      </c>
      <c r="BN93" s="13">
        <f t="shared" si="309"/>
        <v>0.2276371839635139</v>
      </c>
      <c r="BO93" s="12">
        <f t="shared" si="310"/>
        <v>0.77236281603648638</v>
      </c>
      <c r="BP93" s="13"/>
      <c r="BQ93" s="23">
        <f t="shared" si="311"/>
        <v>1.5555046148701506</v>
      </c>
      <c r="BR93" s="13">
        <f t="shared" si="312"/>
        <v>2.1698658232807023E-2</v>
      </c>
      <c r="BS93" s="13">
        <f t="shared" si="313"/>
        <v>0.40460921954761353</v>
      </c>
      <c r="BT93" s="13">
        <f t="shared" si="314"/>
        <v>0</v>
      </c>
      <c r="BU93" s="13">
        <f t="shared" si="315"/>
        <v>0.118025968467002</v>
      </c>
      <c r="BV93" s="13">
        <f t="shared" si="316"/>
        <v>8.5045221832663567E-2</v>
      </c>
      <c r="BW93" s="24">
        <f t="shared" si="317"/>
        <v>4.9486835401266679E-2</v>
      </c>
      <c r="BX93" s="13">
        <f t="shared" si="318"/>
        <v>0</v>
      </c>
      <c r="BY93" s="13">
        <f t="shared" si="319"/>
        <v>0.20341175285051177</v>
      </c>
      <c r="BZ93" s="13">
        <f t="shared" si="320"/>
        <v>0.20826709515941921</v>
      </c>
      <c r="CA93" s="13">
        <f t="shared" si="321"/>
        <v>3.4954088564541956E-2</v>
      </c>
      <c r="CB93" s="13">
        <f t="shared" si="322"/>
        <v>2.10053647701623E-3</v>
      </c>
      <c r="CC93" s="13">
        <f t="shared" si="323"/>
        <v>0</v>
      </c>
      <c r="CD93" s="13">
        <f t="shared" si="324"/>
        <v>0.4392242755492316</v>
      </c>
      <c r="CE93" s="12">
        <f t="shared" si="325"/>
        <v>2.9877962097182937</v>
      </c>
      <c r="CF93" s="13"/>
      <c r="CG93" s="23">
        <f t="shared" si="398"/>
        <v>0.52061938153968412</v>
      </c>
      <c r="CH93" s="13">
        <f t="shared" si="398"/>
        <v>7.2624291316216961E-3</v>
      </c>
      <c r="CI93" s="13">
        <f t="shared" si="398"/>
        <v>0.13542062147061976</v>
      </c>
      <c r="CJ93" s="13">
        <f t="shared" si="398"/>
        <v>0</v>
      </c>
      <c r="CK93" s="13">
        <f t="shared" si="398"/>
        <v>3.9502683644588379E-2</v>
      </c>
      <c r="CL93" s="13">
        <f t="shared" si="398"/>
        <v>2.8464197643748301E-2</v>
      </c>
      <c r="CM93" s="13">
        <f t="shared" si="398"/>
        <v>1.6562988881337587E-2</v>
      </c>
      <c r="CN93" s="13">
        <f t="shared" si="398"/>
        <v>0</v>
      </c>
      <c r="CO93" s="13">
        <f t="shared" si="398"/>
        <v>6.8080865819724223E-2</v>
      </c>
      <c r="CP93" s="13">
        <f t="shared" si="398"/>
        <v>6.9705923878608772E-2</v>
      </c>
      <c r="CQ93" s="13">
        <f t="shared" si="398"/>
        <v>1.1698953379366401E-2</v>
      </c>
      <c r="CR93" s="13">
        <f t="shared" si="397"/>
        <v>7.030387381120215E-4</v>
      </c>
      <c r="CS93" s="13">
        <f t="shared" si="397"/>
        <v>0</v>
      </c>
      <c r="CT93" s="13">
        <f t="shared" si="397"/>
        <v>0.14700610239767462</v>
      </c>
      <c r="CU93" s="12">
        <f t="shared" si="326"/>
        <v>1</v>
      </c>
      <c r="CV93" s="26"/>
      <c r="CW93" s="23">
        <f t="shared" si="327"/>
        <v>0.77775230743507529</v>
      </c>
      <c r="CX93" s="13">
        <f t="shared" si="328"/>
        <v>1.0849329116403511E-2</v>
      </c>
      <c r="CY93" s="13">
        <f t="shared" si="329"/>
        <v>0.269739479698409</v>
      </c>
      <c r="CZ93" s="13">
        <f t="shared" si="330"/>
        <v>0</v>
      </c>
      <c r="DA93" s="13">
        <f t="shared" si="331"/>
        <v>0.17270194986072424</v>
      </c>
      <c r="DB93" s="13">
        <f t="shared" si="332"/>
        <v>8.5045221832663567E-2</v>
      </c>
      <c r="DC93" s="24">
        <f t="shared" si="333"/>
        <v>3.2991223600844451E-2</v>
      </c>
      <c r="DD93" s="13">
        <f t="shared" si="334"/>
        <v>0</v>
      </c>
      <c r="DE93" s="13">
        <f t="shared" si="335"/>
        <v>0.20341175285051177</v>
      </c>
      <c r="DF93" s="13">
        <f t="shared" si="336"/>
        <v>0.20826709515941921</v>
      </c>
      <c r="DG93" s="13">
        <f t="shared" si="337"/>
        <v>6.9908177129083912E-2</v>
      </c>
      <c r="DH93" s="13">
        <f t="shared" si="338"/>
        <v>4.2010729540324599E-3</v>
      </c>
      <c r="DI93" s="13">
        <f t="shared" si="339"/>
        <v>0</v>
      </c>
      <c r="DJ93" s="13">
        <f t="shared" si="382"/>
        <v>0.8784485510984632</v>
      </c>
      <c r="DK93" s="12">
        <f t="shared" si="383"/>
        <v>2.5952797153021225</v>
      </c>
      <c r="DL93" s="26"/>
      <c r="DM93" s="23">
        <f t="shared" si="154"/>
        <v>0.29967956935406298</v>
      </c>
      <c r="DN93" s="13">
        <f t="shared" si="154"/>
        <v>4.180408397767065E-3</v>
      </c>
      <c r="DO93" s="13">
        <f t="shared" si="154"/>
        <v>0.10393464646912173</v>
      </c>
      <c r="DP93" s="13">
        <f t="shared" si="154"/>
        <v>0</v>
      </c>
      <c r="DQ93" s="13">
        <f t="shared" si="154"/>
        <v>6.6544638268642112E-2</v>
      </c>
      <c r="DR93" s="13">
        <f t="shared" si="154"/>
        <v>3.2769192981868339E-2</v>
      </c>
      <c r="DS93" s="13">
        <f t="shared" si="154"/>
        <v>1.2712010734844381E-2</v>
      </c>
      <c r="DT93" s="13">
        <f t="shared" si="154"/>
        <v>0</v>
      </c>
      <c r="DU93" s="13">
        <f t="shared" si="399"/>
        <v>7.8377583599628348E-2</v>
      </c>
      <c r="DV93" s="13">
        <f t="shared" si="399"/>
        <v>8.0248419440666865E-2</v>
      </c>
      <c r="DW93" s="13">
        <f t="shared" si="399"/>
        <v>2.6936663788837783E-2</v>
      </c>
      <c r="DX93" s="13">
        <f t="shared" si="399"/>
        <v>1.6187360958675714E-3</v>
      </c>
      <c r="DY93" s="13">
        <f t="shared" si="399"/>
        <v>0</v>
      </c>
      <c r="DZ93" s="13">
        <f t="shared" si="399"/>
        <v>0.33847933458540558</v>
      </c>
      <c r="EA93" s="12">
        <f t="shared" si="340"/>
        <v>1</v>
      </c>
      <c r="EB93" s="26"/>
      <c r="EC93" s="30">
        <f t="shared" si="341"/>
        <v>1323</v>
      </c>
      <c r="ED93" s="14">
        <f t="shared" si="342"/>
        <v>100000</v>
      </c>
      <c r="EE93" s="29"/>
      <c r="EF93" s="128">
        <f t="shared" si="394"/>
        <v>-8.7342365835222964</v>
      </c>
      <c r="EG93" s="13">
        <f t="shared" si="384"/>
        <v>1.5</v>
      </c>
      <c r="EH93" s="13">
        <f t="shared" si="385"/>
        <v>0.74926606198035017</v>
      </c>
      <c r="EI93" s="12">
        <f t="shared" si="343"/>
        <v>5.3414996220710531</v>
      </c>
      <c r="EJ93" s="29"/>
      <c r="EK93" s="28">
        <f t="shared" si="386"/>
        <v>-1.6404063612589292</v>
      </c>
      <c r="EL93" s="24">
        <f t="shared" si="344"/>
        <v>-0.71229108174508438</v>
      </c>
      <c r="EM93" s="24">
        <f t="shared" si="387"/>
        <v>0.19390123233044129</v>
      </c>
      <c r="EN93" s="24">
        <f t="shared" si="345"/>
        <v>4.4076468185488368E-2</v>
      </c>
      <c r="EO93" s="24">
        <f t="shared" si="346"/>
        <v>8.5464814979396841E-3</v>
      </c>
      <c r="EP93" s="24">
        <f t="shared" si="347"/>
        <v>0.27943635678413664</v>
      </c>
      <c r="EQ93" s="24">
        <f t="shared" si="348"/>
        <v>-1.6400887425321655</v>
      </c>
      <c r="ER93" s="24">
        <f t="shared" si="349"/>
        <v>-20.109295756269134</v>
      </c>
      <c r="ES93" s="25">
        <f t="shared" si="350"/>
        <v>-8.7317827860482566</v>
      </c>
      <c r="ET93" s="26">
        <v>8.4</v>
      </c>
      <c r="EU93" s="26">
        <v>0.29083888041780531</v>
      </c>
      <c r="EV93" s="26">
        <v>0.48643140241465677</v>
      </c>
      <c r="EW93" s="26">
        <v>0.27943635678413664</v>
      </c>
      <c r="EX93" s="26">
        <v>0.48338565792685173</v>
      </c>
      <c r="EY93" s="26">
        <f t="shared" si="388"/>
        <v>0.9937385940284984</v>
      </c>
      <c r="EZ93" s="26">
        <f t="shared" si="389"/>
        <v>1.0408054405120843</v>
      </c>
      <c r="FA93" s="23">
        <f t="shared" si="395"/>
        <v>-1.3693795725664337</v>
      </c>
      <c r="FB93" s="190">
        <f t="shared" si="351"/>
        <v>4.0968792786134745E-2</v>
      </c>
      <c r="FC93" s="124">
        <v>6.2646889236044334E-2</v>
      </c>
      <c r="FD93" s="26"/>
      <c r="FE93" s="27">
        <f t="shared" si="352"/>
        <v>0.88818423022188309</v>
      </c>
      <c r="FF93" s="26"/>
      <c r="FG93" s="23">
        <f t="shared" si="282"/>
        <v>-5.2913956112733578</v>
      </c>
      <c r="FH93" s="13">
        <f t="shared" si="353"/>
        <v>12.892227174274417</v>
      </c>
      <c r="FI93" s="13">
        <f t="shared" si="283"/>
        <v>-21.845149910644157</v>
      </c>
      <c r="FJ93" s="13">
        <f t="shared" si="284"/>
        <v>-0.19387321561143267</v>
      </c>
      <c r="FK93" s="12">
        <f t="shared" si="354"/>
        <v>0.45168294177106705</v>
      </c>
      <c r="FL93" s="13"/>
      <c r="FM93" s="23">
        <f t="shared" si="285"/>
        <v>-6.0944472380583097</v>
      </c>
      <c r="FN93" s="13">
        <f t="shared" si="286"/>
        <v>11.14963048223084</v>
      </c>
      <c r="FO93" s="13">
        <f t="shared" si="287"/>
        <v>11.674165299874687</v>
      </c>
      <c r="FP93" s="24">
        <f t="shared" si="288"/>
        <v>0.37362663868461043</v>
      </c>
      <c r="FQ93" s="25">
        <f t="shared" si="289"/>
        <v>0.66621079116130644</v>
      </c>
      <c r="FR93" s="13"/>
      <c r="FS93" s="23">
        <f t="shared" si="355"/>
        <v>11.328324172369179</v>
      </c>
      <c r="FT93" s="13">
        <f t="shared" si="356"/>
        <v>-6.1112762966607344</v>
      </c>
      <c r="FU93" s="13">
        <f t="shared" si="290"/>
        <v>-2.8872698014680509E-2</v>
      </c>
      <c r="FV93" s="13">
        <f t="shared" si="357"/>
        <v>0.48338565792685173</v>
      </c>
      <c r="FW93" s="23">
        <f t="shared" si="291"/>
        <v>-2.8955237697221747E-2</v>
      </c>
      <c r="FX93" s="13">
        <f t="shared" si="292"/>
        <v>0.48333819687820134</v>
      </c>
      <c r="FY93" s="13">
        <f t="shared" si="293"/>
        <v>-2.8922886979156459E-2</v>
      </c>
      <c r="FZ93" s="13">
        <f t="shared" si="390"/>
        <v>0.4833567987919013</v>
      </c>
      <c r="GA93" s="13">
        <f t="shared" si="294"/>
        <v>-2.8963552134104731E-2</v>
      </c>
      <c r="GB93" s="12">
        <f t="shared" si="391"/>
        <v>0.48333341601998925</v>
      </c>
      <c r="GC93" s="22"/>
      <c r="GD93" s="11">
        <f t="shared" si="358"/>
        <v>1.5</v>
      </c>
      <c r="GE93" s="10">
        <f t="shared" si="359"/>
        <v>0.74926606198035017</v>
      </c>
      <c r="GF93" s="10">
        <f t="shared" si="360"/>
        <v>5.3414996220710531</v>
      </c>
      <c r="GG93" s="5">
        <f t="shared" si="361"/>
        <v>-8.7342365835222964</v>
      </c>
      <c r="GH93" s="10">
        <f t="shared" si="362"/>
        <v>0.27943635678413664</v>
      </c>
      <c r="GI93" s="9">
        <f t="shared" si="276"/>
        <v>11.328324172369179</v>
      </c>
      <c r="GJ93" s="8">
        <f t="shared" si="277"/>
        <v>-6.1112762966607344</v>
      </c>
      <c r="GK93" s="8">
        <f t="shared" si="392"/>
        <v>0.48338565792685173</v>
      </c>
      <c r="GL93" s="7">
        <f t="shared" si="393"/>
        <v>0.48333819687820134</v>
      </c>
      <c r="GM93" s="6">
        <f t="shared" si="278"/>
        <v>0.37362663868461043</v>
      </c>
      <c r="GN93" s="5">
        <f t="shared" si="279"/>
        <v>0.66621079116130644</v>
      </c>
      <c r="GO93" s="4">
        <f t="shared" si="280"/>
        <v>0.45168294177106705</v>
      </c>
      <c r="GP93" s="4">
        <f t="shared" si="363"/>
        <v>0.88818423022188309</v>
      </c>
      <c r="GQ93" s="4">
        <f t="shared" si="364"/>
        <v>4.0968792786134745E-2</v>
      </c>
      <c r="GR93" s="1"/>
    </row>
    <row r="94" spans="1:200" x14ac:dyDescent="0.4">
      <c r="A94" s="32"/>
      <c r="B94" s="33"/>
      <c r="C94" s="33"/>
      <c r="D94" s="32"/>
      <c r="E94" s="32"/>
      <c r="F94" s="20" t="s">
        <v>84</v>
      </c>
      <c r="G94" s="19">
        <v>1050</v>
      </c>
      <c r="H94" s="18">
        <v>1E-4</v>
      </c>
      <c r="I94" s="17">
        <v>1.5</v>
      </c>
      <c r="J94" s="16">
        <v>49.6</v>
      </c>
      <c r="K94" s="16">
        <v>0.92</v>
      </c>
      <c r="L94" s="16">
        <v>14.6</v>
      </c>
      <c r="M94" s="16">
        <v>0</v>
      </c>
      <c r="N94" s="16">
        <v>9</v>
      </c>
      <c r="O94" s="16">
        <v>0</v>
      </c>
      <c r="P94" s="16">
        <v>8.6999999999999993</v>
      </c>
      <c r="Q94" s="16">
        <v>12.4</v>
      </c>
      <c r="R94" s="16">
        <v>2.2999999999999998</v>
      </c>
      <c r="S94" s="16">
        <v>0.21</v>
      </c>
      <c r="T94" s="16">
        <v>0</v>
      </c>
      <c r="U94" s="15">
        <v>8.5</v>
      </c>
      <c r="V94" s="16"/>
      <c r="W94" s="28">
        <f t="shared" si="365"/>
        <v>46.691141861997551</v>
      </c>
      <c r="X94" s="24">
        <f t="shared" si="156"/>
        <v>0.86604537324672881</v>
      </c>
      <c r="Y94" s="24">
        <f t="shared" si="156"/>
        <v>13.743763531958955</v>
      </c>
      <c r="Z94" s="24">
        <f t="shared" si="156"/>
        <v>0</v>
      </c>
      <c r="AA94" s="24">
        <f t="shared" si="156"/>
        <v>8.4721829991527819</v>
      </c>
      <c r="AB94" s="24">
        <f t="shared" si="156"/>
        <v>0</v>
      </c>
      <c r="AC94" s="24">
        <f t="shared" si="396"/>
        <v>8.1897768991810214</v>
      </c>
      <c r="AD94" s="24">
        <f t="shared" si="396"/>
        <v>11.672785465499388</v>
      </c>
      <c r="AE94" s="24">
        <f t="shared" si="396"/>
        <v>2.1651134331168218</v>
      </c>
      <c r="AF94" s="24">
        <f t="shared" si="396"/>
        <v>0.19768426998023153</v>
      </c>
      <c r="AG94" s="24">
        <f t="shared" si="396"/>
        <v>0</v>
      </c>
      <c r="AH94" s="24">
        <f t="shared" si="396"/>
        <v>8.0015061658665161</v>
      </c>
      <c r="AI94" s="14">
        <f t="shared" si="366"/>
        <v>99.999999999999986</v>
      </c>
      <c r="AJ94" s="26"/>
      <c r="AK94" s="50">
        <f t="shared" si="367"/>
        <v>0.77702016744878599</v>
      </c>
      <c r="AL94" s="47">
        <f t="shared" si="368"/>
        <v>1.0839116060659935E-2</v>
      </c>
      <c r="AM94" s="47">
        <f t="shared" si="369"/>
        <v>0.13479564076068024</v>
      </c>
      <c r="AN94" s="49">
        <f t="shared" si="370"/>
        <v>0</v>
      </c>
      <c r="AO94" s="49">
        <f t="shared" si="371"/>
        <v>0.11791486428883483</v>
      </c>
      <c r="AP94" s="47">
        <f t="shared" si="372"/>
        <v>0</v>
      </c>
      <c r="AQ94" s="47">
        <f t="shared" si="373"/>
        <v>0.20311946674556106</v>
      </c>
      <c r="AR94" s="47">
        <f t="shared" si="374"/>
        <v>0.20814524724499622</v>
      </c>
      <c r="AS94" s="47">
        <f t="shared" si="375"/>
        <v>3.4932452938315942E-2</v>
      </c>
      <c r="AT94" s="47">
        <f t="shared" si="376"/>
        <v>2.0985591293018208E-3</v>
      </c>
      <c r="AU94" s="47">
        <f t="shared" si="377"/>
        <v>0</v>
      </c>
      <c r="AV94" s="47">
        <f t="shared" si="378"/>
        <v>0.44403474838326951</v>
      </c>
      <c r="AW94" s="47">
        <f t="shared" si="379"/>
        <v>1.9329002630004055</v>
      </c>
      <c r="AX94" s="47">
        <f t="shared" si="380"/>
        <v>8.4977343139506903E-2</v>
      </c>
      <c r="AY94" s="46">
        <f t="shared" si="381"/>
        <v>1.6473992192214938E-2</v>
      </c>
      <c r="AZ94" s="26"/>
      <c r="BA94" s="23">
        <f t="shared" si="296"/>
        <v>0.40199703126049136</v>
      </c>
      <c r="BB94" s="13">
        <f t="shared" si="297"/>
        <v>5.6076954761414199E-3</v>
      </c>
      <c r="BC94" s="13">
        <f t="shared" si="298"/>
        <v>6.9737504485326854E-2</v>
      </c>
      <c r="BD94" s="13">
        <f t="shared" si="299"/>
        <v>0</v>
      </c>
      <c r="BE94" s="13">
        <f t="shared" si="300"/>
        <v>6.1004112082740237E-2</v>
      </c>
      <c r="BF94" s="13">
        <f t="shared" si="301"/>
        <v>4.3963646115707043E-2</v>
      </c>
      <c r="BG94" s="13">
        <f t="shared" si="302"/>
        <v>8.5229395988816632E-3</v>
      </c>
      <c r="BH94" s="13">
        <f t="shared" si="303"/>
        <v>0</v>
      </c>
      <c r="BI94" s="13">
        <f t="shared" si="304"/>
        <v>0.10508533245800404</v>
      </c>
      <c r="BJ94" s="13">
        <f t="shared" si="305"/>
        <v>0.10768545652836541</v>
      </c>
      <c r="BK94" s="13">
        <f t="shared" si="306"/>
        <v>1.8072558427867841E-2</v>
      </c>
      <c r="BL94" s="13">
        <f t="shared" si="307"/>
        <v>1.0857048185426113E-3</v>
      </c>
      <c r="BM94" s="13">
        <f t="shared" si="308"/>
        <v>0</v>
      </c>
      <c r="BN94" s="13">
        <f t="shared" si="309"/>
        <v>0.22972460446252024</v>
      </c>
      <c r="BO94" s="12">
        <f t="shared" si="310"/>
        <v>0.7702753955374797</v>
      </c>
      <c r="BP94" s="13"/>
      <c r="BQ94" s="23">
        <f t="shared" si="311"/>
        <v>1.554040334897572</v>
      </c>
      <c r="BR94" s="13">
        <f t="shared" si="312"/>
        <v>2.1678232121319869E-2</v>
      </c>
      <c r="BS94" s="13">
        <f t="shared" si="313"/>
        <v>0.40422833917526335</v>
      </c>
      <c r="BT94" s="13">
        <f t="shared" si="314"/>
        <v>0</v>
      </c>
      <c r="BU94" s="13">
        <f t="shared" si="315"/>
        <v>0.11791486428883483</v>
      </c>
      <c r="BV94" s="13">
        <f t="shared" si="316"/>
        <v>8.4977343139506903E-2</v>
      </c>
      <c r="BW94" s="24">
        <f t="shared" si="317"/>
        <v>4.9421976576644815E-2</v>
      </c>
      <c r="BX94" s="13">
        <f t="shared" si="318"/>
        <v>0</v>
      </c>
      <c r="BY94" s="13">
        <f t="shared" si="319"/>
        <v>0.20322027045114199</v>
      </c>
      <c r="BZ94" s="13">
        <f t="shared" si="320"/>
        <v>0.20807104216576447</v>
      </c>
      <c r="CA94" s="13">
        <f t="shared" si="321"/>
        <v>3.492118440511003E-2</v>
      </c>
      <c r="CB94" s="13">
        <f t="shared" si="322"/>
        <v>2.0985591293018208E-3</v>
      </c>
      <c r="CC94" s="13">
        <f t="shared" si="323"/>
        <v>0</v>
      </c>
      <c r="CD94" s="13">
        <f t="shared" si="324"/>
        <v>0.44403474838326951</v>
      </c>
      <c r="CE94" s="12">
        <f t="shared" si="325"/>
        <v>2.9902075750175778</v>
      </c>
      <c r="CF94" s="13"/>
      <c r="CG94" s="23">
        <f t="shared" si="398"/>
        <v>0.51970985154381355</v>
      </c>
      <c r="CH94" s="13">
        <f t="shared" si="398"/>
        <v>7.2497415572202991E-3</v>
      </c>
      <c r="CI94" s="13">
        <f t="shared" si="398"/>
        <v>0.13518403958055891</v>
      </c>
      <c r="CJ94" s="13">
        <f t="shared" si="398"/>
        <v>0</v>
      </c>
      <c r="CK94" s="13">
        <f t="shared" si="398"/>
        <v>3.9433671854082461E-2</v>
      </c>
      <c r="CL94" s="13">
        <f t="shared" si="398"/>
        <v>2.8418543197292038E-2</v>
      </c>
      <c r="CM94" s="13">
        <f t="shared" si="398"/>
        <v>1.6527941735400856E-2</v>
      </c>
      <c r="CN94" s="13">
        <f t="shared" si="398"/>
        <v>0</v>
      </c>
      <c r="CO94" s="13">
        <f t="shared" si="398"/>
        <v>6.7961927509312584E-2</v>
      </c>
      <c r="CP94" s="13">
        <f t="shared" si="398"/>
        <v>6.958414656699588E-2</v>
      </c>
      <c r="CQ94" s="13">
        <f t="shared" si="398"/>
        <v>1.1678515129473828E-2</v>
      </c>
      <c r="CR94" s="13">
        <f t="shared" si="397"/>
        <v>7.0181051871941852E-4</v>
      </c>
      <c r="CS94" s="13">
        <f t="shared" si="397"/>
        <v>0</v>
      </c>
      <c r="CT94" s="13">
        <f t="shared" si="397"/>
        <v>0.14849629573982309</v>
      </c>
      <c r="CU94" s="12">
        <f t="shared" si="326"/>
        <v>1</v>
      </c>
      <c r="CV94" s="26"/>
      <c r="CW94" s="23">
        <f t="shared" si="327"/>
        <v>0.77702016744878599</v>
      </c>
      <c r="CX94" s="13">
        <f t="shared" si="328"/>
        <v>1.0839116060659935E-2</v>
      </c>
      <c r="CY94" s="13">
        <f t="shared" si="329"/>
        <v>0.2694855594501756</v>
      </c>
      <c r="CZ94" s="13">
        <f t="shared" si="330"/>
        <v>0</v>
      </c>
      <c r="DA94" s="13">
        <f t="shared" si="331"/>
        <v>0.17270194986072424</v>
      </c>
      <c r="DB94" s="13">
        <f t="shared" si="332"/>
        <v>8.4977343139506903E-2</v>
      </c>
      <c r="DC94" s="24">
        <f t="shared" si="333"/>
        <v>3.2947984384429876E-2</v>
      </c>
      <c r="DD94" s="13">
        <f t="shared" si="334"/>
        <v>0</v>
      </c>
      <c r="DE94" s="13">
        <f t="shared" si="335"/>
        <v>0.20322027045114199</v>
      </c>
      <c r="DF94" s="13">
        <f t="shared" si="336"/>
        <v>0.20807104216576447</v>
      </c>
      <c r="DG94" s="13">
        <f t="shared" si="337"/>
        <v>6.984236881022006E-2</v>
      </c>
      <c r="DH94" s="13">
        <f t="shared" si="338"/>
        <v>4.1971182586036417E-3</v>
      </c>
      <c r="DI94" s="13">
        <f t="shared" si="339"/>
        <v>0</v>
      </c>
      <c r="DJ94" s="13">
        <f t="shared" si="382"/>
        <v>0.88806949676653901</v>
      </c>
      <c r="DK94" s="12">
        <f t="shared" si="383"/>
        <v>2.6034470892726151</v>
      </c>
      <c r="DL94" s="26"/>
      <c r="DM94" s="23">
        <f t="shared" si="154"/>
        <v>0.29845821359322494</v>
      </c>
      <c r="DN94" s="13">
        <f t="shared" si="154"/>
        <v>4.163370980467403E-3</v>
      </c>
      <c r="DO94" s="13">
        <f t="shared" si="154"/>
        <v>0.10351105676799753</v>
      </c>
      <c r="DP94" s="13">
        <f t="shared" si="154"/>
        <v>0</v>
      </c>
      <c r="DQ94" s="13">
        <f t="shared" si="154"/>
        <v>6.6335878525180997E-2</v>
      </c>
      <c r="DR94" s="13">
        <f t="shared" si="154"/>
        <v>3.2640318864036899E-2</v>
      </c>
      <c r="DS94" s="13">
        <f t="shared" si="154"/>
        <v>1.2655522948859049E-2</v>
      </c>
      <c r="DT94" s="13">
        <f t="shared" si="154"/>
        <v>0</v>
      </c>
      <c r="DU94" s="13">
        <f t="shared" si="399"/>
        <v>7.8058152703967695E-2</v>
      </c>
      <c r="DV94" s="13">
        <f t="shared" si="399"/>
        <v>7.9921363880645663E-2</v>
      </c>
      <c r="DW94" s="13">
        <f t="shared" si="399"/>
        <v>2.6826882366076249E-2</v>
      </c>
      <c r="DX94" s="13">
        <f t="shared" si="399"/>
        <v>1.6121388738406385E-3</v>
      </c>
      <c r="DY94" s="13">
        <f t="shared" si="399"/>
        <v>0</v>
      </c>
      <c r="DZ94" s="13">
        <f t="shared" si="399"/>
        <v>0.34111294230859879</v>
      </c>
      <c r="EA94" s="12">
        <f t="shared" si="340"/>
        <v>1</v>
      </c>
      <c r="EB94" s="26"/>
      <c r="EC94" s="30">
        <f t="shared" si="341"/>
        <v>1323</v>
      </c>
      <c r="ED94" s="14">
        <f t="shared" si="342"/>
        <v>100000</v>
      </c>
      <c r="EE94" s="29"/>
      <c r="EF94" s="128">
        <f t="shared" si="394"/>
        <v>-8.7342365835222964</v>
      </c>
      <c r="EG94" s="13">
        <f t="shared" si="384"/>
        <v>1.5</v>
      </c>
      <c r="EH94" s="13">
        <f t="shared" si="385"/>
        <v>0.74926606198035017</v>
      </c>
      <c r="EI94" s="12">
        <f t="shared" si="343"/>
        <v>5.3414996220710531</v>
      </c>
      <c r="EJ94" s="29"/>
      <c r="EK94" s="28">
        <f t="shared" si="386"/>
        <v>-1.6409193818130234</v>
      </c>
      <c r="EL94" s="24">
        <f t="shared" si="344"/>
        <v>-0.71251384360096548</v>
      </c>
      <c r="EM94" s="24">
        <f t="shared" si="387"/>
        <v>0.19380178252486993</v>
      </c>
      <c r="EN94" s="24">
        <f t="shared" si="345"/>
        <v>4.3963646115707043E-2</v>
      </c>
      <c r="EO94" s="24">
        <f t="shared" si="346"/>
        <v>8.5202329835165989E-3</v>
      </c>
      <c r="EP94" s="24">
        <f t="shared" si="347"/>
        <v>0.27933307092349957</v>
      </c>
      <c r="EQ94" s="24">
        <f t="shared" si="348"/>
        <v>-1.6406017630862597</v>
      </c>
      <c r="ER94" s="24">
        <f t="shared" si="349"/>
        <v>-20.109295756269134</v>
      </c>
      <c r="ES94" s="25">
        <f t="shared" si="350"/>
        <v>-8.7317827860482566</v>
      </c>
      <c r="ET94" s="26">
        <v>8.5</v>
      </c>
      <c r="EU94" s="26">
        <v>0.29083888041780526</v>
      </c>
      <c r="EV94" s="26">
        <v>0.48861295257335469</v>
      </c>
      <c r="EW94" s="26">
        <v>0.27933307092349957</v>
      </c>
      <c r="EX94" s="26">
        <v>0.4855476146076293</v>
      </c>
      <c r="EY94" s="26">
        <f t="shared" si="388"/>
        <v>0.99372644963752732</v>
      </c>
      <c r="EZ94" s="26">
        <f t="shared" si="389"/>
        <v>1.0411902874810579</v>
      </c>
      <c r="FA94" s="23">
        <f t="shared" si="395"/>
        <v>-1.3711619885323998</v>
      </c>
      <c r="FB94" s="190">
        <f t="shared" si="351"/>
        <v>4.0807842172965181E-2</v>
      </c>
      <c r="FC94" s="124">
        <v>6.2646889236044334E-2</v>
      </c>
      <c r="FD94" s="26"/>
      <c r="FE94" s="27">
        <f t="shared" si="352"/>
        <v>0.88818423022188309</v>
      </c>
      <c r="FF94" s="26"/>
      <c r="FG94" s="23">
        <f t="shared" si="282"/>
        <v>-5.3051625128524442</v>
      </c>
      <c r="FH94" s="13">
        <f t="shared" si="353"/>
        <v>12.872056067577695</v>
      </c>
      <c r="FI94" s="13">
        <f t="shared" si="283"/>
        <v>-21.845149910644157</v>
      </c>
      <c r="FJ94" s="13">
        <f t="shared" si="284"/>
        <v>-0.20027742072906562</v>
      </c>
      <c r="FK94" s="12">
        <f t="shared" si="354"/>
        <v>0.45009733740920133</v>
      </c>
      <c r="FL94" s="13"/>
      <c r="FM94" s="23">
        <f t="shared" si="285"/>
        <v>-6.0950540511836939</v>
      </c>
      <c r="FN94" s="13">
        <f t="shared" si="286"/>
        <v>11.146148118149554</v>
      </c>
      <c r="FO94" s="13">
        <f t="shared" si="287"/>
        <v>11.67075092969111</v>
      </c>
      <c r="FP94" s="24">
        <f t="shared" si="288"/>
        <v>0.37207838171902874</v>
      </c>
      <c r="FQ94" s="25">
        <f t="shared" si="289"/>
        <v>0.66477168239676898</v>
      </c>
      <c r="FR94" s="13"/>
      <c r="FS94" s="23">
        <f t="shared" si="355"/>
        <v>11.33355454143296</v>
      </c>
      <c r="FT94" s="13">
        <f t="shared" si="356"/>
        <v>-6.1098052651959511</v>
      </c>
      <c r="FU94" s="13">
        <f t="shared" si="290"/>
        <v>-2.5113360415680575E-2</v>
      </c>
      <c r="FV94" s="13">
        <f t="shared" si="357"/>
        <v>0.4855476146076293</v>
      </c>
      <c r="FW94" s="23">
        <f t="shared" si="291"/>
        <v>-2.5195900098221813E-2</v>
      </c>
      <c r="FX94" s="13">
        <f t="shared" si="292"/>
        <v>0.48550014077450809</v>
      </c>
      <c r="FY94" s="13">
        <f t="shared" si="293"/>
        <v>-2.5163549380156525E-2</v>
      </c>
      <c r="FZ94" s="13">
        <f t="shared" si="390"/>
        <v>0.48551874770361059</v>
      </c>
      <c r="GA94" s="13">
        <f t="shared" si="294"/>
        <v>-2.5204214535104796E-2</v>
      </c>
      <c r="GB94" s="12">
        <f t="shared" si="391"/>
        <v>0.48549535862632465</v>
      </c>
      <c r="GC94" s="22"/>
      <c r="GD94" s="11">
        <f t="shared" si="358"/>
        <v>1.5</v>
      </c>
      <c r="GE94" s="10">
        <f t="shared" si="359"/>
        <v>0.74926606198035017</v>
      </c>
      <c r="GF94" s="10">
        <f t="shared" si="360"/>
        <v>5.3414996220710531</v>
      </c>
      <c r="GG94" s="5">
        <f t="shared" si="361"/>
        <v>-8.7342365835222964</v>
      </c>
      <c r="GH94" s="10">
        <f t="shared" si="362"/>
        <v>0.27933307092349957</v>
      </c>
      <c r="GI94" s="9">
        <f t="shared" si="276"/>
        <v>11.33355454143296</v>
      </c>
      <c r="GJ94" s="8">
        <f t="shared" si="277"/>
        <v>-6.1098052651959511</v>
      </c>
      <c r="GK94" s="8">
        <f t="shared" si="392"/>
        <v>0.4855476146076293</v>
      </c>
      <c r="GL94" s="7">
        <f t="shared" si="393"/>
        <v>0.48550014077450809</v>
      </c>
      <c r="GM94" s="6">
        <f t="shared" si="278"/>
        <v>0.37207838171902874</v>
      </c>
      <c r="GN94" s="5">
        <f t="shared" si="279"/>
        <v>0.66477168239676898</v>
      </c>
      <c r="GO94" s="4">
        <f t="shared" si="280"/>
        <v>0.45009733740920133</v>
      </c>
      <c r="GP94" s="4">
        <f t="shared" si="363"/>
        <v>0.88818423022188309</v>
      </c>
      <c r="GQ94" s="4">
        <f t="shared" si="364"/>
        <v>4.0807842172965181E-2</v>
      </c>
      <c r="GR94" s="1"/>
    </row>
    <row r="95" spans="1:200" x14ac:dyDescent="0.4">
      <c r="A95" s="32"/>
      <c r="B95" s="33"/>
      <c r="C95" s="33"/>
      <c r="D95" s="32"/>
      <c r="E95" s="32"/>
      <c r="F95" s="20" t="s">
        <v>84</v>
      </c>
      <c r="G95" s="19">
        <v>1050</v>
      </c>
      <c r="H95" s="18">
        <v>1E-4</v>
      </c>
      <c r="I95" s="17">
        <v>1.5</v>
      </c>
      <c r="J95" s="16">
        <v>49.6</v>
      </c>
      <c r="K95" s="16">
        <v>0.92</v>
      </c>
      <c r="L95" s="16">
        <v>14.6</v>
      </c>
      <c r="M95" s="16">
        <v>0</v>
      </c>
      <c r="N95" s="16">
        <v>9</v>
      </c>
      <c r="O95" s="16">
        <v>0</v>
      </c>
      <c r="P95" s="16">
        <v>8.6999999999999993</v>
      </c>
      <c r="Q95" s="16">
        <v>12.4</v>
      </c>
      <c r="R95" s="16">
        <v>2.2999999999999998</v>
      </c>
      <c r="S95" s="16">
        <v>0.21</v>
      </c>
      <c r="T95" s="16">
        <v>0</v>
      </c>
      <c r="U95" s="15">
        <v>8.6</v>
      </c>
      <c r="V95" s="16"/>
      <c r="W95" s="28">
        <f t="shared" si="365"/>
        <v>46.647230320699713</v>
      </c>
      <c r="X95" s="24">
        <f t="shared" si="156"/>
        <v>0.86523088498072043</v>
      </c>
      <c r="Y95" s="24">
        <f t="shared" si="156"/>
        <v>13.730837957302736</v>
      </c>
      <c r="Z95" s="24">
        <f t="shared" si="156"/>
        <v>0</v>
      </c>
      <c r="AA95" s="24">
        <f t="shared" si="156"/>
        <v>8.4642151791592219</v>
      </c>
      <c r="AB95" s="24">
        <f t="shared" si="156"/>
        <v>0</v>
      </c>
      <c r="AC95" s="24">
        <f t="shared" si="396"/>
        <v>8.1820746731872465</v>
      </c>
      <c r="AD95" s="24">
        <f t="shared" si="396"/>
        <v>11.661807580174928</v>
      </c>
      <c r="AE95" s="24">
        <f t="shared" si="396"/>
        <v>2.163077212451801</v>
      </c>
      <c r="AF95" s="24">
        <f t="shared" si="396"/>
        <v>0.19749835418038184</v>
      </c>
      <c r="AG95" s="24">
        <f t="shared" si="396"/>
        <v>0</v>
      </c>
      <c r="AH95" s="24">
        <f t="shared" si="396"/>
        <v>8.0880278378632564</v>
      </c>
      <c r="AI95" s="14">
        <f t="shared" si="366"/>
        <v>99.999999999999986</v>
      </c>
      <c r="AJ95" s="26"/>
      <c r="AK95" s="50">
        <f t="shared" si="367"/>
        <v>0.77628940457147133</v>
      </c>
      <c r="AL95" s="47">
        <f t="shared" si="368"/>
        <v>1.0828922215027788E-2</v>
      </c>
      <c r="AM95" s="47">
        <f t="shared" si="369"/>
        <v>0.13466886972639011</v>
      </c>
      <c r="AN95" s="49">
        <f t="shared" si="370"/>
        <v>0</v>
      </c>
      <c r="AO95" s="49">
        <f t="shared" si="371"/>
        <v>0.11780396909059461</v>
      </c>
      <c r="AP95" s="47">
        <f t="shared" si="372"/>
        <v>0</v>
      </c>
      <c r="AQ95" s="47">
        <f t="shared" si="373"/>
        <v>0.20292843931515989</v>
      </c>
      <c r="AR95" s="47">
        <f t="shared" si="374"/>
        <v>0.20794949322708503</v>
      </c>
      <c r="AS95" s="47">
        <f t="shared" si="375"/>
        <v>3.4899600071826416E-2</v>
      </c>
      <c r="AT95" s="47">
        <f t="shared" si="376"/>
        <v>2.0965855008533104E-3</v>
      </c>
      <c r="AU95" s="47">
        <f t="shared" si="377"/>
        <v>0</v>
      </c>
      <c r="AV95" s="47">
        <f t="shared" si="378"/>
        <v>0.44883617302237827</v>
      </c>
      <c r="AW95" s="47">
        <f t="shared" si="379"/>
        <v>1.9363014567407866</v>
      </c>
      <c r="AX95" s="47">
        <f t="shared" si="380"/>
        <v>8.4909523798093675E-2</v>
      </c>
      <c r="AY95" s="46">
        <f t="shared" si="381"/>
        <v>1.6452447421865534E-2</v>
      </c>
      <c r="AZ95" s="26"/>
      <c r="BA95" s="23">
        <f t="shared" si="296"/>
        <v>0.40091350541982962</v>
      </c>
      <c r="BB95" s="13">
        <f t="shared" si="297"/>
        <v>5.5925807303038458E-3</v>
      </c>
      <c r="BC95" s="13">
        <f t="shared" si="298"/>
        <v>6.9549536957466782E-2</v>
      </c>
      <c r="BD95" s="13">
        <f t="shared" si="299"/>
        <v>0</v>
      </c>
      <c r="BE95" s="13">
        <f t="shared" si="300"/>
        <v>6.0839684172362359E-2</v>
      </c>
      <c r="BF95" s="13">
        <f t="shared" si="301"/>
        <v>4.3851396951905791E-2</v>
      </c>
      <c r="BG95" s="13">
        <f t="shared" si="302"/>
        <v>8.4968419378037112E-3</v>
      </c>
      <c r="BH95" s="13">
        <f t="shared" si="303"/>
        <v>0</v>
      </c>
      <c r="BI95" s="13">
        <f t="shared" si="304"/>
        <v>0.10480208988570006</v>
      </c>
      <c r="BJ95" s="13">
        <f t="shared" si="305"/>
        <v>0.10739520569132295</v>
      </c>
      <c r="BK95" s="13">
        <f t="shared" si="306"/>
        <v>1.8023846416234165E-2</v>
      </c>
      <c r="BL95" s="13">
        <f t="shared" si="307"/>
        <v>1.0827784555728819E-3</v>
      </c>
      <c r="BM95" s="13">
        <f t="shared" si="308"/>
        <v>0</v>
      </c>
      <c r="BN95" s="13">
        <f t="shared" si="309"/>
        <v>0.23180077227120743</v>
      </c>
      <c r="BO95" s="12">
        <f t="shared" si="310"/>
        <v>0.76819922772879268</v>
      </c>
      <c r="BP95" s="13"/>
      <c r="BQ95" s="23">
        <f t="shared" si="311"/>
        <v>1.5525788091429427</v>
      </c>
      <c r="BR95" s="13">
        <f t="shared" si="312"/>
        <v>2.1657844430055577E-2</v>
      </c>
      <c r="BS95" s="13">
        <f t="shared" si="313"/>
        <v>0.40384817521478633</v>
      </c>
      <c r="BT95" s="13">
        <f t="shared" si="314"/>
        <v>0</v>
      </c>
      <c r="BU95" s="13">
        <f t="shared" si="315"/>
        <v>0.11780396909059461</v>
      </c>
      <c r="BV95" s="13">
        <f t="shared" si="316"/>
        <v>8.4909523798093675E-2</v>
      </c>
      <c r="BW95" s="24">
        <f t="shared" si="317"/>
        <v>4.9357342265596599E-2</v>
      </c>
      <c r="BX95" s="13">
        <f t="shared" si="318"/>
        <v>0</v>
      </c>
      <c r="BY95" s="13">
        <f t="shared" si="319"/>
        <v>0.20302914821804582</v>
      </c>
      <c r="BZ95" s="13">
        <f t="shared" si="320"/>
        <v>0.20787535793538195</v>
      </c>
      <c r="CA95" s="13">
        <f t="shared" si="321"/>
        <v>3.4888342136319368E-2</v>
      </c>
      <c r="CB95" s="13">
        <f t="shared" si="322"/>
        <v>2.0965855008533104E-3</v>
      </c>
      <c r="CC95" s="13">
        <f t="shared" si="323"/>
        <v>0</v>
      </c>
      <c r="CD95" s="13">
        <f t="shared" si="324"/>
        <v>0.44883617302237827</v>
      </c>
      <c r="CE95" s="12">
        <f t="shared" si="325"/>
        <v>2.9926144046913579</v>
      </c>
      <c r="CF95" s="13"/>
      <c r="CG95" s="23">
        <f t="shared" si="398"/>
        <v>0.51880349393127623</v>
      </c>
      <c r="CH95" s="13">
        <f t="shared" si="398"/>
        <v>7.237098236279208E-3</v>
      </c>
      <c r="CI95" s="13">
        <f t="shared" si="398"/>
        <v>0.13494828287322805</v>
      </c>
      <c r="CJ95" s="13">
        <f t="shared" si="398"/>
        <v>0</v>
      </c>
      <c r="CK95" s="13">
        <f t="shared" si="398"/>
        <v>3.9364900772354688E-2</v>
      </c>
      <c r="CL95" s="13">
        <f t="shared" si="398"/>
        <v>2.8373025159868795E-2</v>
      </c>
      <c r="CM95" s="13">
        <f t="shared" si="398"/>
        <v>1.6493051088781033E-2</v>
      </c>
      <c r="CN95" s="13">
        <f t="shared" si="398"/>
        <v>0</v>
      </c>
      <c r="CO95" s="13">
        <f t="shared" si="398"/>
        <v>6.7843404048235592E-2</v>
      </c>
      <c r="CP95" s="13">
        <f t="shared" si="398"/>
        <v>6.9462794006975012E-2</v>
      </c>
      <c r="CQ95" s="13">
        <f t="shared" si="398"/>
        <v>1.165814816690945E-2</v>
      </c>
      <c r="CR95" s="13">
        <f t="shared" si="397"/>
        <v>7.0058658327869032E-4</v>
      </c>
      <c r="CS95" s="13">
        <f t="shared" si="397"/>
        <v>0</v>
      </c>
      <c r="CT95" s="13">
        <f t="shared" si="397"/>
        <v>0.1499812913814631</v>
      </c>
      <c r="CU95" s="12">
        <f t="shared" si="326"/>
        <v>0.99999999999999989</v>
      </c>
      <c r="CV95" s="26"/>
      <c r="CW95" s="23">
        <f t="shared" si="327"/>
        <v>0.77628940457147133</v>
      </c>
      <c r="CX95" s="13">
        <f t="shared" si="328"/>
        <v>1.0828922215027788E-2</v>
      </c>
      <c r="CY95" s="13">
        <f t="shared" si="329"/>
        <v>0.26923211680985759</v>
      </c>
      <c r="CZ95" s="13">
        <f t="shared" si="330"/>
        <v>0</v>
      </c>
      <c r="DA95" s="13">
        <f t="shared" si="331"/>
        <v>0.17270194986072424</v>
      </c>
      <c r="DB95" s="13">
        <f t="shared" si="332"/>
        <v>8.4909523798093675E-2</v>
      </c>
      <c r="DC95" s="24">
        <f t="shared" si="333"/>
        <v>3.2904894843731068E-2</v>
      </c>
      <c r="DD95" s="13">
        <f t="shared" si="334"/>
        <v>0</v>
      </c>
      <c r="DE95" s="13">
        <f t="shared" si="335"/>
        <v>0.20302914821804582</v>
      </c>
      <c r="DF95" s="13">
        <f t="shared" si="336"/>
        <v>0.20787535793538195</v>
      </c>
      <c r="DG95" s="13">
        <f t="shared" si="337"/>
        <v>6.9776684272638737E-2</v>
      </c>
      <c r="DH95" s="13">
        <f t="shared" si="338"/>
        <v>4.1931710017066208E-3</v>
      </c>
      <c r="DI95" s="13">
        <f t="shared" si="339"/>
        <v>0</v>
      </c>
      <c r="DJ95" s="13">
        <f t="shared" si="382"/>
        <v>0.89767234604475654</v>
      </c>
      <c r="DK95" s="12">
        <f t="shared" si="383"/>
        <v>2.6115991009296109</v>
      </c>
      <c r="DL95" s="26"/>
      <c r="DM95" s="23">
        <f t="shared" si="154"/>
        <v>0.29724677278957079</v>
      </c>
      <c r="DN95" s="13">
        <f t="shared" si="154"/>
        <v>4.1464718727974685E-3</v>
      </c>
      <c r="DO95" s="13">
        <f t="shared" si="154"/>
        <v>0.10309090576498635</v>
      </c>
      <c r="DP95" s="13">
        <f t="shared" si="154"/>
        <v>0</v>
      </c>
      <c r="DQ95" s="13">
        <f t="shared" si="154"/>
        <v>6.6128813491799013E-2</v>
      </c>
      <c r="DR95" s="13">
        <f t="shared" si="154"/>
        <v>3.2512464783691242E-2</v>
      </c>
      <c r="DS95" s="13">
        <f t="shared" si="154"/>
        <v>1.2599519900285775E-2</v>
      </c>
      <c r="DT95" s="13">
        <f t="shared" si="154"/>
        <v>0</v>
      </c>
      <c r="DU95" s="13">
        <f t="shared" si="399"/>
        <v>7.774131494599483E-2</v>
      </c>
      <c r="DV95" s="13">
        <f t="shared" si="399"/>
        <v>7.9596963355282116E-2</v>
      </c>
      <c r="DW95" s="13">
        <f t="shared" si="399"/>
        <v>2.671799214810627E-2</v>
      </c>
      <c r="DX95" s="13">
        <f t="shared" si="399"/>
        <v>1.6055952080141404E-3</v>
      </c>
      <c r="DY95" s="13">
        <f t="shared" si="399"/>
        <v>0</v>
      </c>
      <c r="DZ95" s="13">
        <f t="shared" si="399"/>
        <v>0.34372517042344897</v>
      </c>
      <c r="EA95" s="12">
        <f t="shared" si="340"/>
        <v>1</v>
      </c>
      <c r="EB95" s="26"/>
      <c r="EC95" s="30">
        <f t="shared" si="341"/>
        <v>1323</v>
      </c>
      <c r="ED95" s="14">
        <f t="shared" si="342"/>
        <v>100000</v>
      </c>
      <c r="EE95" s="29"/>
      <c r="EF95" s="128">
        <f t="shared" si="394"/>
        <v>-8.7342365835222964</v>
      </c>
      <c r="EG95" s="13">
        <f t="shared" si="384"/>
        <v>1.5</v>
      </c>
      <c r="EH95" s="13">
        <f t="shared" si="385"/>
        <v>0.74926606198035017</v>
      </c>
      <c r="EI95" s="12">
        <f t="shared" si="343"/>
        <v>5.3414996220710531</v>
      </c>
      <c r="EJ95" s="29"/>
      <c r="EK95" s="28">
        <f t="shared" si="386"/>
        <v>-1.6414296368191958</v>
      </c>
      <c r="EL95" s="24">
        <f t="shared" si="344"/>
        <v>-0.71273540461102736</v>
      </c>
      <c r="EM95" s="24">
        <f t="shared" si="387"/>
        <v>0.19370291941997358</v>
      </c>
      <c r="EN95" s="24">
        <f t="shared" si="345"/>
        <v>4.3851396951905798E-2</v>
      </c>
      <c r="EO95" s="24">
        <f t="shared" si="346"/>
        <v>8.4941436102282837E-3</v>
      </c>
      <c r="EP95" s="24">
        <f t="shared" si="347"/>
        <v>0.27923036504147131</v>
      </c>
      <c r="EQ95" s="24">
        <f t="shared" si="348"/>
        <v>-1.6411120180924323</v>
      </c>
      <c r="ER95" s="24">
        <f t="shared" si="349"/>
        <v>-20.109295756269134</v>
      </c>
      <c r="ES95" s="25">
        <f t="shared" si="350"/>
        <v>-8.7317827860482566</v>
      </c>
      <c r="ET95" s="26">
        <v>8.6</v>
      </c>
      <c r="EU95" s="26">
        <v>0.2908388804178052</v>
      </c>
      <c r="EV95" s="26">
        <v>0.49078660082231729</v>
      </c>
      <c r="EW95" s="26">
        <v>0.27923036504147131</v>
      </c>
      <c r="EX95" s="26">
        <v>0.48770204719496524</v>
      </c>
      <c r="EY95" s="26">
        <f t="shared" si="388"/>
        <v>0.99371508182541279</v>
      </c>
      <c r="EZ95" s="26">
        <f t="shared" si="389"/>
        <v>1.0415732557403268</v>
      </c>
      <c r="FA95" s="23">
        <f t="shared" si="395"/>
        <v>-1.3729347960007559</v>
      </c>
      <c r="FB95" s="190">
        <f t="shared" si="351"/>
        <v>4.0648359828135305E-2</v>
      </c>
      <c r="FC95" s="124">
        <v>6.2646889236044334E-2</v>
      </c>
      <c r="FD95" s="26"/>
      <c r="FE95" s="27">
        <f t="shared" si="352"/>
        <v>0.88818423022188309</v>
      </c>
      <c r="FF95" s="26"/>
      <c r="FG95" s="23">
        <f t="shared" si="282"/>
        <v>-5.318817210316948</v>
      </c>
      <c r="FH95" s="13">
        <f t="shared" si="353"/>
        <v>12.852048383499163</v>
      </c>
      <c r="FI95" s="13">
        <f t="shared" si="283"/>
        <v>-21.845149910644157</v>
      </c>
      <c r="FJ95" s="13">
        <f t="shared" si="284"/>
        <v>-0.20663040734309845</v>
      </c>
      <c r="FK95" s="12">
        <f t="shared" si="354"/>
        <v>0.44852541507907251</v>
      </c>
      <c r="FL95" s="13"/>
      <c r="FM95" s="23">
        <f t="shared" si="285"/>
        <v>-6.0956591832940115</v>
      </c>
      <c r="FN95" s="13">
        <f t="shared" si="286"/>
        <v>11.142677900334828</v>
      </c>
      <c r="FO95" s="13">
        <f t="shared" si="287"/>
        <v>11.667348468615643</v>
      </c>
      <c r="FP95" s="24">
        <f t="shared" si="288"/>
        <v>0.37053836564522769</v>
      </c>
      <c r="FQ95" s="25">
        <f t="shared" si="289"/>
        <v>0.66333476400986258</v>
      </c>
      <c r="FR95" s="13"/>
      <c r="FS95" s="23">
        <f t="shared" si="355"/>
        <v>11.338766667298927</v>
      </c>
      <c r="FT95" s="13">
        <f t="shared" si="356"/>
        <v>-6.1083384579558979</v>
      </c>
      <c r="FU95" s="13">
        <f t="shared" si="290"/>
        <v>-2.1368041789767034E-2</v>
      </c>
      <c r="FV95" s="13">
        <f t="shared" si="357"/>
        <v>0.48770204719496524</v>
      </c>
      <c r="FW95" s="23">
        <f t="shared" si="291"/>
        <v>-2.1450581472308272E-2</v>
      </c>
      <c r="FX95" s="13">
        <f t="shared" si="292"/>
        <v>0.4876545623892401</v>
      </c>
      <c r="FY95" s="13">
        <f t="shared" si="293"/>
        <v>-2.1418230754242984E-2</v>
      </c>
      <c r="FZ95" s="13">
        <f t="shared" si="390"/>
        <v>0.48767317362358675</v>
      </c>
      <c r="GA95" s="13">
        <f t="shared" si="294"/>
        <v>-2.1458895909191256E-2</v>
      </c>
      <c r="GB95" s="12">
        <f t="shared" si="391"/>
        <v>0.48764977913360519</v>
      </c>
      <c r="GC95" s="22"/>
      <c r="GD95" s="11">
        <f t="shared" si="358"/>
        <v>1.5</v>
      </c>
      <c r="GE95" s="10">
        <f t="shared" si="359"/>
        <v>0.74926606198035017</v>
      </c>
      <c r="GF95" s="10">
        <f t="shared" si="360"/>
        <v>5.3414996220710531</v>
      </c>
      <c r="GG95" s="5">
        <f t="shared" si="361"/>
        <v>-8.7342365835222964</v>
      </c>
      <c r="GH95" s="10">
        <f t="shared" si="362"/>
        <v>0.27923036504147131</v>
      </c>
      <c r="GI95" s="9">
        <f t="shared" si="276"/>
        <v>11.338766667298927</v>
      </c>
      <c r="GJ95" s="8">
        <f t="shared" si="277"/>
        <v>-6.1083384579558979</v>
      </c>
      <c r="GK95" s="8">
        <f t="shared" si="392"/>
        <v>0.48770204719496524</v>
      </c>
      <c r="GL95" s="7">
        <f t="shared" si="393"/>
        <v>0.4876545623892401</v>
      </c>
      <c r="GM95" s="6">
        <f t="shared" si="278"/>
        <v>0.37053836564522769</v>
      </c>
      <c r="GN95" s="5">
        <f t="shared" si="279"/>
        <v>0.66333476400986258</v>
      </c>
      <c r="GO95" s="4">
        <f t="shared" si="280"/>
        <v>0.44852541507907251</v>
      </c>
      <c r="GP95" s="4">
        <f t="shared" si="363"/>
        <v>0.88818423022188309</v>
      </c>
      <c r="GQ95" s="4">
        <f t="shared" si="364"/>
        <v>4.0648359828135305E-2</v>
      </c>
      <c r="GR95" s="1"/>
    </row>
    <row r="96" spans="1:200" x14ac:dyDescent="0.4">
      <c r="A96" s="32"/>
      <c r="B96" s="33"/>
      <c r="C96" s="33"/>
      <c r="D96" s="32"/>
      <c r="E96" s="32"/>
      <c r="F96" s="20"/>
      <c r="G96" s="19"/>
      <c r="H96" s="18"/>
      <c r="I96" s="17"/>
      <c r="J96" s="16"/>
      <c r="K96" s="16"/>
      <c r="L96" s="16"/>
      <c r="M96" s="16"/>
      <c r="N96" s="16"/>
      <c r="O96" s="16"/>
      <c r="P96" s="16"/>
      <c r="Q96" s="16"/>
      <c r="R96" s="16"/>
      <c r="S96" s="16"/>
      <c r="T96" s="16"/>
      <c r="U96" s="15"/>
      <c r="V96" s="16"/>
      <c r="W96" s="28"/>
      <c r="X96" s="24"/>
      <c r="Y96" s="24"/>
      <c r="Z96" s="24"/>
      <c r="AA96" s="24"/>
      <c r="AB96" s="24"/>
      <c r="AC96" s="24"/>
      <c r="AD96" s="24"/>
      <c r="AE96" s="24"/>
      <c r="AF96" s="24"/>
      <c r="AG96" s="24"/>
      <c r="AH96" s="24"/>
      <c r="AI96" s="14"/>
      <c r="AJ96" s="26"/>
      <c r="AK96" s="28"/>
      <c r="AL96" s="24"/>
      <c r="AM96" s="24"/>
      <c r="AN96" s="31"/>
      <c r="AO96" s="24"/>
      <c r="AP96" s="24"/>
      <c r="AQ96" s="24"/>
      <c r="AR96" s="24"/>
      <c r="AS96" s="24"/>
      <c r="AT96" s="24"/>
      <c r="AU96" s="24"/>
      <c r="AV96" s="24"/>
      <c r="AW96" s="24"/>
      <c r="AX96" s="24"/>
      <c r="AY96" s="25"/>
      <c r="AZ96" s="26"/>
      <c r="BA96" s="23"/>
      <c r="BB96" s="13"/>
      <c r="BC96" s="13"/>
      <c r="BD96" s="13"/>
      <c r="BE96" s="13"/>
      <c r="BF96" s="13"/>
      <c r="BG96" s="13"/>
      <c r="BH96" s="13"/>
      <c r="BI96" s="13"/>
      <c r="BJ96" s="13"/>
      <c r="BK96" s="13"/>
      <c r="BL96" s="13"/>
      <c r="BM96" s="13"/>
      <c r="BN96" s="13"/>
      <c r="BO96" s="12"/>
      <c r="BP96" s="13"/>
      <c r="BQ96" s="23"/>
      <c r="BR96" s="13"/>
      <c r="BS96" s="13"/>
      <c r="BT96" s="13"/>
      <c r="BU96" s="13"/>
      <c r="BV96" s="13"/>
      <c r="BW96" s="24"/>
      <c r="BX96" s="13"/>
      <c r="BY96" s="13"/>
      <c r="BZ96" s="13"/>
      <c r="CA96" s="13"/>
      <c r="CB96" s="13"/>
      <c r="CC96" s="13"/>
      <c r="CD96" s="13"/>
      <c r="CE96" s="12"/>
      <c r="CF96" s="13"/>
      <c r="CG96" s="23"/>
      <c r="CH96" s="13"/>
      <c r="CI96" s="13"/>
      <c r="CJ96" s="13"/>
      <c r="CK96" s="13"/>
      <c r="CL96" s="13"/>
      <c r="CM96" s="13"/>
      <c r="CN96" s="13"/>
      <c r="CO96" s="13"/>
      <c r="CP96" s="13"/>
      <c r="CQ96" s="13"/>
      <c r="CR96" s="13"/>
      <c r="CS96" s="13"/>
      <c r="CT96" s="13"/>
      <c r="CU96" s="12"/>
      <c r="CV96" s="26"/>
      <c r="CW96" s="23"/>
      <c r="CX96" s="13"/>
      <c r="CY96" s="13"/>
      <c r="CZ96" s="13"/>
      <c r="DA96" s="13"/>
      <c r="DB96" s="13"/>
      <c r="DC96" s="24"/>
      <c r="DD96" s="13"/>
      <c r="DE96" s="13"/>
      <c r="DF96" s="13"/>
      <c r="DG96" s="13"/>
      <c r="DH96" s="13"/>
      <c r="DI96" s="13"/>
      <c r="DJ96" s="13"/>
      <c r="DK96" s="12"/>
      <c r="DL96" s="26"/>
      <c r="DM96" s="23"/>
      <c r="DN96" s="13"/>
      <c r="DO96" s="13"/>
      <c r="DP96" s="13"/>
      <c r="DQ96" s="13"/>
      <c r="DR96" s="13"/>
      <c r="DS96" s="13"/>
      <c r="DT96" s="13"/>
      <c r="DU96" s="13"/>
      <c r="DV96" s="13"/>
      <c r="DW96" s="13"/>
      <c r="DX96" s="13"/>
      <c r="DY96" s="13"/>
      <c r="DZ96" s="13"/>
      <c r="EA96" s="12"/>
      <c r="EB96" s="26"/>
      <c r="EC96" s="30"/>
      <c r="ED96" s="14"/>
      <c r="EE96" s="29"/>
      <c r="EF96" s="128"/>
      <c r="EG96" s="13"/>
      <c r="EH96" s="13"/>
      <c r="EI96" s="12"/>
      <c r="EJ96" s="29"/>
      <c r="EK96" s="28"/>
      <c r="EL96" s="24"/>
      <c r="EM96" s="24"/>
      <c r="EN96" s="24"/>
      <c r="EO96" s="24"/>
      <c r="EP96" s="24"/>
      <c r="EQ96" s="24"/>
      <c r="ER96" s="24"/>
      <c r="ES96" s="25"/>
      <c r="ET96" s="26"/>
      <c r="EU96" s="26"/>
      <c r="EV96" s="26"/>
      <c r="EW96" s="26"/>
      <c r="EX96" s="26"/>
      <c r="EY96" s="26"/>
      <c r="EZ96" s="26"/>
      <c r="FA96" s="23"/>
      <c r="FB96" s="12"/>
      <c r="FC96" s="12"/>
      <c r="FD96" s="26"/>
      <c r="FE96" s="27"/>
      <c r="FF96" s="26"/>
      <c r="FG96" s="23"/>
      <c r="FH96" s="13"/>
      <c r="FI96" s="13"/>
      <c r="FJ96" s="13"/>
      <c r="FK96" s="12"/>
      <c r="FL96" s="13"/>
      <c r="FM96" s="23"/>
      <c r="FN96" s="13"/>
      <c r="FO96" s="13"/>
      <c r="FP96" s="24"/>
      <c r="FQ96" s="25"/>
      <c r="FR96" s="13"/>
      <c r="FS96" s="23"/>
      <c r="FT96" s="13"/>
      <c r="FU96" s="13"/>
      <c r="FV96" s="13"/>
      <c r="FW96" s="23"/>
      <c r="FX96" s="13"/>
      <c r="FY96" s="13"/>
      <c r="FZ96" s="13"/>
      <c r="GA96" s="13"/>
      <c r="GB96" s="12"/>
      <c r="GC96" s="22"/>
      <c r="GD96" s="11"/>
      <c r="GE96" s="10"/>
      <c r="GF96" s="10"/>
      <c r="GG96" s="5"/>
      <c r="GH96" s="10"/>
      <c r="GI96" s="9"/>
      <c r="GJ96" s="8"/>
      <c r="GK96" s="8"/>
      <c r="GL96" s="7"/>
      <c r="GM96" s="6"/>
      <c r="GN96" s="5"/>
      <c r="GO96" s="4"/>
      <c r="GP96" s="4"/>
      <c r="GQ96" s="4"/>
      <c r="GR96" s="1"/>
    </row>
    <row r="97" spans="1:200" x14ac:dyDescent="0.4">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s="129"/>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s="1"/>
    </row>
    <row r="98" spans="1:200" x14ac:dyDescent="0.4">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s="129"/>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row>
    <row r="99" spans="1:200" x14ac:dyDescent="0.4">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s="12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row>
    <row r="100" spans="1:200" x14ac:dyDescent="0.4">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s="129"/>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row>
    <row r="101" spans="1:200" x14ac:dyDescent="0.4">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s="129"/>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row>
    <row r="102" spans="1:200" x14ac:dyDescent="0.4">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s="129"/>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row>
    <row r="103" spans="1:200" x14ac:dyDescent="0.4">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s="129"/>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row>
    <row r="104" spans="1:200" x14ac:dyDescent="0.4">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s="129"/>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row>
    <row r="105" spans="1:200" x14ac:dyDescent="0.4">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s="129"/>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row>
    <row r="106" spans="1:200" x14ac:dyDescent="0.4">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s="129"/>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row>
    <row r="107" spans="1:200" x14ac:dyDescent="0.4">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s="129"/>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row>
    <row r="108" spans="1:200" x14ac:dyDescent="0.4">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s="129"/>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row>
    <row r="109" spans="1:200" x14ac:dyDescent="0.4">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s="12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row>
    <row r="110" spans="1:200" x14ac:dyDescent="0.4">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s="129"/>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row>
    <row r="111" spans="1:200" x14ac:dyDescent="0.4">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s="129"/>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row>
    <row r="112" spans="1:200" x14ac:dyDescent="0.4">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s="129"/>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row>
    <row r="113" spans="136:136" customFormat="1" x14ac:dyDescent="0.4">
      <c r="EF113" s="129"/>
    </row>
    <row r="114" spans="136:136" customFormat="1" x14ac:dyDescent="0.4">
      <c r="EF114" s="129"/>
    </row>
    <row r="115" spans="136:136" customFormat="1" x14ac:dyDescent="0.4">
      <c r="EF115" s="129"/>
    </row>
    <row r="116" spans="136:136" customFormat="1" x14ac:dyDescent="0.4">
      <c r="EF116" s="129"/>
    </row>
    <row r="117" spans="136:136" customFormat="1" x14ac:dyDescent="0.4">
      <c r="EF117" s="129"/>
    </row>
    <row r="118" spans="136:136" customFormat="1" x14ac:dyDescent="0.4">
      <c r="EF118" s="129"/>
    </row>
    <row r="119" spans="136:136" customFormat="1" x14ac:dyDescent="0.4">
      <c r="EF119" s="129"/>
    </row>
    <row r="120" spans="136:136" customFormat="1" x14ac:dyDescent="0.4">
      <c r="EF120" s="129"/>
    </row>
    <row r="121" spans="136:136" customFormat="1" x14ac:dyDescent="0.4">
      <c r="EF121" s="129"/>
    </row>
    <row r="122" spans="136:136" customFormat="1" x14ac:dyDescent="0.4">
      <c r="EF122" s="129"/>
    </row>
    <row r="123" spans="136:136" customFormat="1" x14ac:dyDescent="0.4">
      <c r="EF123" s="129"/>
    </row>
    <row r="124" spans="136:136" customFormat="1" x14ac:dyDescent="0.4">
      <c r="EF124" s="129"/>
    </row>
    <row r="125" spans="136:136" customFormat="1" x14ac:dyDescent="0.4">
      <c r="EF125" s="129"/>
    </row>
    <row r="126" spans="136:136" customFormat="1" x14ac:dyDescent="0.4">
      <c r="EF126" s="129"/>
    </row>
    <row r="127" spans="136:136" customFormat="1" x14ac:dyDescent="0.4">
      <c r="EF127" s="129"/>
    </row>
    <row r="128" spans="136:136" customFormat="1" x14ac:dyDescent="0.4">
      <c r="EF128" s="129"/>
    </row>
    <row r="129" spans="1:199" x14ac:dyDescent="0.4">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s="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row>
    <row r="130" spans="1:199" x14ac:dyDescent="0.4">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s="129"/>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row>
    <row r="131" spans="1:199" x14ac:dyDescent="0.4">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s="129"/>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row>
    <row r="132" spans="1:199" x14ac:dyDescent="0.4">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s="129"/>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row>
    <row r="133" spans="1:199" x14ac:dyDescent="0.4">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s="129"/>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row>
    <row r="134" spans="1:199" x14ac:dyDescent="0.4">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s="129"/>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row>
    <row r="135" spans="1:199" x14ac:dyDescent="0.4">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s="129"/>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row>
    <row r="139" spans="1:199" x14ac:dyDescent="0.4">
      <c r="GM139" s="113"/>
      <c r="GN139" s="112"/>
      <c r="GO139" s="111"/>
    </row>
    <row r="140" spans="1:199" x14ac:dyDescent="0.4">
      <c r="GM140" s="113"/>
      <c r="GN140" s="112"/>
      <c r="GO140" s="111"/>
    </row>
    <row r="141" spans="1:199" x14ac:dyDescent="0.4">
      <c r="GM141" s="113"/>
      <c r="GN141" s="112"/>
      <c r="GO141" s="111"/>
    </row>
  </sheetData>
  <mergeCells count="19">
    <mergeCell ref="GM6:GM7"/>
    <mergeCell ref="GN6:GN7"/>
    <mergeCell ref="GO6:GO7"/>
    <mergeCell ref="GP6:GP7"/>
    <mergeCell ref="GQ6:GQ7"/>
    <mergeCell ref="U2:GD2"/>
    <mergeCell ref="FM6:FQ7"/>
    <mergeCell ref="FS6:FV7"/>
    <mergeCell ref="FW6:GB7"/>
    <mergeCell ref="GD6:GG7"/>
    <mergeCell ref="GI6:GL7"/>
    <mergeCell ref="F6:U7"/>
    <mergeCell ref="EF6:EI7"/>
    <mergeCell ref="EK6:EP7"/>
    <mergeCell ref="EQ6:ES7"/>
    <mergeCell ref="FA6:FB7"/>
    <mergeCell ref="FE6:FE7"/>
    <mergeCell ref="FG6:FK7"/>
    <mergeCell ref="GH6:GH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Calculator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Gorojovsky</dc:creator>
  <cp:lastModifiedBy>Penny Wieser</cp:lastModifiedBy>
  <dcterms:created xsi:type="dcterms:W3CDTF">2025-10-07T09:41:55Z</dcterms:created>
  <dcterms:modified xsi:type="dcterms:W3CDTF">2026-07-02T15:32:21Z</dcterms:modified>
</cp:coreProperties>
</file>